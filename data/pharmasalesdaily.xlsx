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13_ncr:1_{8F219ED0-3941-4F4B-ADF1-781CEADCAA7F}" xr6:coauthVersionLast="47" xr6:coauthVersionMax="47" xr10:uidLastSave="{00000000-0000-0000-0000-000000000000}"/>
  <bookViews>
    <workbookView xWindow="-108" yWindow="-108" windowWidth="23256" windowHeight="12456" activeTab="2" xr2:uid="{A68EAE59-B0DC-4AF6-9594-8F576C2CB950}"/>
  </bookViews>
  <sheets>
    <sheet name="Raw Data" sheetId="1" r:id="rId1"/>
    <sheet name="Clean_Data" sheetId="2" r:id="rId2"/>
    <sheet name="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I3" i="3"/>
  <c r="I5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" i="2"/>
</calcChain>
</file>

<file path=xl/sharedStrings.xml><?xml version="1.0" encoding="utf-8"?>
<sst xmlns="http://schemas.openxmlformats.org/spreadsheetml/2006/main" count="4250" uniqueCount="31">
  <si>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</si>
  <si>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</si>
  <si>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</si>
  <si>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</si>
  <si>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</si>
  <si>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</si>
  <si>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</si>
  <si>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</si>
  <si>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</si>
  <si>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</si>
  <si>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Hour</t>
  </si>
  <si>
    <t>Weekday Name</t>
  </si>
  <si>
    <t>Thursday</t>
  </si>
  <si>
    <t>Friday</t>
  </si>
  <si>
    <t>Saturday</t>
  </si>
  <si>
    <t>Sunday</t>
  </si>
  <si>
    <t>Monday</t>
  </si>
  <si>
    <t>Tuesday</t>
  </si>
  <si>
    <t>Wednesday</t>
  </si>
  <si>
    <t>Date</t>
  </si>
  <si>
    <t>Total Sales</t>
  </si>
  <si>
    <t>Month Name</t>
  </si>
  <si>
    <t>Day_Type</t>
  </si>
  <si>
    <t>Average Daily Sales</t>
  </si>
  <si>
    <t>Total Days</t>
  </si>
  <si>
    <t>KPI</t>
  </si>
  <si>
    <t>1. Seasonal Trend:
Sales peak in January and decline towards July, indicating seasonal demand patterns.</t>
  </si>
  <si>
    <t>2. Product Performance:
N02BE is the highest contributing category, while N05C has the lowest sales.</t>
  </si>
  <si>
    <t>4. Sales Stability:
Sales show a declining trend from Q1 to mid-year with recovery towards year-end, indicating fluctuating demand cycles.</t>
  </si>
  <si>
    <t xml:space="preserve">                                                 Pharmaceutical Sales Analysis Dashboard</t>
  </si>
  <si>
    <t>3. Customer Behavior:Sales are significantly higher on weekdays compared to weekends, indicating business-driven demand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</si>
</sst>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6"/>
      <color rgb="FFFF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2" fontId="16" fillId="0" borderId="0" xfId="0" applyNumberFormat="1" applyFont="1"/>
    <xf numFmtId="0" fontId="16" fillId="33" borderId="0" xfId="0" applyFont="1" applyFill="1" applyAlignment="1">
      <alignment wrapText="1"/>
    </xf>
    <xf numFmtId="0" fontId="20" fillId="35" borderId="0" xfId="0" applyFont="1" applyFill="1" applyAlignment="1">
      <alignment horizontal="left"/>
    </xf>
    <xf numFmtId="0" fontId="16" fillId="35" borderId="0" xfId="0" applyFont="1" applyFill="1" applyAlignment="1">
      <alignment horizontal="left"/>
    </xf>
    <xf numFmtId="0" fontId="18" fillId="34" borderId="0" xfId="0" applyFont="1" applyFill="1" applyAlignment="1">
      <alignment vertical="center" wrapText="1"/>
    </xf>
    <xf numFmtId="0" fontId="19" fillId="36" borderId="0" xfId="0" applyFont="1" applyFill="1" applyAlignment="1">
      <alignment horizontal="center" vertical="center" wrapText="1"/>
    </xf>
    <xf numFmtId="44" fontId="16" fillId="33" borderId="0" xfId="42" applyFont="1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13970.691083319001</c:v>
              </c:pt>
              <c:pt idx="1">
                <c:v>11604.568583320999</c:v>
              </c:pt>
              <c:pt idx="2">
                <c:v>11363.605000000007</c:v>
              </c:pt>
              <c:pt idx="3">
                <c:v>10248.718000000008</c:v>
              </c:pt>
              <c:pt idx="4">
                <c:v>9925.9676666700016</c:v>
              </c:pt>
              <c:pt idx="5">
                <c:v>8992.8609999999953</c:v>
              </c:pt>
              <c:pt idx="6">
                <c:v>8758.503333333003</c:v>
              </c:pt>
              <c:pt idx="7">
                <c:v>9037.6113333400026</c:v>
              </c:pt>
              <c:pt idx="8">
                <c:v>11000.856666666996</c:v>
              </c:pt>
              <c:pt idx="9">
                <c:v>12051.024687499999</c:v>
              </c:pt>
              <c:pt idx="10">
                <c:v>9534.3833333370003</c:v>
              </c:pt>
              <c:pt idx="11">
                <c:v>11106.712999996998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A4B-48DC-90D4-1EB19B172B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2609983"/>
        <c:axId val="852610463"/>
      </c:lineChart>
      <c:catAx>
        <c:axId val="85260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10463"/>
        <c:crosses val="autoZero"/>
        <c:auto val="1"/>
        <c:lblAlgn val="ctr"/>
        <c:lblOffset val="100"/>
        <c:noMultiLvlLbl val="0"/>
      </c:catAx>
      <c:valAx>
        <c:axId val="8526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0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0" i="0" u="none" strike="noStrike" cap="none" normalizeH="0" baseline="0"/>
              <a:t>Category-wise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M01AB</c:v>
              </c:pt>
              <c:pt idx="1">
                <c:v>N05B</c:v>
              </c:pt>
              <c:pt idx="2">
                <c:v>M01AE</c:v>
              </c:pt>
              <c:pt idx="3">
                <c:v>N02BA</c:v>
              </c:pt>
              <c:pt idx="4">
                <c:v>N05C</c:v>
              </c:pt>
              <c:pt idx="5">
                <c:v>R03</c:v>
              </c:pt>
              <c:pt idx="6">
                <c:v>R06</c:v>
              </c:pt>
              <c:pt idx="7">
                <c:v>N02BE</c:v>
              </c:pt>
            </c:strLit>
          </c:cat>
          <c:val>
            <c:numLit>
              <c:formatCode>General</c:formatCode>
              <c:ptCount val="8"/>
              <c:pt idx="0">
                <c:v>10600.937083333998</c:v>
              </c:pt>
              <c:pt idx="1">
                <c:v>18645.737499971008</c:v>
              </c:pt>
              <c:pt idx="2">
                <c:v>8204.6186458330212</c:v>
              </c:pt>
              <c:pt idx="3">
                <c:v>8172.2090000010112</c:v>
              </c:pt>
              <c:pt idx="4">
                <c:v>1249.9583333330002</c:v>
              </c:pt>
              <c:pt idx="5">
                <c:v>11608.822916672003</c:v>
              </c:pt>
              <c:pt idx="6">
                <c:v>6107.8174999999965</c:v>
              </c:pt>
              <c:pt idx="7">
                <c:v>63005.40270833992</c:v>
              </c:pt>
            </c:numLit>
          </c:val>
          <c:extLst>
            <c:ext xmlns:c16="http://schemas.microsoft.com/office/drawing/2014/chart" uri="{C3380CC4-5D6E-409C-BE32-E72D297353CC}">
              <c16:uniqueId val="{00000000-8DFC-4E30-B993-E61EFDC55F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07657231"/>
        <c:axId val="207656271"/>
      </c:barChart>
      <c:catAx>
        <c:axId val="20765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56271"/>
        <c:crosses val="autoZero"/>
        <c:auto val="1"/>
        <c:lblAlgn val="ctr"/>
        <c:lblOffset val="100"/>
        <c:noMultiLvlLbl val="0"/>
      </c:catAx>
      <c:valAx>
        <c:axId val="20765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5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Weekday vs Weekend Sales</a:t>
            </a:r>
            <a:endParaRPr lang="en-US"/>
          </a:p>
        </c:rich>
      </c:tx>
      <c:layout>
        <c:manualLayout>
          <c:xMode val="edge"/>
          <c:yMode val="edge"/>
          <c:x val="0.18778211934034558"/>
          <c:y val="5.7495268887066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733541571766339"/>
          <c:y val="0.19196406932434035"/>
          <c:w val="0.49197131608548933"/>
          <c:h val="0.58287151694190553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89426.472020809058</c:v>
              </c:pt>
              <c:pt idx="1">
                <c:v>38169.031666675015</c:v>
              </c:pt>
            </c:numLit>
          </c:val>
          <c:extLst>
            <c:ext xmlns:c16="http://schemas.microsoft.com/office/drawing/2014/chart" uri="{C3380CC4-5D6E-409C-BE32-E72D297353CC}">
              <c16:uniqueId val="{00000000-6B04-4072-86E4-4495C529E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38100</xdr:rowOff>
    </xdr:from>
    <xdr:to>
      <xdr:col>8</xdr:col>
      <xdr:colOff>243840</xdr:colOff>
      <xdr:row>37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75A52-39AC-D472-264E-5B931FFF5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259080</xdr:colOff>
      <xdr:row>17</xdr:row>
      <xdr:rowOff>38100</xdr:rowOff>
    </xdr:from>
    <xdr:to>
      <xdr:col>16</xdr:col>
      <xdr:colOff>685800</xdr:colOff>
      <xdr:row>37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C5BCFD-8EF4-BB97-AC55-A625A38A3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99060</xdr:colOff>
      <xdr:row>5</xdr:row>
      <xdr:rowOff>3810</xdr:rowOff>
    </xdr:from>
    <xdr:to>
      <xdr:col>9</xdr:col>
      <xdr:colOff>876300</xdr:colOff>
      <xdr:row>17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BD6A62-3664-F66E-CECC-455C2E064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473F-7C65-42FB-B0D1-2B533E546830}">
  <dimension ref="A1:M2107"/>
  <sheetViews>
    <sheetView workbookViewId="0">
      <selection activeCell="N1" sqref="A1:XFD1048576"/>
    </sheetView>
  </sheetViews>
  <sheetFormatPr defaultRowHeight="14.4" x14ac:dyDescent="0.3"/>
  <cols>
    <col min="1" max="1" width="10.33203125" bestFit="1" customWidth="1"/>
    <col min="2" max="9" width="12" bestFit="1" customWidth="1"/>
    <col min="10" max="10" width="9.21875" customWidth="1"/>
    <col min="11" max="11" width="6" bestFit="1" customWidth="1"/>
    <col min="13" max="13" width="13.6640625" bestFit="1" customWidth="1"/>
  </cols>
  <sheetData>
    <row r="1" spans="1:13" x14ac:dyDescent="0.3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1">
        <v>41641</v>
      </c>
      <c r="B2">
        <v>0</v>
      </c>
      <c r="C2">
        <v>3.67</v>
      </c>
      <c r="D2">
        <v>3.4</v>
      </c>
      <c r="E2">
        <v>32.4</v>
      </c>
      <c r="F2">
        <v>7</v>
      </c>
      <c r="G2">
        <v>0</v>
      </c>
      <c r="H2">
        <v>0</v>
      </c>
      <c r="I2">
        <v>2</v>
      </c>
      <c r="J2">
        <v>2014</v>
      </c>
      <c r="K2">
        <v>1</v>
      </c>
      <c r="L2">
        <v>248</v>
      </c>
      <c r="M2" t="s">
        <v>12</v>
      </c>
    </row>
    <row r="3" spans="1:13" x14ac:dyDescent="0.3">
      <c r="A3" s="1">
        <v>41642</v>
      </c>
      <c r="B3">
        <v>8</v>
      </c>
      <c r="C3">
        <v>4</v>
      </c>
      <c r="D3">
        <v>4.4000000000000004</v>
      </c>
      <c r="E3">
        <v>50.6</v>
      </c>
      <c r="F3">
        <v>16</v>
      </c>
      <c r="G3">
        <v>0</v>
      </c>
      <c r="H3">
        <v>20</v>
      </c>
      <c r="I3">
        <v>4</v>
      </c>
      <c r="J3">
        <v>2014</v>
      </c>
      <c r="K3">
        <v>1</v>
      </c>
      <c r="L3">
        <v>276</v>
      </c>
      <c r="M3" t="s">
        <v>13</v>
      </c>
    </row>
    <row r="4" spans="1:13" x14ac:dyDescent="0.3">
      <c r="A4" s="1">
        <v>41643</v>
      </c>
      <c r="B4">
        <v>2</v>
      </c>
      <c r="C4">
        <v>1</v>
      </c>
      <c r="D4">
        <v>6.5</v>
      </c>
      <c r="E4">
        <v>61.85</v>
      </c>
      <c r="F4">
        <v>10</v>
      </c>
      <c r="G4">
        <v>0</v>
      </c>
      <c r="H4">
        <v>9</v>
      </c>
      <c r="I4">
        <v>1</v>
      </c>
      <c r="J4">
        <v>2014</v>
      </c>
      <c r="K4">
        <v>1</v>
      </c>
      <c r="L4">
        <v>276</v>
      </c>
      <c r="M4" t="s">
        <v>14</v>
      </c>
    </row>
    <row r="5" spans="1:13" x14ac:dyDescent="0.3">
      <c r="A5" s="1">
        <v>41644</v>
      </c>
      <c r="B5">
        <v>4</v>
      </c>
      <c r="C5">
        <v>3</v>
      </c>
      <c r="D5">
        <v>7</v>
      </c>
      <c r="E5">
        <v>41.1</v>
      </c>
      <c r="F5">
        <v>8</v>
      </c>
      <c r="G5">
        <v>0</v>
      </c>
      <c r="H5">
        <v>3</v>
      </c>
      <c r="I5">
        <v>0</v>
      </c>
      <c r="J5">
        <v>2014</v>
      </c>
      <c r="K5">
        <v>1</v>
      </c>
      <c r="L5">
        <v>276</v>
      </c>
      <c r="M5" t="s">
        <v>15</v>
      </c>
    </row>
    <row r="6" spans="1:13" x14ac:dyDescent="0.3">
      <c r="A6" s="1">
        <v>41645</v>
      </c>
      <c r="B6">
        <v>5</v>
      </c>
      <c r="C6">
        <v>1</v>
      </c>
      <c r="D6">
        <v>4.5</v>
      </c>
      <c r="E6">
        <v>21.7</v>
      </c>
      <c r="F6">
        <v>16</v>
      </c>
      <c r="G6">
        <v>2</v>
      </c>
      <c r="H6">
        <v>6</v>
      </c>
      <c r="I6">
        <v>2</v>
      </c>
      <c r="J6">
        <v>2014</v>
      </c>
      <c r="K6">
        <v>1</v>
      </c>
      <c r="L6">
        <v>276</v>
      </c>
      <c r="M6" t="s">
        <v>16</v>
      </c>
    </row>
    <row r="7" spans="1:13" x14ac:dyDescent="0.3">
      <c r="A7" s="1">
        <v>41646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2014</v>
      </c>
      <c r="K7">
        <v>1</v>
      </c>
      <c r="L7">
        <v>276</v>
      </c>
      <c r="M7" t="s">
        <v>17</v>
      </c>
    </row>
    <row r="8" spans="1:13" x14ac:dyDescent="0.3">
      <c r="A8" s="1">
        <v>41647</v>
      </c>
      <c r="B8">
        <v>5.33</v>
      </c>
      <c r="C8">
        <v>3</v>
      </c>
      <c r="D8">
        <v>10.5</v>
      </c>
      <c r="E8">
        <v>26.4</v>
      </c>
      <c r="F8">
        <v>19</v>
      </c>
      <c r="G8">
        <v>1</v>
      </c>
      <c r="H8">
        <v>10</v>
      </c>
      <c r="I8">
        <v>0</v>
      </c>
      <c r="J8">
        <v>2014</v>
      </c>
      <c r="K8">
        <v>1</v>
      </c>
      <c r="L8">
        <v>276</v>
      </c>
      <c r="M8" t="s">
        <v>18</v>
      </c>
    </row>
    <row r="9" spans="1:13" x14ac:dyDescent="0.3">
      <c r="A9" s="1">
        <v>41648</v>
      </c>
      <c r="B9">
        <v>7</v>
      </c>
      <c r="C9">
        <v>1.68</v>
      </c>
      <c r="D9">
        <v>8</v>
      </c>
      <c r="E9">
        <v>25</v>
      </c>
      <c r="F9">
        <v>16</v>
      </c>
      <c r="G9">
        <v>0</v>
      </c>
      <c r="H9">
        <v>3</v>
      </c>
      <c r="I9">
        <v>2</v>
      </c>
      <c r="J9">
        <v>2014</v>
      </c>
      <c r="K9">
        <v>1</v>
      </c>
      <c r="L9">
        <v>276</v>
      </c>
      <c r="M9" t="s">
        <v>12</v>
      </c>
    </row>
    <row r="10" spans="1:13" x14ac:dyDescent="0.3">
      <c r="A10" s="1">
        <v>41649</v>
      </c>
      <c r="B10">
        <v>5</v>
      </c>
      <c r="C10">
        <v>2</v>
      </c>
      <c r="D10">
        <v>2</v>
      </c>
      <c r="E10">
        <v>53.3</v>
      </c>
      <c r="F10">
        <v>15</v>
      </c>
      <c r="G10">
        <v>2</v>
      </c>
      <c r="H10">
        <v>0</v>
      </c>
      <c r="I10">
        <v>2</v>
      </c>
      <c r="J10">
        <v>2014</v>
      </c>
      <c r="K10">
        <v>1</v>
      </c>
      <c r="L10">
        <v>276</v>
      </c>
      <c r="M10" t="s">
        <v>13</v>
      </c>
    </row>
    <row r="11" spans="1:13" x14ac:dyDescent="0.3">
      <c r="A11" s="1">
        <v>41650</v>
      </c>
      <c r="B11">
        <v>5</v>
      </c>
      <c r="C11">
        <v>4.34</v>
      </c>
      <c r="D11">
        <v>10.4</v>
      </c>
      <c r="E11">
        <v>52.3</v>
      </c>
      <c r="F11">
        <v>14</v>
      </c>
      <c r="G11">
        <v>0</v>
      </c>
      <c r="H11">
        <v>1</v>
      </c>
      <c r="I11">
        <v>0.2</v>
      </c>
      <c r="J11">
        <v>2014</v>
      </c>
      <c r="K11">
        <v>1</v>
      </c>
      <c r="L11">
        <v>276</v>
      </c>
      <c r="M11" t="s">
        <v>14</v>
      </c>
    </row>
    <row r="12" spans="1:13" x14ac:dyDescent="0.3">
      <c r="A12" s="1">
        <v>41651</v>
      </c>
      <c r="B12">
        <v>2</v>
      </c>
      <c r="C12">
        <v>0.66</v>
      </c>
      <c r="D12">
        <v>2.5</v>
      </c>
      <c r="E12">
        <v>12</v>
      </c>
      <c r="F12">
        <v>8</v>
      </c>
      <c r="G12">
        <v>0</v>
      </c>
      <c r="H12">
        <v>1</v>
      </c>
      <c r="I12">
        <v>1</v>
      </c>
      <c r="J12">
        <v>2014</v>
      </c>
      <c r="K12">
        <v>1</v>
      </c>
      <c r="L12">
        <v>276</v>
      </c>
      <c r="M12" t="s">
        <v>15</v>
      </c>
    </row>
    <row r="13" spans="1:13" x14ac:dyDescent="0.3">
      <c r="A13" s="1">
        <v>41652</v>
      </c>
      <c r="B13">
        <v>7.34</v>
      </c>
      <c r="C13">
        <v>7.66</v>
      </c>
      <c r="D13">
        <v>6.2</v>
      </c>
      <c r="E13">
        <v>52</v>
      </c>
      <c r="F13">
        <v>9</v>
      </c>
      <c r="G13">
        <v>0</v>
      </c>
      <c r="H13">
        <v>7</v>
      </c>
      <c r="I13">
        <v>1</v>
      </c>
      <c r="J13">
        <v>2014</v>
      </c>
      <c r="K13">
        <v>1</v>
      </c>
      <c r="L13">
        <v>276</v>
      </c>
      <c r="M13" t="s">
        <v>16</v>
      </c>
    </row>
    <row r="14" spans="1:13" x14ac:dyDescent="0.3">
      <c r="A14" s="1">
        <v>41653</v>
      </c>
      <c r="B14">
        <v>6</v>
      </c>
      <c r="C14">
        <v>1.33</v>
      </c>
      <c r="D14">
        <v>12.3</v>
      </c>
      <c r="E14">
        <v>33.700000000000003</v>
      </c>
      <c r="F14">
        <v>6</v>
      </c>
      <c r="G14">
        <v>1</v>
      </c>
      <c r="H14">
        <v>0</v>
      </c>
      <c r="I14">
        <v>2</v>
      </c>
      <c r="J14">
        <v>2014</v>
      </c>
      <c r="K14">
        <v>1</v>
      </c>
      <c r="L14">
        <v>276</v>
      </c>
      <c r="M14" t="s">
        <v>17</v>
      </c>
    </row>
    <row r="15" spans="1:13" x14ac:dyDescent="0.3">
      <c r="A15" s="1">
        <v>41654</v>
      </c>
      <c r="B15">
        <v>4</v>
      </c>
      <c r="C15">
        <v>2.34</v>
      </c>
      <c r="D15">
        <v>5</v>
      </c>
      <c r="E15">
        <v>26.7</v>
      </c>
      <c r="F15">
        <v>12</v>
      </c>
      <c r="G15">
        <v>2</v>
      </c>
      <c r="H15">
        <v>3</v>
      </c>
      <c r="I15">
        <v>3</v>
      </c>
      <c r="J15">
        <v>2014</v>
      </c>
      <c r="K15">
        <v>1</v>
      </c>
      <c r="L15">
        <v>276</v>
      </c>
      <c r="M15" t="s">
        <v>18</v>
      </c>
    </row>
    <row r="16" spans="1:13" x14ac:dyDescent="0.3">
      <c r="A16" s="1">
        <v>41655</v>
      </c>
      <c r="B16">
        <v>6</v>
      </c>
      <c r="C16">
        <v>2</v>
      </c>
      <c r="D16">
        <v>4.3</v>
      </c>
      <c r="E16">
        <v>28.3</v>
      </c>
      <c r="F16">
        <v>19</v>
      </c>
      <c r="G16">
        <v>1</v>
      </c>
      <c r="H16">
        <v>5</v>
      </c>
      <c r="I16">
        <v>0</v>
      </c>
      <c r="J16">
        <v>2014</v>
      </c>
      <c r="K16">
        <v>1</v>
      </c>
      <c r="L16">
        <v>276</v>
      </c>
      <c r="M16" t="s">
        <v>12</v>
      </c>
    </row>
    <row r="17" spans="1:13" x14ac:dyDescent="0.3">
      <c r="A17" s="1">
        <v>41656</v>
      </c>
      <c r="B17">
        <v>2</v>
      </c>
      <c r="C17">
        <v>3.68</v>
      </c>
      <c r="D17">
        <v>8.3000000000000007</v>
      </c>
      <c r="E17">
        <v>20.399999999999999</v>
      </c>
      <c r="F17">
        <v>15</v>
      </c>
      <c r="G17">
        <v>0</v>
      </c>
      <c r="H17">
        <v>6</v>
      </c>
      <c r="I17">
        <v>3</v>
      </c>
      <c r="J17">
        <v>2014</v>
      </c>
      <c r="K17">
        <v>1</v>
      </c>
      <c r="L17">
        <v>276</v>
      </c>
      <c r="M17" t="s">
        <v>13</v>
      </c>
    </row>
    <row r="18" spans="1:13" x14ac:dyDescent="0.3">
      <c r="A18" s="1">
        <v>41657</v>
      </c>
      <c r="B18">
        <v>1</v>
      </c>
      <c r="C18">
        <v>5.33</v>
      </c>
      <c r="D18">
        <v>5.8</v>
      </c>
      <c r="E18">
        <v>43.2</v>
      </c>
      <c r="F18">
        <v>15</v>
      </c>
      <c r="G18">
        <v>4</v>
      </c>
      <c r="H18">
        <v>7</v>
      </c>
      <c r="I18">
        <v>2</v>
      </c>
      <c r="J18">
        <v>2014</v>
      </c>
      <c r="K18">
        <v>1</v>
      </c>
      <c r="L18">
        <v>276</v>
      </c>
      <c r="M18" t="s">
        <v>14</v>
      </c>
    </row>
    <row r="19" spans="1:13" x14ac:dyDescent="0.3">
      <c r="A19" s="1">
        <v>41658</v>
      </c>
      <c r="B19">
        <v>4.33</v>
      </c>
      <c r="C19">
        <v>4</v>
      </c>
      <c r="D19">
        <v>4</v>
      </c>
      <c r="E19">
        <v>14.1</v>
      </c>
      <c r="F19">
        <v>4</v>
      </c>
      <c r="G19">
        <v>0</v>
      </c>
      <c r="H19">
        <v>1</v>
      </c>
      <c r="I19">
        <v>1</v>
      </c>
      <c r="J19">
        <v>2014</v>
      </c>
      <c r="K19">
        <v>1</v>
      </c>
      <c r="L19">
        <v>276</v>
      </c>
      <c r="M19" t="s">
        <v>15</v>
      </c>
    </row>
    <row r="20" spans="1:13" x14ac:dyDescent="0.3">
      <c r="A20" s="1">
        <v>41659</v>
      </c>
      <c r="B20">
        <v>6</v>
      </c>
      <c r="C20">
        <v>3.34</v>
      </c>
      <c r="D20">
        <v>3.3</v>
      </c>
      <c r="E20">
        <v>11.9</v>
      </c>
      <c r="F20">
        <v>18</v>
      </c>
      <c r="G20">
        <v>2</v>
      </c>
      <c r="H20">
        <v>12</v>
      </c>
      <c r="I20">
        <v>3</v>
      </c>
      <c r="J20">
        <v>2014</v>
      </c>
      <c r="K20">
        <v>1</v>
      </c>
      <c r="L20">
        <v>276</v>
      </c>
      <c r="M20" t="s">
        <v>16</v>
      </c>
    </row>
    <row r="21" spans="1:13" x14ac:dyDescent="0.3">
      <c r="A21" s="1">
        <v>41660</v>
      </c>
      <c r="B21">
        <v>2</v>
      </c>
      <c r="C21">
        <v>3.34</v>
      </c>
      <c r="D21">
        <v>4</v>
      </c>
      <c r="E21">
        <v>42</v>
      </c>
      <c r="F21">
        <v>15</v>
      </c>
      <c r="G21">
        <v>2</v>
      </c>
      <c r="H21">
        <v>0</v>
      </c>
      <c r="I21">
        <v>1</v>
      </c>
      <c r="J21">
        <v>2014</v>
      </c>
      <c r="K21">
        <v>1</v>
      </c>
      <c r="L21">
        <v>276</v>
      </c>
      <c r="M21" t="s">
        <v>17</v>
      </c>
    </row>
    <row r="22" spans="1:13" x14ac:dyDescent="0.3">
      <c r="A22" s="1">
        <v>41661</v>
      </c>
      <c r="B22">
        <v>7</v>
      </c>
      <c r="C22">
        <v>3</v>
      </c>
      <c r="D22">
        <v>7</v>
      </c>
      <c r="E22">
        <v>18.100000000000001</v>
      </c>
      <c r="F22">
        <v>10</v>
      </c>
      <c r="G22">
        <v>0</v>
      </c>
      <c r="H22">
        <v>5</v>
      </c>
      <c r="I22">
        <v>2</v>
      </c>
      <c r="J22">
        <v>2014</v>
      </c>
      <c r="K22">
        <v>1</v>
      </c>
      <c r="L22">
        <v>276</v>
      </c>
      <c r="M22" t="s">
        <v>18</v>
      </c>
    </row>
    <row r="23" spans="1:13" x14ac:dyDescent="0.3">
      <c r="A23" s="1">
        <v>41662</v>
      </c>
      <c r="B23">
        <v>4</v>
      </c>
      <c r="C23">
        <v>4.67</v>
      </c>
      <c r="D23">
        <v>5.2</v>
      </c>
      <c r="E23">
        <v>26.2</v>
      </c>
      <c r="F23">
        <v>2</v>
      </c>
      <c r="G23">
        <v>3</v>
      </c>
      <c r="H23">
        <v>1</v>
      </c>
      <c r="I23">
        <v>3</v>
      </c>
      <c r="J23">
        <v>2014</v>
      </c>
      <c r="K23">
        <v>1</v>
      </c>
      <c r="L23">
        <v>276</v>
      </c>
      <c r="M23" t="s">
        <v>12</v>
      </c>
    </row>
    <row r="24" spans="1:13" x14ac:dyDescent="0.3">
      <c r="A24" s="1">
        <v>41663</v>
      </c>
      <c r="B24">
        <v>4.67</v>
      </c>
      <c r="C24">
        <v>7.34</v>
      </c>
      <c r="D24">
        <v>7</v>
      </c>
      <c r="E24">
        <v>19.600000000000001</v>
      </c>
      <c r="F24">
        <v>13</v>
      </c>
      <c r="G24">
        <v>1</v>
      </c>
      <c r="H24">
        <v>0</v>
      </c>
      <c r="I24">
        <v>0</v>
      </c>
      <c r="J24">
        <v>2014</v>
      </c>
      <c r="K24">
        <v>1</v>
      </c>
      <c r="L24">
        <v>276</v>
      </c>
      <c r="M24" t="s">
        <v>13</v>
      </c>
    </row>
    <row r="25" spans="1:13" x14ac:dyDescent="0.3">
      <c r="A25" s="1">
        <v>41664</v>
      </c>
      <c r="B25">
        <v>6</v>
      </c>
      <c r="C25">
        <v>9</v>
      </c>
      <c r="D25">
        <v>5</v>
      </c>
      <c r="E25">
        <v>37.799999999999997</v>
      </c>
      <c r="F25">
        <v>18</v>
      </c>
      <c r="G25">
        <v>0</v>
      </c>
      <c r="H25">
        <v>5</v>
      </c>
      <c r="I25">
        <v>1</v>
      </c>
      <c r="J25">
        <v>2014</v>
      </c>
      <c r="K25">
        <v>1</v>
      </c>
      <c r="L25">
        <v>276</v>
      </c>
      <c r="M25" t="s">
        <v>14</v>
      </c>
    </row>
    <row r="26" spans="1:13" x14ac:dyDescent="0.3">
      <c r="A26" s="1">
        <v>41665</v>
      </c>
      <c r="B26">
        <v>4.33</v>
      </c>
      <c r="C26">
        <v>1.68</v>
      </c>
      <c r="D26">
        <v>0</v>
      </c>
      <c r="E26">
        <v>24</v>
      </c>
      <c r="F26">
        <v>4</v>
      </c>
      <c r="G26">
        <v>0</v>
      </c>
      <c r="H26">
        <v>0</v>
      </c>
      <c r="I26">
        <v>0</v>
      </c>
      <c r="J26">
        <v>2014</v>
      </c>
      <c r="K26">
        <v>1</v>
      </c>
      <c r="L26">
        <v>276</v>
      </c>
      <c r="M26" t="s">
        <v>15</v>
      </c>
    </row>
    <row r="27" spans="1:13" x14ac:dyDescent="0.3">
      <c r="A27" s="1">
        <v>41666</v>
      </c>
      <c r="B27">
        <v>4.34</v>
      </c>
      <c r="C27">
        <v>4.67</v>
      </c>
      <c r="D27">
        <v>1.2</v>
      </c>
      <c r="E27">
        <v>23.6</v>
      </c>
      <c r="F27">
        <v>17</v>
      </c>
      <c r="G27">
        <v>2</v>
      </c>
      <c r="H27">
        <v>1</v>
      </c>
      <c r="I27">
        <v>3</v>
      </c>
      <c r="J27">
        <v>2014</v>
      </c>
      <c r="K27">
        <v>1</v>
      </c>
      <c r="L27">
        <v>276</v>
      </c>
      <c r="M27" t="s">
        <v>16</v>
      </c>
    </row>
    <row r="28" spans="1:13" x14ac:dyDescent="0.3">
      <c r="A28" s="1">
        <v>41667</v>
      </c>
      <c r="B28">
        <v>6</v>
      </c>
      <c r="C28">
        <v>3.34</v>
      </c>
      <c r="D28">
        <v>2.8</v>
      </c>
      <c r="E28">
        <v>13.38</v>
      </c>
      <c r="F28">
        <v>22</v>
      </c>
      <c r="G28">
        <v>5</v>
      </c>
      <c r="H28">
        <v>1</v>
      </c>
      <c r="I28">
        <v>5</v>
      </c>
      <c r="J28">
        <v>2014</v>
      </c>
      <c r="K28">
        <v>1</v>
      </c>
      <c r="L28">
        <v>276</v>
      </c>
      <c r="M28" t="s">
        <v>17</v>
      </c>
    </row>
    <row r="29" spans="1:13" x14ac:dyDescent="0.3">
      <c r="A29" s="1">
        <v>41668</v>
      </c>
      <c r="B29">
        <v>5.33</v>
      </c>
      <c r="C29">
        <v>4</v>
      </c>
      <c r="D29">
        <v>2</v>
      </c>
      <c r="E29">
        <v>14</v>
      </c>
      <c r="F29">
        <v>10</v>
      </c>
      <c r="G29">
        <v>1</v>
      </c>
      <c r="H29">
        <v>1</v>
      </c>
      <c r="I29">
        <v>2</v>
      </c>
      <c r="J29">
        <v>2014</v>
      </c>
      <c r="K29">
        <v>1</v>
      </c>
      <c r="L29">
        <v>276</v>
      </c>
      <c r="M29" t="s">
        <v>18</v>
      </c>
    </row>
    <row r="30" spans="1:13" x14ac:dyDescent="0.3">
      <c r="A30" s="1">
        <v>41669</v>
      </c>
      <c r="B30">
        <v>3.02</v>
      </c>
      <c r="C30">
        <v>1.34</v>
      </c>
      <c r="D30">
        <v>2.4</v>
      </c>
      <c r="E30">
        <v>25.5</v>
      </c>
      <c r="F30">
        <v>7</v>
      </c>
      <c r="G30">
        <v>1</v>
      </c>
      <c r="H30">
        <v>3</v>
      </c>
      <c r="I30">
        <v>2</v>
      </c>
      <c r="J30">
        <v>2014</v>
      </c>
      <c r="K30">
        <v>1</v>
      </c>
      <c r="L30">
        <v>276</v>
      </c>
      <c r="M30" t="s">
        <v>12</v>
      </c>
    </row>
    <row r="31" spans="1:13" x14ac:dyDescent="0.3">
      <c r="A31" s="1">
        <v>41670</v>
      </c>
      <c r="B31">
        <v>1</v>
      </c>
      <c r="C31">
        <v>2.68</v>
      </c>
      <c r="D31">
        <v>7.1</v>
      </c>
      <c r="E31">
        <v>26.9</v>
      </c>
      <c r="F31">
        <v>9</v>
      </c>
      <c r="G31">
        <v>0</v>
      </c>
      <c r="H31">
        <v>1</v>
      </c>
      <c r="I31">
        <v>0</v>
      </c>
      <c r="J31">
        <v>2014</v>
      </c>
      <c r="K31">
        <v>1</v>
      </c>
      <c r="L31">
        <v>276</v>
      </c>
      <c r="M31" t="s">
        <v>13</v>
      </c>
    </row>
    <row r="32" spans="1:13" x14ac:dyDescent="0.3">
      <c r="A32" s="1">
        <v>41671</v>
      </c>
      <c r="B32">
        <v>4.33</v>
      </c>
      <c r="C32">
        <v>4.32</v>
      </c>
      <c r="D32">
        <v>5</v>
      </c>
      <c r="E32">
        <v>43</v>
      </c>
      <c r="F32">
        <v>13</v>
      </c>
      <c r="G32">
        <v>1</v>
      </c>
      <c r="H32">
        <v>14</v>
      </c>
      <c r="I32">
        <v>0</v>
      </c>
      <c r="J32">
        <v>2014</v>
      </c>
      <c r="K32">
        <v>2</v>
      </c>
      <c r="L32">
        <v>276</v>
      </c>
      <c r="M32" t="s">
        <v>14</v>
      </c>
    </row>
    <row r="33" spans="1:13" x14ac:dyDescent="0.3">
      <c r="A33" s="1">
        <v>41672</v>
      </c>
      <c r="B33">
        <v>7</v>
      </c>
      <c r="C33">
        <v>3</v>
      </c>
      <c r="D33">
        <v>0.2</v>
      </c>
      <c r="E33">
        <v>13.5</v>
      </c>
      <c r="F33">
        <v>6</v>
      </c>
      <c r="G33">
        <v>2</v>
      </c>
      <c r="H33">
        <v>8</v>
      </c>
      <c r="I33">
        <v>0</v>
      </c>
      <c r="J33">
        <v>2014</v>
      </c>
      <c r="K33">
        <v>2</v>
      </c>
      <c r="L33">
        <v>276</v>
      </c>
      <c r="M33" t="s">
        <v>15</v>
      </c>
    </row>
    <row r="34" spans="1:13" x14ac:dyDescent="0.3">
      <c r="A34" s="1">
        <v>41673</v>
      </c>
      <c r="B34">
        <v>5</v>
      </c>
      <c r="C34">
        <v>1</v>
      </c>
      <c r="D34">
        <v>8.5</v>
      </c>
      <c r="E34">
        <v>32.4</v>
      </c>
      <c r="F34">
        <v>16</v>
      </c>
      <c r="G34">
        <v>1</v>
      </c>
      <c r="H34">
        <v>1</v>
      </c>
      <c r="I34">
        <v>0</v>
      </c>
      <c r="J34">
        <v>2014</v>
      </c>
      <c r="K34">
        <v>2</v>
      </c>
      <c r="L34">
        <v>276</v>
      </c>
      <c r="M34" t="s">
        <v>16</v>
      </c>
    </row>
    <row r="35" spans="1:13" x14ac:dyDescent="0.3">
      <c r="A35" s="1">
        <v>41674</v>
      </c>
      <c r="B35">
        <v>1.33</v>
      </c>
      <c r="C35">
        <v>3</v>
      </c>
      <c r="D35">
        <v>7</v>
      </c>
      <c r="E35">
        <v>30.6</v>
      </c>
      <c r="F35">
        <v>8</v>
      </c>
      <c r="G35">
        <v>1</v>
      </c>
      <c r="H35">
        <v>17</v>
      </c>
      <c r="I35">
        <v>2</v>
      </c>
      <c r="J35">
        <v>2014</v>
      </c>
      <c r="K35">
        <v>2</v>
      </c>
      <c r="L35">
        <v>276</v>
      </c>
      <c r="M35" t="s">
        <v>17</v>
      </c>
    </row>
    <row r="36" spans="1:13" x14ac:dyDescent="0.3">
      <c r="A36" s="1">
        <v>41675</v>
      </c>
      <c r="B36">
        <v>3</v>
      </c>
      <c r="C36">
        <v>4.0199999999999996</v>
      </c>
      <c r="D36">
        <v>6.2</v>
      </c>
      <c r="E36">
        <v>32.4</v>
      </c>
      <c r="F36">
        <v>15</v>
      </c>
      <c r="G36">
        <v>1</v>
      </c>
      <c r="H36">
        <v>1</v>
      </c>
      <c r="I36">
        <v>1</v>
      </c>
      <c r="J36">
        <v>2014</v>
      </c>
      <c r="K36">
        <v>2</v>
      </c>
      <c r="L36">
        <v>276</v>
      </c>
      <c r="M36" t="s">
        <v>18</v>
      </c>
    </row>
    <row r="37" spans="1:13" x14ac:dyDescent="0.3">
      <c r="A37" s="1">
        <v>41676</v>
      </c>
      <c r="B37">
        <v>3.33</v>
      </c>
      <c r="C37">
        <v>6.68</v>
      </c>
      <c r="D37">
        <v>3.5</v>
      </c>
      <c r="E37">
        <v>41.4</v>
      </c>
      <c r="F37">
        <v>17</v>
      </c>
      <c r="G37">
        <v>2</v>
      </c>
      <c r="H37">
        <v>5</v>
      </c>
      <c r="I37">
        <v>2</v>
      </c>
      <c r="J37">
        <v>2014</v>
      </c>
      <c r="K37">
        <v>2</v>
      </c>
      <c r="L37">
        <v>276</v>
      </c>
      <c r="M37" t="s">
        <v>12</v>
      </c>
    </row>
    <row r="38" spans="1:13" x14ac:dyDescent="0.3">
      <c r="A38" s="1">
        <v>41677</v>
      </c>
      <c r="B38">
        <v>2.66</v>
      </c>
      <c r="C38">
        <v>8.67</v>
      </c>
      <c r="D38">
        <v>11.7</v>
      </c>
      <c r="E38">
        <v>21.4</v>
      </c>
      <c r="F38">
        <v>19</v>
      </c>
      <c r="G38">
        <v>1</v>
      </c>
      <c r="H38">
        <v>0</v>
      </c>
      <c r="I38">
        <v>0</v>
      </c>
      <c r="J38">
        <v>2014</v>
      </c>
      <c r="K38">
        <v>2</v>
      </c>
      <c r="L38">
        <v>276</v>
      </c>
      <c r="M38" t="s">
        <v>13</v>
      </c>
    </row>
    <row r="39" spans="1:13" x14ac:dyDescent="0.3">
      <c r="A39" s="1">
        <v>41678</v>
      </c>
      <c r="B39">
        <v>3.33</v>
      </c>
      <c r="C39">
        <v>3.35</v>
      </c>
      <c r="D39">
        <v>14.4</v>
      </c>
      <c r="E39">
        <v>37.1</v>
      </c>
      <c r="F39">
        <v>13</v>
      </c>
      <c r="G39">
        <v>1</v>
      </c>
      <c r="H39">
        <v>1</v>
      </c>
      <c r="I39">
        <v>1</v>
      </c>
      <c r="J39">
        <v>2014</v>
      </c>
      <c r="K39">
        <v>2</v>
      </c>
      <c r="L39">
        <v>276</v>
      </c>
      <c r="M39" t="s">
        <v>14</v>
      </c>
    </row>
    <row r="40" spans="1:13" x14ac:dyDescent="0.3">
      <c r="A40" s="1">
        <v>41679</v>
      </c>
      <c r="B40">
        <v>4</v>
      </c>
      <c r="C40">
        <v>3</v>
      </c>
      <c r="D40">
        <v>2</v>
      </c>
      <c r="E40">
        <v>31.5</v>
      </c>
      <c r="F40">
        <v>10</v>
      </c>
      <c r="G40">
        <v>0</v>
      </c>
      <c r="H40">
        <v>6</v>
      </c>
      <c r="I40">
        <v>0</v>
      </c>
      <c r="J40">
        <v>2014</v>
      </c>
      <c r="K40">
        <v>2</v>
      </c>
      <c r="L40">
        <v>276</v>
      </c>
      <c r="M40" t="s">
        <v>15</v>
      </c>
    </row>
    <row r="41" spans="1:13" x14ac:dyDescent="0.3">
      <c r="A41" s="1">
        <v>41680</v>
      </c>
      <c r="B41">
        <v>5</v>
      </c>
      <c r="C41">
        <v>10.33</v>
      </c>
      <c r="D41">
        <v>8.5</v>
      </c>
      <c r="E41">
        <v>40.1</v>
      </c>
      <c r="F41">
        <v>20</v>
      </c>
      <c r="G41">
        <v>3</v>
      </c>
      <c r="H41">
        <v>3</v>
      </c>
      <c r="I41">
        <v>1</v>
      </c>
      <c r="J41">
        <v>2014</v>
      </c>
      <c r="K41">
        <v>2</v>
      </c>
      <c r="L41">
        <v>276</v>
      </c>
      <c r="M41" t="s">
        <v>16</v>
      </c>
    </row>
    <row r="42" spans="1:13" x14ac:dyDescent="0.3">
      <c r="A42" s="1">
        <v>41681</v>
      </c>
      <c r="B42">
        <v>10</v>
      </c>
      <c r="C42">
        <v>6.99</v>
      </c>
      <c r="D42">
        <v>13.3</v>
      </c>
      <c r="E42">
        <v>44.6</v>
      </c>
      <c r="F42">
        <v>20</v>
      </c>
      <c r="G42">
        <v>2</v>
      </c>
      <c r="H42">
        <v>6</v>
      </c>
      <c r="I42">
        <v>2.2000000000000002</v>
      </c>
      <c r="J42">
        <v>2014</v>
      </c>
      <c r="K42">
        <v>2</v>
      </c>
      <c r="L42">
        <v>276</v>
      </c>
      <c r="M42" t="s">
        <v>17</v>
      </c>
    </row>
    <row r="43" spans="1:13" x14ac:dyDescent="0.3">
      <c r="A43" s="1">
        <v>41682</v>
      </c>
      <c r="B43">
        <v>9</v>
      </c>
      <c r="C43">
        <v>1.67</v>
      </c>
      <c r="D43">
        <v>9.1</v>
      </c>
      <c r="E43">
        <v>73.599999999999994</v>
      </c>
      <c r="F43">
        <v>9</v>
      </c>
      <c r="G43">
        <v>0</v>
      </c>
      <c r="H43">
        <v>5</v>
      </c>
      <c r="I43">
        <v>0</v>
      </c>
      <c r="J43">
        <v>2014</v>
      </c>
      <c r="K43">
        <v>2</v>
      </c>
      <c r="L43">
        <v>276</v>
      </c>
      <c r="M43" t="s">
        <v>18</v>
      </c>
    </row>
    <row r="44" spans="1:13" x14ac:dyDescent="0.3">
      <c r="A44" s="1">
        <v>41683</v>
      </c>
      <c r="B44">
        <v>4.33</v>
      </c>
      <c r="C44">
        <v>3.67</v>
      </c>
      <c r="D44">
        <v>10</v>
      </c>
      <c r="E44">
        <v>49.1</v>
      </c>
      <c r="F44">
        <v>13</v>
      </c>
      <c r="G44">
        <v>3</v>
      </c>
      <c r="H44">
        <v>0</v>
      </c>
      <c r="I44">
        <v>1</v>
      </c>
      <c r="J44">
        <v>2014</v>
      </c>
      <c r="K44">
        <v>2</v>
      </c>
      <c r="L44">
        <v>276</v>
      </c>
      <c r="M44" t="s">
        <v>12</v>
      </c>
    </row>
    <row r="45" spans="1:13" x14ac:dyDescent="0.3">
      <c r="A45" s="1">
        <v>41684</v>
      </c>
      <c r="B45">
        <v>4</v>
      </c>
      <c r="C45">
        <v>4.01</v>
      </c>
      <c r="D45">
        <v>3.2</v>
      </c>
      <c r="E45">
        <v>42.3</v>
      </c>
      <c r="F45">
        <v>13</v>
      </c>
      <c r="G45">
        <v>4</v>
      </c>
      <c r="H45">
        <v>0</v>
      </c>
      <c r="I45">
        <v>6</v>
      </c>
      <c r="J45">
        <v>2014</v>
      </c>
      <c r="K45">
        <v>2</v>
      </c>
      <c r="L45">
        <v>276</v>
      </c>
      <c r="M45" t="s">
        <v>13</v>
      </c>
    </row>
    <row r="46" spans="1:13" x14ac:dyDescent="0.3">
      <c r="A46" s="1">
        <v>41685</v>
      </c>
      <c r="B46">
        <v>1</v>
      </c>
      <c r="C46">
        <v>2.34</v>
      </c>
      <c r="D46">
        <v>2</v>
      </c>
      <c r="E46">
        <v>37</v>
      </c>
      <c r="F46">
        <v>9</v>
      </c>
      <c r="G46">
        <v>0</v>
      </c>
      <c r="H46">
        <v>1</v>
      </c>
      <c r="I46">
        <v>5</v>
      </c>
      <c r="J46">
        <v>2014</v>
      </c>
      <c r="K46">
        <v>2</v>
      </c>
      <c r="L46">
        <v>276</v>
      </c>
      <c r="M46" t="s">
        <v>14</v>
      </c>
    </row>
    <row r="47" spans="1:13" x14ac:dyDescent="0.3">
      <c r="A47" s="1">
        <v>41686</v>
      </c>
      <c r="B47">
        <v>0</v>
      </c>
      <c r="C47">
        <v>1.68</v>
      </c>
      <c r="D47">
        <v>1.2</v>
      </c>
      <c r="E47">
        <v>34</v>
      </c>
      <c r="F47">
        <v>5</v>
      </c>
      <c r="G47">
        <v>2</v>
      </c>
      <c r="H47">
        <v>3</v>
      </c>
      <c r="I47">
        <v>1</v>
      </c>
      <c r="J47">
        <v>2014</v>
      </c>
      <c r="K47">
        <v>2</v>
      </c>
      <c r="L47">
        <v>276</v>
      </c>
      <c r="M47" t="s">
        <v>15</v>
      </c>
    </row>
    <row r="48" spans="1:13" x14ac:dyDescent="0.3">
      <c r="A48" s="1">
        <v>41687</v>
      </c>
      <c r="B48">
        <v>7.34</v>
      </c>
      <c r="C48">
        <v>4</v>
      </c>
      <c r="D48">
        <v>12.7</v>
      </c>
      <c r="E48">
        <v>27</v>
      </c>
      <c r="F48">
        <v>13</v>
      </c>
      <c r="G48">
        <v>1</v>
      </c>
      <c r="H48">
        <v>7</v>
      </c>
      <c r="I48">
        <v>0</v>
      </c>
      <c r="J48">
        <v>2014</v>
      </c>
      <c r="K48">
        <v>2</v>
      </c>
      <c r="L48">
        <v>276</v>
      </c>
      <c r="M48" t="s">
        <v>16</v>
      </c>
    </row>
    <row r="49" spans="1:13" x14ac:dyDescent="0.3">
      <c r="A49" s="1">
        <v>41688</v>
      </c>
      <c r="B49">
        <v>7.34</v>
      </c>
      <c r="C49">
        <v>7.36</v>
      </c>
      <c r="D49">
        <v>6.1</v>
      </c>
      <c r="E49">
        <v>45</v>
      </c>
      <c r="F49">
        <v>14</v>
      </c>
      <c r="G49">
        <v>0</v>
      </c>
      <c r="H49">
        <v>13</v>
      </c>
      <c r="I49">
        <v>5</v>
      </c>
      <c r="J49">
        <v>2014</v>
      </c>
      <c r="K49">
        <v>2</v>
      </c>
      <c r="L49">
        <v>276</v>
      </c>
      <c r="M49" t="s">
        <v>17</v>
      </c>
    </row>
    <row r="50" spans="1:13" x14ac:dyDescent="0.3">
      <c r="A50" s="1">
        <v>41689</v>
      </c>
      <c r="B50">
        <v>3.33</v>
      </c>
      <c r="C50">
        <v>5.0199999999999996</v>
      </c>
      <c r="D50">
        <v>5.5</v>
      </c>
      <c r="E50">
        <v>66.8</v>
      </c>
      <c r="F50">
        <v>17</v>
      </c>
      <c r="G50">
        <v>1</v>
      </c>
      <c r="H50">
        <v>6</v>
      </c>
      <c r="I50">
        <v>1</v>
      </c>
      <c r="J50">
        <v>2014</v>
      </c>
      <c r="K50">
        <v>2</v>
      </c>
      <c r="L50">
        <v>276</v>
      </c>
      <c r="M50" t="s">
        <v>18</v>
      </c>
    </row>
    <row r="51" spans="1:13" x14ac:dyDescent="0.3">
      <c r="A51" s="1">
        <v>41690</v>
      </c>
      <c r="B51">
        <v>7</v>
      </c>
      <c r="C51">
        <v>7.02</v>
      </c>
      <c r="D51">
        <v>3.2</v>
      </c>
      <c r="E51">
        <v>21.5</v>
      </c>
      <c r="F51">
        <v>16</v>
      </c>
      <c r="G51">
        <v>3</v>
      </c>
      <c r="H51">
        <v>8</v>
      </c>
      <c r="I51">
        <v>1</v>
      </c>
      <c r="J51">
        <v>2014</v>
      </c>
      <c r="K51">
        <v>2</v>
      </c>
      <c r="L51">
        <v>276</v>
      </c>
      <c r="M51" t="s">
        <v>12</v>
      </c>
    </row>
    <row r="52" spans="1:13" x14ac:dyDescent="0.3">
      <c r="A52" s="1">
        <v>41691</v>
      </c>
      <c r="B52">
        <v>6</v>
      </c>
      <c r="C52">
        <v>4.34</v>
      </c>
      <c r="D52">
        <v>9</v>
      </c>
      <c r="E52">
        <v>25.4</v>
      </c>
      <c r="F52">
        <v>17</v>
      </c>
      <c r="G52">
        <v>0</v>
      </c>
      <c r="H52">
        <v>0</v>
      </c>
      <c r="I52">
        <v>0</v>
      </c>
      <c r="J52">
        <v>2014</v>
      </c>
      <c r="K52">
        <v>2</v>
      </c>
      <c r="L52">
        <v>276</v>
      </c>
      <c r="M52" t="s">
        <v>13</v>
      </c>
    </row>
    <row r="53" spans="1:13" x14ac:dyDescent="0.3">
      <c r="A53" s="1">
        <v>41692</v>
      </c>
      <c r="B53">
        <v>7</v>
      </c>
      <c r="C53">
        <v>3.17</v>
      </c>
      <c r="D53">
        <v>5.7</v>
      </c>
      <c r="E53">
        <v>26</v>
      </c>
      <c r="F53">
        <v>12</v>
      </c>
      <c r="G53">
        <v>0</v>
      </c>
      <c r="H53">
        <v>1</v>
      </c>
      <c r="I53">
        <v>0</v>
      </c>
      <c r="J53">
        <v>2014</v>
      </c>
      <c r="K53">
        <v>2</v>
      </c>
      <c r="L53">
        <v>276</v>
      </c>
      <c r="M53" t="s">
        <v>14</v>
      </c>
    </row>
    <row r="54" spans="1:13" x14ac:dyDescent="0.3">
      <c r="A54" s="1">
        <v>41693</v>
      </c>
      <c r="B54">
        <v>1</v>
      </c>
      <c r="C54">
        <v>3.34</v>
      </c>
      <c r="D54">
        <v>2</v>
      </c>
      <c r="E54">
        <v>21</v>
      </c>
      <c r="F54">
        <v>10</v>
      </c>
      <c r="G54">
        <v>0</v>
      </c>
      <c r="H54">
        <v>0</v>
      </c>
      <c r="I54">
        <v>0</v>
      </c>
      <c r="J54">
        <v>2014</v>
      </c>
      <c r="K54">
        <v>2</v>
      </c>
      <c r="L54">
        <v>276</v>
      </c>
      <c r="M54" t="s">
        <v>15</v>
      </c>
    </row>
    <row r="55" spans="1:13" x14ac:dyDescent="0.3">
      <c r="A55" s="1">
        <v>41694</v>
      </c>
      <c r="B55">
        <v>7</v>
      </c>
      <c r="C55">
        <v>4.68</v>
      </c>
      <c r="D55">
        <v>5.5</v>
      </c>
      <c r="E55">
        <v>26.5</v>
      </c>
      <c r="F55">
        <v>4</v>
      </c>
      <c r="G55">
        <v>0</v>
      </c>
      <c r="H55">
        <v>0</v>
      </c>
      <c r="I55">
        <v>3</v>
      </c>
      <c r="J55">
        <v>2014</v>
      </c>
      <c r="K55">
        <v>2</v>
      </c>
      <c r="L55">
        <v>276</v>
      </c>
      <c r="M55" t="s">
        <v>16</v>
      </c>
    </row>
    <row r="56" spans="1:13" x14ac:dyDescent="0.3">
      <c r="A56" s="1">
        <v>41695</v>
      </c>
      <c r="B56">
        <v>5</v>
      </c>
      <c r="C56">
        <v>1.68</v>
      </c>
      <c r="D56">
        <v>11.2</v>
      </c>
      <c r="E56">
        <v>34.5</v>
      </c>
      <c r="F56">
        <v>13</v>
      </c>
      <c r="G56">
        <v>0</v>
      </c>
      <c r="H56">
        <v>0</v>
      </c>
      <c r="I56">
        <v>2</v>
      </c>
      <c r="J56">
        <v>2014</v>
      </c>
      <c r="K56">
        <v>2</v>
      </c>
      <c r="L56">
        <v>276</v>
      </c>
      <c r="M56" t="s">
        <v>17</v>
      </c>
    </row>
    <row r="57" spans="1:13" x14ac:dyDescent="0.3">
      <c r="A57" s="1">
        <v>41696</v>
      </c>
      <c r="B57">
        <v>5</v>
      </c>
      <c r="C57">
        <v>4.01</v>
      </c>
      <c r="D57">
        <v>1</v>
      </c>
      <c r="E57">
        <v>34</v>
      </c>
      <c r="F57">
        <v>5</v>
      </c>
      <c r="G57">
        <v>0</v>
      </c>
      <c r="H57">
        <v>12</v>
      </c>
      <c r="I57">
        <v>1</v>
      </c>
      <c r="J57">
        <v>2014</v>
      </c>
      <c r="K57">
        <v>2</v>
      </c>
      <c r="L57">
        <v>276</v>
      </c>
      <c r="M57" t="s">
        <v>18</v>
      </c>
    </row>
    <row r="58" spans="1:13" x14ac:dyDescent="0.3">
      <c r="A58" s="1">
        <v>41697</v>
      </c>
      <c r="B58">
        <v>3</v>
      </c>
      <c r="C58">
        <v>6.34</v>
      </c>
      <c r="D58">
        <v>4</v>
      </c>
      <c r="E58">
        <v>33.200000000000003</v>
      </c>
      <c r="F58">
        <v>8</v>
      </c>
      <c r="G58">
        <v>1</v>
      </c>
      <c r="H58">
        <v>2</v>
      </c>
      <c r="I58">
        <v>1</v>
      </c>
      <c r="J58">
        <v>2014</v>
      </c>
      <c r="K58">
        <v>2</v>
      </c>
      <c r="L58">
        <v>276</v>
      </c>
      <c r="M58" t="s">
        <v>12</v>
      </c>
    </row>
    <row r="59" spans="1:13" x14ac:dyDescent="0.3">
      <c r="A59" s="1">
        <v>41698</v>
      </c>
      <c r="B59">
        <v>7</v>
      </c>
      <c r="C59">
        <v>7.36</v>
      </c>
      <c r="D59">
        <v>5.3</v>
      </c>
      <c r="E59">
        <v>37</v>
      </c>
      <c r="F59">
        <v>12</v>
      </c>
      <c r="G59">
        <v>1</v>
      </c>
      <c r="H59">
        <v>2</v>
      </c>
      <c r="I59">
        <v>0</v>
      </c>
      <c r="J59">
        <v>2014</v>
      </c>
      <c r="K59">
        <v>2</v>
      </c>
      <c r="L59">
        <v>276</v>
      </c>
      <c r="M59" t="s">
        <v>13</v>
      </c>
    </row>
    <row r="60" spans="1:13" x14ac:dyDescent="0.3">
      <c r="A60" s="1">
        <v>41699</v>
      </c>
      <c r="B60">
        <v>6.34</v>
      </c>
      <c r="C60">
        <v>3.68</v>
      </c>
      <c r="D60">
        <v>11.355</v>
      </c>
      <c r="E60">
        <v>50.7</v>
      </c>
      <c r="F60">
        <v>8</v>
      </c>
      <c r="G60">
        <v>0</v>
      </c>
      <c r="H60">
        <v>0</v>
      </c>
      <c r="I60">
        <v>2.1</v>
      </c>
      <c r="J60">
        <v>2014</v>
      </c>
      <c r="K60">
        <v>3</v>
      </c>
      <c r="L60">
        <v>276</v>
      </c>
      <c r="M60" t="s">
        <v>14</v>
      </c>
    </row>
    <row r="61" spans="1:13" x14ac:dyDescent="0.3">
      <c r="A61" s="1">
        <v>41700</v>
      </c>
      <c r="B61">
        <v>3.34</v>
      </c>
      <c r="C61">
        <v>1</v>
      </c>
      <c r="D61">
        <v>2</v>
      </c>
      <c r="E61">
        <v>6.6</v>
      </c>
      <c r="F61">
        <v>2</v>
      </c>
      <c r="G61">
        <v>0</v>
      </c>
      <c r="H61">
        <v>0</v>
      </c>
      <c r="I61">
        <v>1</v>
      </c>
      <c r="J61">
        <v>2014</v>
      </c>
      <c r="K61">
        <v>3</v>
      </c>
      <c r="L61">
        <v>276</v>
      </c>
      <c r="M61" t="s">
        <v>15</v>
      </c>
    </row>
    <row r="62" spans="1:13" x14ac:dyDescent="0.3">
      <c r="A62" s="1">
        <v>41701</v>
      </c>
      <c r="B62">
        <v>4</v>
      </c>
      <c r="C62">
        <v>3.68</v>
      </c>
      <c r="D62">
        <v>1.6</v>
      </c>
      <c r="E62">
        <v>22.1</v>
      </c>
      <c r="F62">
        <v>1</v>
      </c>
      <c r="G62">
        <v>2</v>
      </c>
      <c r="H62">
        <v>0</v>
      </c>
      <c r="I62">
        <v>2.2000000000000002</v>
      </c>
      <c r="J62">
        <v>2014</v>
      </c>
      <c r="K62">
        <v>3</v>
      </c>
      <c r="L62">
        <v>276</v>
      </c>
      <c r="M62" t="s">
        <v>16</v>
      </c>
    </row>
    <row r="63" spans="1:13" x14ac:dyDescent="0.3">
      <c r="A63" s="1">
        <v>41702</v>
      </c>
      <c r="B63">
        <v>5.34</v>
      </c>
      <c r="C63">
        <v>7.02</v>
      </c>
      <c r="D63">
        <v>7.2</v>
      </c>
      <c r="E63">
        <v>47.274999999999999</v>
      </c>
      <c r="F63">
        <v>9</v>
      </c>
      <c r="G63">
        <v>0</v>
      </c>
      <c r="H63">
        <v>5</v>
      </c>
      <c r="I63">
        <v>4</v>
      </c>
      <c r="J63">
        <v>2014</v>
      </c>
      <c r="K63">
        <v>3</v>
      </c>
      <c r="L63">
        <v>276</v>
      </c>
      <c r="M63" t="s">
        <v>17</v>
      </c>
    </row>
    <row r="64" spans="1:13" x14ac:dyDescent="0.3">
      <c r="A64" s="1">
        <v>41703</v>
      </c>
      <c r="B64">
        <v>3.34</v>
      </c>
      <c r="C64">
        <v>1</v>
      </c>
      <c r="D64">
        <v>3</v>
      </c>
      <c r="E64">
        <v>25</v>
      </c>
      <c r="F64">
        <v>4</v>
      </c>
      <c r="G64">
        <v>0</v>
      </c>
      <c r="H64">
        <v>1</v>
      </c>
      <c r="I64">
        <v>0</v>
      </c>
      <c r="J64">
        <v>2014</v>
      </c>
      <c r="K64">
        <v>3</v>
      </c>
      <c r="L64">
        <v>276</v>
      </c>
      <c r="M64" t="s">
        <v>18</v>
      </c>
    </row>
    <row r="65" spans="1:13" x14ac:dyDescent="0.3">
      <c r="A65" s="1">
        <v>41704</v>
      </c>
      <c r="B65">
        <v>3</v>
      </c>
      <c r="C65">
        <v>2</v>
      </c>
      <c r="D65">
        <v>5.5</v>
      </c>
      <c r="E65">
        <v>44.1</v>
      </c>
      <c r="F65">
        <v>17</v>
      </c>
      <c r="G65">
        <v>1</v>
      </c>
      <c r="H65">
        <v>5</v>
      </c>
      <c r="I65">
        <v>1</v>
      </c>
      <c r="J65">
        <v>2014</v>
      </c>
      <c r="K65">
        <v>3</v>
      </c>
      <c r="L65">
        <v>276</v>
      </c>
      <c r="M65" t="s">
        <v>12</v>
      </c>
    </row>
    <row r="66" spans="1:13" x14ac:dyDescent="0.3">
      <c r="A66" s="1">
        <v>41705</v>
      </c>
      <c r="B66">
        <v>4</v>
      </c>
      <c r="C66">
        <v>4.34</v>
      </c>
      <c r="D66">
        <v>9.5</v>
      </c>
      <c r="E66">
        <v>25</v>
      </c>
      <c r="F66">
        <v>3</v>
      </c>
      <c r="G66">
        <v>1</v>
      </c>
      <c r="H66">
        <v>0</v>
      </c>
      <c r="I66">
        <v>2</v>
      </c>
      <c r="J66">
        <v>2014</v>
      </c>
      <c r="K66">
        <v>3</v>
      </c>
      <c r="L66">
        <v>276</v>
      </c>
      <c r="M66" t="s">
        <v>13</v>
      </c>
    </row>
    <row r="67" spans="1:13" x14ac:dyDescent="0.3">
      <c r="A67" s="1">
        <v>41706</v>
      </c>
      <c r="B67">
        <v>4.34</v>
      </c>
      <c r="C67">
        <v>3.07</v>
      </c>
      <c r="D67">
        <v>1</v>
      </c>
      <c r="E67">
        <v>27.6</v>
      </c>
      <c r="F67">
        <v>11</v>
      </c>
      <c r="G67">
        <v>0</v>
      </c>
      <c r="H67">
        <v>0</v>
      </c>
      <c r="I67">
        <v>0</v>
      </c>
      <c r="J67">
        <v>2014</v>
      </c>
      <c r="K67">
        <v>3</v>
      </c>
      <c r="L67">
        <v>276</v>
      </c>
      <c r="M67" t="s">
        <v>14</v>
      </c>
    </row>
    <row r="68" spans="1:13" x14ac:dyDescent="0.3">
      <c r="A68" s="1">
        <v>41707</v>
      </c>
      <c r="B68">
        <v>1</v>
      </c>
      <c r="C68">
        <v>0</v>
      </c>
      <c r="D68">
        <v>4</v>
      </c>
      <c r="E68">
        <v>11.3</v>
      </c>
      <c r="F68">
        <v>3</v>
      </c>
      <c r="G68">
        <v>0</v>
      </c>
      <c r="H68">
        <v>5</v>
      </c>
      <c r="I68">
        <v>0</v>
      </c>
      <c r="J68">
        <v>2014</v>
      </c>
      <c r="K68">
        <v>3</v>
      </c>
      <c r="L68">
        <v>276</v>
      </c>
      <c r="M68" t="s">
        <v>15</v>
      </c>
    </row>
    <row r="69" spans="1:13" x14ac:dyDescent="0.3">
      <c r="A69" s="1">
        <v>41708</v>
      </c>
      <c r="B69">
        <v>6.68</v>
      </c>
      <c r="C69">
        <v>5.35</v>
      </c>
      <c r="D69">
        <v>3.8</v>
      </c>
      <c r="E69">
        <v>47</v>
      </c>
      <c r="F69">
        <v>11</v>
      </c>
      <c r="G69">
        <v>0</v>
      </c>
      <c r="H69">
        <v>0</v>
      </c>
      <c r="I69">
        <v>2</v>
      </c>
      <c r="J69">
        <v>2014</v>
      </c>
      <c r="K69">
        <v>3</v>
      </c>
      <c r="L69">
        <v>276</v>
      </c>
      <c r="M69" t="s">
        <v>16</v>
      </c>
    </row>
    <row r="70" spans="1:13" x14ac:dyDescent="0.3">
      <c r="A70" s="1">
        <v>41709</v>
      </c>
      <c r="B70">
        <v>6</v>
      </c>
      <c r="C70">
        <v>5.7</v>
      </c>
      <c r="D70">
        <v>7</v>
      </c>
      <c r="E70">
        <v>30.4</v>
      </c>
      <c r="F70">
        <v>12</v>
      </c>
      <c r="G70">
        <v>1</v>
      </c>
      <c r="H70">
        <v>1</v>
      </c>
      <c r="I70">
        <v>5</v>
      </c>
      <c r="J70">
        <v>2014</v>
      </c>
      <c r="K70">
        <v>3</v>
      </c>
      <c r="L70">
        <v>276</v>
      </c>
      <c r="M70" t="s">
        <v>17</v>
      </c>
    </row>
    <row r="71" spans="1:13" x14ac:dyDescent="0.3">
      <c r="A71" s="1">
        <v>41710</v>
      </c>
      <c r="B71">
        <v>6.34</v>
      </c>
      <c r="C71">
        <v>2.68</v>
      </c>
      <c r="D71">
        <v>6.5</v>
      </c>
      <c r="E71">
        <v>19.600000000000001</v>
      </c>
      <c r="F71">
        <v>22</v>
      </c>
      <c r="G71">
        <v>3</v>
      </c>
      <c r="H71">
        <v>2</v>
      </c>
      <c r="I71">
        <v>2</v>
      </c>
      <c r="J71">
        <v>2014</v>
      </c>
      <c r="K71">
        <v>3</v>
      </c>
      <c r="L71">
        <v>276</v>
      </c>
      <c r="M71" t="s">
        <v>18</v>
      </c>
    </row>
    <row r="72" spans="1:13" x14ac:dyDescent="0.3">
      <c r="A72" s="1">
        <v>41711</v>
      </c>
      <c r="B72">
        <v>2.31</v>
      </c>
      <c r="C72">
        <v>4.3600000000000003</v>
      </c>
      <c r="D72">
        <v>5.3</v>
      </c>
      <c r="E72">
        <v>15.5</v>
      </c>
      <c r="F72">
        <v>10</v>
      </c>
      <c r="G72">
        <v>0</v>
      </c>
      <c r="H72">
        <v>26</v>
      </c>
      <c r="I72">
        <v>2</v>
      </c>
      <c r="J72">
        <v>2014</v>
      </c>
      <c r="K72">
        <v>3</v>
      </c>
      <c r="L72">
        <v>276</v>
      </c>
      <c r="M72" t="s">
        <v>12</v>
      </c>
    </row>
    <row r="73" spans="1:13" x14ac:dyDescent="0.3">
      <c r="A73" s="1">
        <v>41712</v>
      </c>
      <c r="B73">
        <v>4.34</v>
      </c>
      <c r="C73">
        <v>1.68</v>
      </c>
      <c r="D73">
        <v>1.2</v>
      </c>
      <c r="E73">
        <v>16</v>
      </c>
      <c r="F73">
        <v>11</v>
      </c>
      <c r="G73">
        <v>0</v>
      </c>
      <c r="H73">
        <v>1</v>
      </c>
      <c r="I73">
        <v>2</v>
      </c>
      <c r="J73">
        <v>2014</v>
      </c>
      <c r="K73">
        <v>3</v>
      </c>
      <c r="L73">
        <v>276</v>
      </c>
      <c r="M73" t="s">
        <v>13</v>
      </c>
    </row>
    <row r="74" spans="1:13" x14ac:dyDescent="0.3">
      <c r="A74" s="1">
        <v>41713</v>
      </c>
      <c r="B74">
        <v>4</v>
      </c>
      <c r="C74">
        <v>2</v>
      </c>
      <c r="D74">
        <v>11</v>
      </c>
      <c r="E74">
        <v>23.3</v>
      </c>
      <c r="F74">
        <v>18</v>
      </c>
      <c r="G74">
        <v>1</v>
      </c>
      <c r="H74">
        <v>6</v>
      </c>
      <c r="I74">
        <v>2</v>
      </c>
      <c r="J74">
        <v>2014</v>
      </c>
      <c r="K74">
        <v>3</v>
      </c>
      <c r="L74">
        <v>276</v>
      </c>
      <c r="M74" t="s">
        <v>14</v>
      </c>
    </row>
    <row r="75" spans="1:13" x14ac:dyDescent="0.3">
      <c r="A75" s="1">
        <v>41714</v>
      </c>
      <c r="B75">
        <v>2.68</v>
      </c>
      <c r="C75">
        <v>2</v>
      </c>
      <c r="D75">
        <v>1.4</v>
      </c>
      <c r="E75">
        <v>13</v>
      </c>
      <c r="F75">
        <v>6</v>
      </c>
      <c r="G75">
        <v>0</v>
      </c>
      <c r="H75">
        <v>0</v>
      </c>
      <c r="I75">
        <v>4</v>
      </c>
      <c r="J75">
        <v>2014</v>
      </c>
      <c r="K75">
        <v>3</v>
      </c>
      <c r="L75">
        <v>276</v>
      </c>
      <c r="M75" t="s">
        <v>15</v>
      </c>
    </row>
    <row r="76" spans="1:13" x14ac:dyDescent="0.3">
      <c r="A76" s="1">
        <v>41715</v>
      </c>
      <c r="B76">
        <v>8.68</v>
      </c>
      <c r="C76">
        <v>3.34</v>
      </c>
      <c r="D76">
        <v>7</v>
      </c>
      <c r="E76">
        <v>37</v>
      </c>
      <c r="F76">
        <v>6</v>
      </c>
      <c r="G76">
        <v>1</v>
      </c>
      <c r="H76">
        <v>0</v>
      </c>
      <c r="I76">
        <v>1</v>
      </c>
      <c r="J76">
        <v>2014</v>
      </c>
      <c r="K76">
        <v>3</v>
      </c>
      <c r="L76">
        <v>276</v>
      </c>
      <c r="M76" t="s">
        <v>16</v>
      </c>
    </row>
    <row r="77" spans="1:13" x14ac:dyDescent="0.3">
      <c r="A77" s="1">
        <v>41716</v>
      </c>
      <c r="B77">
        <v>8</v>
      </c>
      <c r="C77">
        <v>4</v>
      </c>
      <c r="D77">
        <v>5</v>
      </c>
      <c r="E77">
        <v>20.100000000000001</v>
      </c>
      <c r="F77">
        <v>9</v>
      </c>
      <c r="G77">
        <v>0</v>
      </c>
      <c r="H77">
        <v>0</v>
      </c>
      <c r="I77">
        <v>4</v>
      </c>
      <c r="J77">
        <v>2014</v>
      </c>
      <c r="K77">
        <v>3</v>
      </c>
      <c r="L77">
        <v>276</v>
      </c>
      <c r="M77" t="s">
        <v>17</v>
      </c>
    </row>
    <row r="78" spans="1:13" x14ac:dyDescent="0.3">
      <c r="A78" s="1">
        <v>41717</v>
      </c>
      <c r="B78">
        <v>4</v>
      </c>
      <c r="C78">
        <v>3.02</v>
      </c>
      <c r="D78">
        <v>4</v>
      </c>
      <c r="E78">
        <v>21.8</v>
      </c>
      <c r="F78">
        <v>2</v>
      </c>
      <c r="G78">
        <v>0</v>
      </c>
      <c r="H78">
        <v>0</v>
      </c>
      <c r="I78">
        <v>2</v>
      </c>
      <c r="J78">
        <v>2014</v>
      </c>
      <c r="K78">
        <v>3</v>
      </c>
      <c r="L78">
        <v>276</v>
      </c>
      <c r="M78" t="s">
        <v>18</v>
      </c>
    </row>
    <row r="79" spans="1:13" x14ac:dyDescent="0.3">
      <c r="A79" s="1">
        <v>41718</v>
      </c>
      <c r="B79">
        <v>3</v>
      </c>
      <c r="C79">
        <v>5.34</v>
      </c>
      <c r="D79">
        <v>1.6</v>
      </c>
      <c r="E79">
        <v>38.200000000000003</v>
      </c>
      <c r="F79">
        <v>5</v>
      </c>
      <c r="G79">
        <v>0</v>
      </c>
      <c r="H79">
        <v>7</v>
      </c>
      <c r="I79">
        <v>4.2</v>
      </c>
      <c r="J79">
        <v>2014</v>
      </c>
      <c r="K79">
        <v>3</v>
      </c>
      <c r="L79">
        <v>276</v>
      </c>
      <c r="M79" t="s">
        <v>12</v>
      </c>
    </row>
    <row r="80" spans="1:13" x14ac:dyDescent="0.3">
      <c r="A80" s="1">
        <v>41719</v>
      </c>
      <c r="B80">
        <v>6</v>
      </c>
      <c r="C80">
        <v>3.68</v>
      </c>
      <c r="D80">
        <v>4.5</v>
      </c>
      <c r="E80">
        <v>40</v>
      </c>
      <c r="F80">
        <v>4</v>
      </c>
      <c r="G80">
        <v>0</v>
      </c>
      <c r="H80">
        <v>2</v>
      </c>
      <c r="I80">
        <v>1</v>
      </c>
      <c r="J80">
        <v>2014</v>
      </c>
      <c r="K80">
        <v>3</v>
      </c>
      <c r="L80">
        <v>276</v>
      </c>
      <c r="M80" t="s">
        <v>13</v>
      </c>
    </row>
    <row r="81" spans="1:13" x14ac:dyDescent="0.3">
      <c r="A81" s="1">
        <v>41720</v>
      </c>
      <c r="B81">
        <v>3.34</v>
      </c>
      <c r="C81">
        <v>2.34</v>
      </c>
      <c r="D81">
        <v>0</v>
      </c>
      <c r="E81">
        <v>26.3</v>
      </c>
      <c r="F81">
        <v>10</v>
      </c>
      <c r="G81">
        <v>2</v>
      </c>
      <c r="H81">
        <v>18</v>
      </c>
      <c r="I81">
        <v>8.4</v>
      </c>
      <c r="J81">
        <v>2014</v>
      </c>
      <c r="K81">
        <v>3</v>
      </c>
      <c r="L81">
        <v>276</v>
      </c>
      <c r="M81" t="s">
        <v>14</v>
      </c>
    </row>
    <row r="82" spans="1:13" x14ac:dyDescent="0.3">
      <c r="A82" s="1">
        <v>41721</v>
      </c>
      <c r="B82">
        <v>6.34</v>
      </c>
      <c r="C82">
        <v>2</v>
      </c>
      <c r="D82">
        <v>4</v>
      </c>
      <c r="E82">
        <v>19.399999999999999</v>
      </c>
      <c r="F82">
        <v>0</v>
      </c>
      <c r="G82">
        <v>1</v>
      </c>
      <c r="H82">
        <v>0</v>
      </c>
      <c r="I82">
        <v>3</v>
      </c>
      <c r="J82">
        <v>2014</v>
      </c>
      <c r="K82">
        <v>3</v>
      </c>
      <c r="L82">
        <v>276</v>
      </c>
      <c r="M82" t="s">
        <v>15</v>
      </c>
    </row>
    <row r="83" spans="1:13" x14ac:dyDescent="0.3">
      <c r="A83" s="1">
        <v>41722</v>
      </c>
      <c r="B83">
        <v>5.68</v>
      </c>
      <c r="C83">
        <v>1</v>
      </c>
      <c r="D83">
        <v>4</v>
      </c>
      <c r="E83">
        <v>23.6</v>
      </c>
      <c r="F83">
        <v>7</v>
      </c>
      <c r="G83">
        <v>0</v>
      </c>
      <c r="H83">
        <v>6</v>
      </c>
      <c r="I83">
        <v>3.5</v>
      </c>
      <c r="J83">
        <v>2014</v>
      </c>
      <c r="K83">
        <v>3</v>
      </c>
      <c r="L83">
        <v>276</v>
      </c>
      <c r="M83" t="s">
        <v>16</v>
      </c>
    </row>
    <row r="84" spans="1:13" x14ac:dyDescent="0.3">
      <c r="A84" s="1">
        <v>41723</v>
      </c>
      <c r="B84">
        <v>4</v>
      </c>
      <c r="C84">
        <v>1.34</v>
      </c>
      <c r="D84">
        <v>9</v>
      </c>
      <c r="E84">
        <v>38.6</v>
      </c>
      <c r="F84">
        <v>7</v>
      </c>
      <c r="G84">
        <v>0</v>
      </c>
      <c r="H84">
        <v>1</v>
      </c>
      <c r="I84">
        <v>1</v>
      </c>
      <c r="J84">
        <v>2014</v>
      </c>
      <c r="K84">
        <v>3</v>
      </c>
      <c r="L84">
        <v>276</v>
      </c>
      <c r="M84" t="s">
        <v>17</v>
      </c>
    </row>
    <row r="85" spans="1:13" x14ac:dyDescent="0.3">
      <c r="A85" s="1">
        <v>41724</v>
      </c>
      <c r="B85">
        <v>2.34</v>
      </c>
      <c r="C85">
        <v>3.99</v>
      </c>
      <c r="D85">
        <v>9</v>
      </c>
      <c r="E85">
        <v>6.7</v>
      </c>
      <c r="F85">
        <v>7</v>
      </c>
      <c r="G85">
        <v>3</v>
      </c>
      <c r="H85">
        <v>3</v>
      </c>
      <c r="I85">
        <v>0</v>
      </c>
      <c r="J85">
        <v>2014</v>
      </c>
      <c r="K85">
        <v>3</v>
      </c>
      <c r="L85">
        <v>276</v>
      </c>
      <c r="M85" t="s">
        <v>18</v>
      </c>
    </row>
    <row r="86" spans="1:13" x14ac:dyDescent="0.3">
      <c r="A86" s="1">
        <v>41725</v>
      </c>
      <c r="B86">
        <v>4</v>
      </c>
      <c r="C86">
        <v>0.33</v>
      </c>
      <c r="D86">
        <v>2</v>
      </c>
      <c r="E86">
        <v>20.7</v>
      </c>
      <c r="F86">
        <v>6</v>
      </c>
      <c r="G86">
        <v>1</v>
      </c>
      <c r="H86">
        <v>1</v>
      </c>
      <c r="I86">
        <v>5</v>
      </c>
      <c r="J86">
        <v>2014</v>
      </c>
      <c r="K86">
        <v>3</v>
      </c>
      <c r="L86">
        <v>276</v>
      </c>
      <c r="M86" t="s">
        <v>12</v>
      </c>
    </row>
    <row r="87" spans="1:13" x14ac:dyDescent="0.3">
      <c r="A87" s="1">
        <v>41726</v>
      </c>
      <c r="B87">
        <v>2.67</v>
      </c>
      <c r="C87">
        <v>2</v>
      </c>
      <c r="D87">
        <v>8</v>
      </c>
      <c r="E87">
        <v>11</v>
      </c>
      <c r="F87">
        <v>3</v>
      </c>
      <c r="G87">
        <v>0</v>
      </c>
      <c r="H87">
        <v>9</v>
      </c>
      <c r="I87">
        <v>5</v>
      </c>
      <c r="J87">
        <v>2014</v>
      </c>
      <c r="K87">
        <v>3</v>
      </c>
      <c r="L87">
        <v>276</v>
      </c>
      <c r="M87" t="s">
        <v>13</v>
      </c>
    </row>
    <row r="88" spans="1:13" x14ac:dyDescent="0.3">
      <c r="A88" s="1">
        <v>41727</v>
      </c>
      <c r="B88">
        <v>4</v>
      </c>
      <c r="C88">
        <v>6.33</v>
      </c>
      <c r="D88">
        <v>4.2</v>
      </c>
      <c r="E88">
        <v>24</v>
      </c>
      <c r="F88">
        <v>8</v>
      </c>
      <c r="G88">
        <v>2</v>
      </c>
      <c r="H88">
        <v>9</v>
      </c>
      <c r="I88">
        <v>3</v>
      </c>
      <c r="J88">
        <v>2014</v>
      </c>
      <c r="K88">
        <v>3</v>
      </c>
      <c r="L88">
        <v>276</v>
      </c>
      <c r="M88" t="s">
        <v>14</v>
      </c>
    </row>
    <row r="89" spans="1:13" x14ac:dyDescent="0.3">
      <c r="A89" s="1">
        <v>41728</v>
      </c>
      <c r="B89">
        <v>3</v>
      </c>
      <c r="C89">
        <v>2.34</v>
      </c>
      <c r="D89">
        <v>0</v>
      </c>
      <c r="E89">
        <v>12</v>
      </c>
      <c r="F89">
        <v>4</v>
      </c>
      <c r="G89">
        <v>0</v>
      </c>
      <c r="H89">
        <v>0</v>
      </c>
      <c r="I89">
        <v>7</v>
      </c>
      <c r="J89">
        <v>2014</v>
      </c>
      <c r="K89">
        <v>3</v>
      </c>
      <c r="L89">
        <v>276</v>
      </c>
      <c r="M89" t="s">
        <v>15</v>
      </c>
    </row>
    <row r="90" spans="1:13" x14ac:dyDescent="0.3">
      <c r="A90" s="1">
        <v>41729</v>
      </c>
      <c r="B90">
        <v>5.34</v>
      </c>
      <c r="C90">
        <v>2.34</v>
      </c>
      <c r="D90">
        <v>4</v>
      </c>
      <c r="E90">
        <v>15.4</v>
      </c>
      <c r="F90">
        <v>6</v>
      </c>
      <c r="G90">
        <v>1</v>
      </c>
      <c r="H90">
        <v>4</v>
      </c>
      <c r="I90">
        <v>6</v>
      </c>
      <c r="J90">
        <v>2014</v>
      </c>
      <c r="K90">
        <v>3</v>
      </c>
      <c r="L90">
        <v>276</v>
      </c>
      <c r="M90" t="s">
        <v>16</v>
      </c>
    </row>
    <row r="91" spans="1:13" x14ac:dyDescent="0.3">
      <c r="A91" s="1">
        <v>41730</v>
      </c>
      <c r="B91">
        <v>4.34</v>
      </c>
      <c r="C91">
        <v>1.34</v>
      </c>
      <c r="D91">
        <v>6.5</v>
      </c>
      <c r="E91">
        <v>27.5</v>
      </c>
      <c r="F91">
        <v>5</v>
      </c>
      <c r="G91">
        <v>3</v>
      </c>
      <c r="H91">
        <v>3</v>
      </c>
      <c r="I91">
        <v>1</v>
      </c>
      <c r="J91">
        <v>2014</v>
      </c>
      <c r="K91">
        <v>4</v>
      </c>
      <c r="L91">
        <v>276</v>
      </c>
      <c r="M91" t="s">
        <v>17</v>
      </c>
    </row>
    <row r="92" spans="1:13" x14ac:dyDescent="0.3">
      <c r="A92" s="1">
        <v>41731</v>
      </c>
      <c r="B92">
        <v>2</v>
      </c>
      <c r="C92">
        <v>4.68</v>
      </c>
      <c r="D92">
        <v>8.9</v>
      </c>
      <c r="E92">
        <v>23</v>
      </c>
      <c r="F92">
        <v>1</v>
      </c>
      <c r="G92">
        <v>0</v>
      </c>
      <c r="H92">
        <v>7</v>
      </c>
      <c r="I92">
        <v>3</v>
      </c>
      <c r="J92">
        <v>2014</v>
      </c>
      <c r="K92">
        <v>4</v>
      </c>
      <c r="L92">
        <v>276</v>
      </c>
      <c r="M92" t="s">
        <v>18</v>
      </c>
    </row>
    <row r="93" spans="1:13" x14ac:dyDescent="0.3">
      <c r="A93" s="1">
        <v>41732</v>
      </c>
      <c r="B93">
        <v>1</v>
      </c>
      <c r="C93">
        <v>1.34</v>
      </c>
      <c r="D93">
        <v>3</v>
      </c>
      <c r="E93">
        <v>19.2</v>
      </c>
      <c r="F93">
        <v>4</v>
      </c>
      <c r="G93">
        <v>0</v>
      </c>
      <c r="H93">
        <v>0</v>
      </c>
      <c r="I93">
        <v>4</v>
      </c>
      <c r="J93">
        <v>2014</v>
      </c>
      <c r="K93">
        <v>4</v>
      </c>
      <c r="L93">
        <v>276</v>
      </c>
      <c r="M93" t="s">
        <v>12</v>
      </c>
    </row>
    <row r="94" spans="1:13" x14ac:dyDescent="0.3">
      <c r="A94" s="1">
        <v>41733</v>
      </c>
      <c r="B94">
        <v>3</v>
      </c>
      <c r="C94">
        <v>3.67</v>
      </c>
      <c r="D94">
        <v>3</v>
      </c>
      <c r="E94">
        <v>24</v>
      </c>
      <c r="F94">
        <v>9</v>
      </c>
      <c r="G94">
        <v>3</v>
      </c>
      <c r="H94">
        <v>8</v>
      </c>
      <c r="I94">
        <v>2</v>
      </c>
      <c r="J94">
        <v>2014</v>
      </c>
      <c r="K94">
        <v>4</v>
      </c>
      <c r="L94">
        <v>276</v>
      </c>
      <c r="M94" t="s">
        <v>13</v>
      </c>
    </row>
    <row r="95" spans="1:13" x14ac:dyDescent="0.3">
      <c r="A95" s="1">
        <v>41734</v>
      </c>
      <c r="B95">
        <v>2</v>
      </c>
      <c r="C95">
        <v>7.68</v>
      </c>
      <c r="D95">
        <v>10</v>
      </c>
      <c r="E95">
        <v>25.6</v>
      </c>
      <c r="F95">
        <v>5</v>
      </c>
      <c r="G95">
        <v>0</v>
      </c>
      <c r="H95">
        <v>5</v>
      </c>
      <c r="I95">
        <v>3</v>
      </c>
      <c r="J95">
        <v>2014</v>
      </c>
      <c r="K95">
        <v>4</v>
      </c>
      <c r="L95">
        <v>276</v>
      </c>
      <c r="M95" t="s">
        <v>14</v>
      </c>
    </row>
    <row r="96" spans="1:13" x14ac:dyDescent="0.3">
      <c r="A96" s="1">
        <v>41735</v>
      </c>
      <c r="B96">
        <v>2</v>
      </c>
      <c r="C96">
        <v>1</v>
      </c>
      <c r="D96">
        <v>1</v>
      </c>
      <c r="E96">
        <v>19</v>
      </c>
      <c r="F96">
        <v>1</v>
      </c>
      <c r="G96">
        <v>0</v>
      </c>
      <c r="H96">
        <v>0</v>
      </c>
      <c r="I96">
        <v>1</v>
      </c>
      <c r="J96">
        <v>2014</v>
      </c>
      <c r="K96">
        <v>4</v>
      </c>
      <c r="L96">
        <v>276</v>
      </c>
      <c r="M96" t="s">
        <v>15</v>
      </c>
    </row>
    <row r="97" spans="1:13" x14ac:dyDescent="0.3">
      <c r="A97" s="1">
        <v>41736</v>
      </c>
      <c r="B97">
        <v>6.34</v>
      </c>
      <c r="C97">
        <v>6</v>
      </c>
      <c r="D97">
        <v>6.5</v>
      </c>
      <c r="E97">
        <v>31.5</v>
      </c>
      <c r="F97">
        <v>4</v>
      </c>
      <c r="G97">
        <v>0</v>
      </c>
      <c r="H97">
        <v>0</v>
      </c>
      <c r="I97">
        <v>1</v>
      </c>
      <c r="J97">
        <v>2014</v>
      </c>
      <c r="K97">
        <v>4</v>
      </c>
      <c r="L97">
        <v>276</v>
      </c>
      <c r="M97" t="s">
        <v>16</v>
      </c>
    </row>
    <row r="98" spans="1:13" x14ac:dyDescent="0.3">
      <c r="A98" s="1">
        <v>41737</v>
      </c>
      <c r="B98">
        <v>4.34</v>
      </c>
      <c r="C98">
        <v>2.34</v>
      </c>
      <c r="D98">
        <v>1.7</v>
      </c>
      <c r="E98">
        <v>19</v>
      </c>
      <c r="F98">
        <v>6</v>
      </c>
      <c r="G98">
        <v>1</v>
      </c>
      <c r="H98">
        <v>0</v>
      </c>
      <c r="I98">
        <v>4.7</v>
      </c>
      <c r="J98">
        <v>2014</v>
      </c>
      <c r="K98">
        <v>4</v>
      </c>
      <c r="L98">
        <v>276</v>
      </c>
      <c r="M98" t="s">
        <v>17</v>
      </c>
    </row>
    <row r="99" spans="1:13" x14ac:dyDescent="0.3">
      <c r="A99" s="1">
        <v>41738</v>
      </c>
      <c r="B99">
        <v>6</v>
      </c>
      <c r="C99">
        <v>1.02</v>
      </c>
      <c r="D99">
        <v>1</v>
      </c>
      <c r="E99">
        <v>18</v>
      </c>
      <c r="F99">
        <v>2</v>
      </c>
      <c r="G99">
        <v>1</v>
      </c>
      <c r="H99">
        <v>2</v>
      </c>
      <c r="I99">
        <v>2.6</v>
      </c>
      <c r="J99">
        <v>2014</v>
      </c>
      <c r="K99">
        <v>4</v>
      </c>
      <c r="L99">
        <v>276</v>
      </c>
      <c r="M99" t="s">
        <v>18</v>
      </c>
    </row>
    <row r="100" spans="1:13" x14ac:dyDescent="0.3">
      <c r="A100" s="1">
        <v>41739</v>
      </c>
      <c r="B100">
        <v>3.33</v>
      </c>
      <c r="C100">
        <v>1.68</v>
      </c>
      <c r="D100">
        <v>1</v>
      </c>
      <c r="E100">
        <v>18</v>
      </c>
      <c r="F100">
        <v>10</v>
      </c>
      <c r="G100">
        <v>0</v>
      </c>
      <c r="H100">
        <v>4</v>
      </c>
      <c r="I100">
        <v>4</v>
      </c>
      <c r="J100">
        <v>2014</v>
      </c>
      <c r="K100">
        <v>4</v>
      </c>
      <c r="L100">
        <v>276</v>
      </c>
      <c r="M100" t="s">
        <v>12</v>
      </c>
    </row>
    <row r="101" spans="1:13" x14ac:dyDescent="0.3">
      <c r="A101" s="1">
        <v>41740</v>
      </c>
      <c r="B101">
        <v>6</v>
      </c>
      <c r="C101">
        <v>4</v>
      </c>
      <c r="D101">
        <v>3</v>
      </c>
      <c r="E101">
        <v>25</v>
      </c>
      <c r="F101">
        <v>2</v>
      </c>
      <c r="G101">
        <v>2</v>
      </c>
      <c r="H101">
        <v>0</v>
      </c>
      <c r="I101">
        <v>2</v>
      </c>
      <c r="J101">
        <v>2014</v>
      </c>
      <c r="K101">
        <v>4</v>
      </c>
      <c r="L101">
        <v>276</v>
      </c>
      <c r="M101" t="s">
        <v>13</v>
      </c>
    </row>
    <row r="102" spans="1:13" x14ac:dyDescent="0.3">
      <c r="A102" s="1">
        <v>41741</v>
      </c>
      <c r="B102">
        <v>7.02</v>
      </c>
      <c r="C102">
        <v>3.34</v>
      </c>
      <c r="D102">
        <v>6</v>
      </c>
      <c r="E102">
        <v>23.5</v>
      </c>
      <c r="F102">
        <v>19</v>
      </c>
      <c r="G102">
        <v>0</v>
      </c>
      <c r="H102">
        <v>11</v>
      </c>
      <c r="I102">
        <v>4</v>
      </c>
      <c r="J102">
        <v>2014</v>
      </c>
      <c r="K102">
        <v>4</v>
      </c>
      <c r="L102">
        <v>276</v>
      </c>
      <c r="M102" t="s">
        <v>14</v>
      </c>
    </row>
    <row r="103" spans="1:13" x14ac:dyDescent="0.3">
      <c r="A103" s="1">
        <v>41742</v>
      </c>
      <c r="B103">
        <v>3</v>
      </c>
      <c r="C103">
        <v>2</v>
      </c>
      <c r="D103">
        <v>2</v>
      </c>
      <c r="E103">
        <v>6</v>
      </c>
      <c r="F103">
        <v>3</v>
      </c>
      <c r="G103">
        <v>0</v>
      </c>
      <c r="H103">
        <v>5</v>
      </c>
      <c r="I103">
        <v>2</v>
      </c>
      <c r="J103">
        <v>2014</v>
      </c>
      <c r="K103">
        <v>4</v>
      </c>
      <c r="L103">
        <v>276</v>
      </c>
      <c r="M103" t="s">
        <v>15</v>
      </c>
    </row>
    <row r="104" spans="1:13" x14ac:dyDescent="0.3">
      <c r="A104" s="1">
        <v>41743</v>
      </c>
      <c r="B104">
        <v>1.34</v>
      </c>
      <c r="C104">
        <v>4.68</v>
      </c>
      <c r="D104">
        <v>5.35</v>
      </c>
      <c r="E104">
        <v>28.28</v>
      </c>
      <c r="F104">
        <v>10</v>
      </c>
      <c r="G104">
        <v>0</v>
      </c>
      <c r="H104">
        <v>5</v>
      </c>
      <c r="I104">
        <v>5</v>
      </c>
      <c r="J104">
        <v>2014</v>
      </c>
      <c r="K104">
        <v>4</v>
      </c>
      <c r="L104">
        <v>276</v>
      </c>
      <c r="M104" t="s">
        <v>16</v>
      </c>
    </row>
    <row r="105" spans="1:13" x14ac:dyDescent="0.3">
      <c r="A105" s="1">
        <v>41744</v>
      </c>
      <c r="B105">
        <v>4.34</v>
      </c>
      <c r="C105">
        <v>3</v>
      </c>
      <c r="D105">
        <v>6.4</v>
      </c>
      <c r="E105">
        <v>18.7</v>
      </c>
      <c r="F105">
        <v>12</v>
      </c>
      <c r="G105">
        <v>0</v>
      </c>
      <c r="H105">
        <v>10</v>
      </c>
      <c r="I105">
        <v>1</v>
      </c>
      <c r="J105">
        <v>2014</v>
      </c>
      <c r="K105">
        <v>4</v>
      </c>
      <c r="L105">
        <v>276</v>
      </c>
      <c r="M105" t="s">
        <v>17</v>
      </c>
    </row>
    <row r="106" spans="1:13" x14ac:dyDescent="0.3">
      <c r="A106" s="1">
        <v>41745</v>
      </c>
      <c r="B106">
        <v>2</v>
      </c>
      <c r="C106">
        <v>1.01</v>
      </c>
      <c r="D106">
        <v>4.2</v>
      </c>
      <c r="E106">
        <v>25.62</v>
      </c>
      <c r="F106">
        <v>1</v>
      </c>
      <c r="G106">
        <v>0</v>
      </c>
      <c r="H106">
        <v>6</v>
      </c>
      <c r="I106">
        <v>4</v>
      </c>
      <c r="J106">
        <v>2014</v>
      </c>
      <c r="K106">
        <v>4</v>
      </c>
      <c r="L106">
        <v>276</v>
      </c>
      <c r="M106" t="s">
        <v>18</v>
      </c>
    </row>
    <row r="107" spans="1:13" x14ac:dyDescent="0.3">
      <c r="A107" s="1">
        <v>41746</v>
      </c>
      <c r="B107">
        <v>5.34</v>
      </c>
      <c r="C107">
        <v>0.34</v>
      </c>
      <c r="D107">
        <v>7.2</v>
      </c>
      <c r="E107">
        <v>16</v>
      </c>
      <c r="F107">
        <v>19</v>
      </c>
      <c r="G107">
        <v>0</v>
      </c>
      <c r="H107">
        <v>0</v>
      </c>
      <c r="I107">
        <v>0</v>
      </c>
      <c r="J107">
        <v>2014</v>
      </c>
      <c r="K107">
        <v>4</v>
      </c>
      <c r="L107">
        <v>276</v>
      </c>
      <c r="M107" t="s">
        <v>12</v>
      </c>
    </row>
    <row r="108" spans="1:13" x14ac:dyDescent="0.3">
      <c r="A108" s="1">
        <v>41747</v>
      </c>
      <c r="B108">
        <v>7</v>
      </c>
      <c r="C108">
        <v>7</v>
      </c>
      <c r="D108">
        <v>8</v>
      </c>
      <c r="E108">
        <v>23.3</v>
      </c>
      <c r="F108">
        <v>10</v>
      </c>
      <c r="G108">
        <v>1</v>
      </c>
      <c r="H108">
        <v>0</v>
      </c>
      <c r="I108">
        <v>5</v>
      </c>
      <c r="J108">
        <v>2014</v>
      </c>
      <c r="K108">
        <v>4</v>
      </c>
      <c r="L108">
        <v>276</v>
      </c>
      <c r="M108" t="s">
        <v>13</v>
      </c>
    </row>
    <row r="109" spans="1:13" x14ac:dyDescent="0.3">
      <c r="A109" s="1">
        <v>41748</v>
      </c>
      <c r="B109">
        <v>7.34</v>
      </c>
      <c r="C109">
        <v>3.35</v>
      </c>
      <c r="D109">
        <v>4</v>
      </c>
      <c r="E109">
        <v>22.3</v>
      </c>
      <c r="F109">
        <v>7</v>
      </c>
      <c r="G109">
        <v>0</v>
      </c>
      <c r="H109">
        <v>3</v>
      </c>
      <c r="I109">
        <v>5</v>
      </c>
      <c r="J109">
        <v>2014</v>
      </c>
      <c r="K109">
        <v>4</v>
      </c>
      <c r="L109">
        <v>276</v>
      </c>
      <c r="M109" t="s">
        <v>14</v>
      </c>
    </row>
    <row r="110" spans="1:13" x14ac:dyDescent="0.3">
      <c r="A110" s="1">
        <v>41749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2014</v>
      </c>
      <c r="K110">
        <v>4</v>
      </c>
      <c r="L110">
        <v>276</v>
      </c>
      <c r="M110" t="s">
        <v>15</v>
      </c>
    </row>
    <row r="111" spans="1:13" x14ac:dyDescent="0.3">
      <c r="A111" s="1">
        <v>41750</v>
      </c>
      <c r="B111">
        <v>1.34</v>
      </c>
      <c r="C111">
        <v>1.68</v>
      </c>
      <c r="D111">
        <v>2.1</v>
      </c>
      <c r="E111">
        <v>13.5</v>
      </c>
      <c r="F111">
        <v>8</v>
      </c>
      <c r="G111">
        <v>0</v>
      </c>
      <c r="H111">
        <v>0</v>
      </c>
      <c r="I111">
        <v>1</v>
      </c>
      <c r="J111">
        <v>2014</v>
      </c>
      <c r="K111">
        <v>4</v>
      </c>
      <c r="L111">
        <v>276</v>
      </c>
      <c r="M111" t="s">
        <v>16</v>
      </c>
    </row>
    <row r="112" spans="1:13" x14ac:dyDescent="0.3">
      <c r="A112" s="1">
        <v>41751</v>
      </c>
      <c r="B112">
        <v>5.34</v>
      </c>
      <c r="C112">
        <v>7.165</v>
      </c>
      <c r="D112">
        <v>3.3</v>
      </c>
      <c r="E112">
        <v>32</v>
      </c>
      <c r="F112">
        <v>8</v>
      </c>
      <c r="G112">
        <v>1</v>
      </c>
      <c r="H112">
        <v>0</v>
      </c>
      <c r="I112">
        <v>1</v>
      </c>
      <c r="J112">
        <v>2014</v>
      </c>
      <c r="K112">
        <v>4</v>
      </c>
      <c r="L112">
        <v>276</v>
      </c>
      <c r="M112" t="s">
        <v>17</v>
      </c>
    </row>
    <row r="113" spans="1:13" x14ac:dyDescent="0.3">
      <c r="A113" s="1">
        <v>41752</v>
      </c>
      <c r="B113">
        <v>6.34</v>
      </c>
      <c r="C113">
        <v>2.34</v>
      </c>
      <c r="D113">
        <v>3</v>
      </c>
      <c r="E113">
        <v>24.9</v>
      </c>
      <c r="F113">
        <v>8</v>
      </c>
      <c r="G113">
        <v>1</v>
      </c>
      <c r="H113">
        <v>2</v>
      </c>
      <c r="I113">
        <v>1</v>
      </c>
      <c r="J113">
        <v>2014</v>
      </c>
      <c r="K113">
        <v>4</v>
      </c>
      <c r="L113">
        <v>276</v>
      </c>
      <c r="M113" t="s">
        <v>18</v>
      </c>
    </row>
    <row r="114" spans="1:13" x14ac:dyDescent="0.3">
      <c r="A114" s="1">
        <v>41753</v>
      </c>
      <c r="B114">
        <v>2</v>
      </c>
      <c r="C114">
        <v>2</v>
      </c>
      <c r="D114">
        <v>1.1000000000000001</v>
      </c>
      <c r="E114">
        <v>26</v>
      </c>
      <c r="F114">
        <v>6</v>
      </c>
      <c r="G114">
        <v>0</v>
      </c>
      <c r="H114">
        <v>6</v>
      </c>
      <c r="I114">
        <v>2</v>
      </c>
      <c r="J114">
        <v>2014</v>
      </c>
      <c r="K114">
        <v>4</v>
      </c>
      <c r="L114">
        <v>276</v>
      </c>
      <c r="M114" t="s">
        <v>12</v>
      </c>
    </row>
    <row r="115" spans="1:13" x14ac:dyDescent="0.3">
      <c r="A115" s="1">
        <v>41754</v>
      </c>
      <c r="B115">
        <v>3</v>
      </c>
      <c r="C115">
        <v>2.02</v>
      </c>
      <c r="D115">
        <v>5</v>
      </c>
      <c r="E115">
        <v>24.9</v>
      </c>
      <c r="F115">
        <v>10</v>
      </c>
      <c r="G115">
        <v>1</v>
      </c>
      <c r="H115">
        <v>1</v>
      </c>
      <c r="I115">
        <v>3</v>
      </c>
      <c r="J115">
        <v>2014</v>
      </c>
      <c r="K115">
        <v>4</v>
      </c>
      <c r="L115">
        <v>276</v>
      </c>
      <c r="M115" t="s">
        <v>13</v>
      </c>
    </row>
    <row r="116" spans="1:13" x14ac:dyDescent="0.3">
      <c r="A116" s="1">
        <v>41755</v>
      </c>
      <c r="B116">
        <v>4.34</v>
      </c>
      <c r="C116">
        <v>2.67</v>
      </c>
      <c r="D116">
        <v>5.5</v>
      </c>
      <c r="E116">
        <v>35</v>
      </c>
      <c r="F116">
        <v>12</v>
      </c>
      <c r="G116">
        <v>1</v>
      </c>
      <c r="H116">
        <v>6</v>
      </c>
      <c r="I116">
        <v>4</v>
      </c>
      <c r="J116">
        <v>2014</v>
      </c>
      <c r="K116">
        <v>4</v>
      </c>
      <c r="L116">
        <v>276</v>
      </c>
      <c r="M116" t="s">
        <v>14</v>
      </c>
    </row>
    <row r="117" spans="1:13" x14ac:dyDescent="0.3">
      <c r="A117" s="1">
        <v>41756</v>
      </c>
      <c r="B117">
        <v>4</v>
      </c>
      <c r="C117">
        <v>2.34</v>
      </c>
      <c r="D117">
        <v>2</v>
      </c>
      <c r="E117">
        <v>26.2</v>
      </c>
      <c r="F117">
        <v>2</v>
      </c>
      <c r="G117">
        <v>0</v>
      </c>
      <c r="H117">
        <v>1</v>
      </c>
      <c r="I117">
        <v>1</v>
      </c>
      <c r="J117">
        <v>2014</v>
      </c>
      <c r="K117">
        <v>4</v>
      </c>
      <c r="L117">
        <v>276</v>
      </c>
      <c r="M117" t="s">
        <v>15</v>
      </c>
    </row>
    <row r="118" spans="1:13" x14ac:dyDescent="0.3">
      <c r="A118" s="1">
        <v>41757</v>
      </c>
      <c r="B118">
        <v>1.34</v>
      </c>
      <c r="C118">
        <v>3.09</v>
      </c>
      <c r="D118">
        <v>3</v>
      </c>
      <c r="E118">
        <v>29.1</v>
      </c>
      <c r="F118">
        <v>8</v>
      </c>
      <c r="G118">
        <v>2</v>
      </c>
      <c r="H118">
        <v>0</v>
      </c>
      <c r="I118">
        <v>2</v>
      </c>
      <c r="J118">
        <v>2014</v>
      </c>
      <c r="K118">
        <v>4</v>
      </c>
      <c r="L118">
        <v>276</v>
      </c>
      <c r="M118" t="s">
        <v>16</v>
      </c>
    </row>
    <row r="119" spans="1:13" x14ac:dyDescent="0.3">
      <c r="A119" s="1">
        <v>41758</v>
      </c>
      <c r="B119">
        <v>3.33</v>
      </c>
      <c r="C119">
        <v>4.0199999999999996</v>
      </c>
      <c r="D119">
        <v>4.4000000000000004</v>
      </c>
      <c r="E119">
        <v>30.3</v>
      </c>
      <c r="F119">
        <v>6</v>
      </c>
      <c r="G119">
        <v>1</v>
      </c>
      <c r="H119">
        <v>5</v>
      </c>
      <c r="I119">
        <v>0.4</v>
      </c>
      <c r="J119">
        <v>2014</v>
      </c>
      <c r="K119">
        <v>4</v>
      </c>
      <c r="L119">
        <v>276</v>
      </c>
      <c r="M119" t="s">
        <v>17</v>
      </c>
    </row>
    <row r="120" spans="1:13" x14ac:dyDescent="0.3">
      <c r="A120" s="1">
        <v>41759</v>
      </c>
      <c r="B120">
        <v>4.34</v>
      </c>
      <c r="C120">
        <v>2.68</v>
      </c>
      <c r="D120">
        <v>7</v>
      </c>
      <c r="E120">
        <v>43.1</v>
      </c>
      <c r="F120">
        <v>11</v>
      </c>
      <c r="G120">
        <v>0</v>
      </c>
      <c r="H120">
        <v>7</v>
      </c>
      <c r="I120">
        <v>4</v>
      </c>
      <c r="J120">
        <v>2014</v>
      </c>
      <c r="K120">
        <v>4</v>
      </c>
      <c r="L120">
        <v>276</v>
      </c>
      <c r="M120" t="s">
        <v>18</v>
      </c>
    </row>
    <row r="121" spans="1:13" x14ac:dyDescent="0.3">
      <c r="A121" s="1">
        <v>41760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2014</v>
      </c>
      <c r="K121">
        <v>5</v>
      </c>
      <c r="L121">
        <v>276</v>
      </c>
      <c r="M121" t="s">
        <v>12</v>
      </c>
    </row>
    <row r="122" spans="1:13" x14ac:dyDescent="0.3">
      <c r="A122" s="1">
        <v>41761</v>
      </c>
      <c r="B122">
        <v>7.34</v>
      </c>
      <c r="C122">
        <v>7.34</v>
      </c>
      <c r="D122">
        <v>6.3</v>
      </c>
      <c r="E122">
        <v>39.5</v>
      </c>
      <c r="F122">
        <v>16</v>
      </c>
      <c r="G122">
        <v>1</v>
      </c>
      <c r="H122">
        <v>12</v>
      </c>
      <c r="I122">
        <v>2</v>
      </c>
      <c r="J122">
        <v>2014</v>
      </c>
      <c r="K122">
        <v>5</v>
      </c>
      <c r="L122">
        <v>276</v>
      </c>
      <c r="M122" t="s">
        <v>13</v>
      </c>
    </row>
    <row r="123" spans="1:13" x14ac:dyDescent="0.3">
      <c r="A123" s="1">
        <v>41762</v>
      </c>
      <c r="B123">
        <v>4</v>
      </c>
      <c r="C123">
        <v>5.34</v>
      </c>
      <c r="D123">
        <v>2</v>
      </c>
      <c r="E123">
        <v>14.6</v>
      </c>
      <c r="F123">
        <v>5</v>
      </c>
      <c r="G123">
        <v>2</v>
      </c>
      <c r="H123">
        <v>0</v>
      </c>
      <c r="I123">
        <v>2.5</v>
      </c>
      <c r="J123">
        <v>2014</v>
      </c>
      <c r="K123">
        <v>5</v>
      </c>
      <c r="L123">
        <v>276</v>
      </c>
      <c r="M123" t="s">
        <v>14</v>
      </c>
    </row>
    <row r="124" spans="1:13" x14ac:dyDescent="0.3">
      <c r="A124" s="1">
        <v>41763</v>
      </c>
      <c r="B124">
        <v>1.67</v>
      </c>
      <c r="C124">
        <v>4.6900000000000004</v>
      </c>
      <c r="D124">
        <v>1.2</v>
      </c>
      <c r="E124">
        <v>20</v>
      </c>
      <c r="F124">
        <v>3</v>
      </c>
      <c r="G124">
        <v>0</v>
      </c>
      <c r="H124">
        <v>0</v>
      </c>
      <c r="I124">
        <v>3</v>
      </c>
      <c r="J124">
        <v>2014</v>
      </c>
      <c r="K124">
        <v>5</v>
      </c>
      <c r="L124">
        <v>276</v>
      </c>
      <c r="M124" t="s">
        <v>15</v>
      </c>
    </row>
    <row r="125" spans="1:13" x14ac:dyDescent="0.3">
      <c r="A125" s="1">
        <v>41764</v>
      </c>
      <c r="B125">
        <v>3</v>
      </c>
      <c r="C125">
        <v>5.7850000000000001</v>
      </c>
      <c r="D125">
        <v>5</v>
      </c>
      <c r="E125">
        <v>20</v>
      </c>
      <c r="F125">
        <v>7</v>
      </c>
      <c r="G125">
        <v>0</v>
      </c>
      <c r="H125">
        <v>3</v>
      </c>
      <c r="I125">
        <v>4</v>
      </c>
      <c r="J125">
        <v>2014</v>
      </c>
      <c r="K125">
        <v>5</v>
      </c>
      <c r="L125">
        <v>276</v>
      </c>
      <c r="M125" t="s">
        <v>16</v>
      </c>
    </row>
    <row r="126" spans="1:13" x14ac:dyDescent="0.3">
      <c r="A126" s="1">
        <v>41765</v>
      </c>
      <c r="B126">
        <v>7.34</v>
      </c>
      <c r="C126">
        <v>4.3600000000000003</v>
      </c>
      <c r="D126">
        <v>4</v>
      </c>
      <c r="E126">
        <v>22</v>
      </c>
      <c r="F126">
        <v>10</v>
      </c>
      <c r="G126">
        <v>2</v>
      </c>
      <c r="H126">
        <v>6</v>
      </c>
      <c r="I126">
        <v>5</v>
      </c>
      <c r="J126">
        <v>2014</v>
      </c>
      <c r="K126">
        <v>5</v>
      </c>
      <c r="L126">
        <v>276</v>
      </c>
      <c r="M126" t="s">
        <v>17</v>
      </c>
    </row>
    <row r="127" spans="1:13" x14ac:dyDescent="0.3">
      <c r="A127" s="1">
        <v>41766</v>
      </c>
      <c r="B127">
        <v>3.33</v>
      </c>
      <c r="C127">
        <v>6.32</v>
      </c>
      <c r="D127">
        <v>3</v>
      </c>
      <c r="E127">
        <v>16.8</v>
      </c>
      <c r="F127">
        <v>8</v>
      </c>
      <c r="G127">
        <v>1</v>
      </c>
      <c r="H127">
        <v>3</v>
      </c>
      <c r="I127">
        <v>11</v>
      </c>
      <c r="J127">
        <v>2014</v>
      </c>
      <c r="K127">
        <v>5</v>
      </c>
      <c r="L127">
        <v>276</v>
      </c>
      <c r="M127" t="s">
        <v>18</v>
      </c>
    </row>
    <row r="128" spans="1:13" x14ac:dyDescent="0.3">
      <c r="A128" s="1">
        <v>41767</v>
      </c>
      <c r="B128">
        <v>2</v>
      </c>
      <c r="C128">
        <v>2.34</v>
      </c>
      <c r="D128">
        <v>3.4</v>
      </c>
      <c r="E128">
        <v>20.399999999999999</v>
      </c>
      <c r="F128">
        <v>10</v>
      </c>
      <c r="G128">
        <v>3</v>
      </c>
      <c r="H128">
        <v>0</v>
      </c>
      <c r="I128">
        <v>5</v>
      </c>
      <c r="J128">
        <v>2014</v>
      </c>
      <c r="K128">
        <v>5</v>
      </c>
      <c r="L128">
        <v>276</v>
      </c>
      <c r="M128" t="s">
        <v>12</v>
      </c>
    </row>
    <row r="129" spans="1:13" x14ac:dyDescent="0.3">
      <c r="A129" s="1">
        <v>41768</v>
      </c>
      <c r="B129">
        <v>2</v>
      </c>
      <c r="C129">
        <v>5</v>
      </c>
      <c r="D129">
        <v>4.2</v>
      </c>
      <c r="E129">
        <v>16</v>
      </c>
      <c r="F129">
        <v>12</v>
      </c>
      <c r="G129">
        <v>2</v>
      </c>
      <c r="H129">
        <v>1</v>
      </c>
      <c r="I129">
        <v>2</v>
      </c>
      <c r="J129">
        <v>2014</v>
      </c>
      <c r="K129">
        <v>5</v>
      </c>
      <c r="L129">
        <v>276</v>
      </c>
      <c r="M129" t="s">
        <v>13</v>
      </c>
    </row>
    <row r="130" spans="1:13" x14ac:dyDescent="0.3">
      <c r="A130" s="1">
        <v>41769</v>
      </c>
      <c r="B130">
        <v>5</v>
      </c>
      <c r="C130">
        <v>6</v>
      </c>
      <c r="D130">
        <v>9</v>
      </c>
      <c r="E130">
        <v>39.4</v>
      </c>
      <c r="F130">
        <v>15</v>
      </c>
      <c r="G130">
        <v>3</v>
      </c>
      <c r="H130">
        <v>1</v>
      </c>
      <c r="I130">
        <v>5</v>
      </c>
      <c r="J130">
        <v>2014</v>
      </c>
      <c r="K130">
        <v>5</v>
      </c>
      <c r="L130">
        <v>276</v>
      </c>
      <c r="M130" t="s">
        <v>14</v>
      </c>
    </row>
    <row r="131" spans="1:13" x14ac:dyDescent="0.3">
      <c r="A131" s="1">
        <v>41770</v>
      </c>
      <c r="B131">
        <v>2</v>
      </c>
      <c r="C131">
        <v>2.68</v>
      </c>
      <c r="D131">
        <v>1</v>
      </c>
      <c r="E131">
        <v>17</v>
      </c>
      <c r="F131">
        <v>7</v>
      </c>
      <c r="G131">
        <v>0</v>
      </c>
      <c r="H131">
        <v>1</v>
      </c>
      <c r="I131">
        <v>4</v>
      </c>
      <c r="J131">
        <v>2014</v>
      </c>
      <c r="K131">
        <v>5</v>
      </c>
      <c r="L131">
        <v>276</v>
      </c>
      <c r="M131" t="s">
        <v>15</v>
      </c>
    </row>
    <row r="132" spans="1:13" x14ac:dyDescent="0.3">
      <c r="A132" s="1">
        <v>41771</v>
      </c>
      <c r="B132">
        <v>4.34</v>
      </c>
      <c r="C132">
        <v>3.34</v>
      </c>
      <c r="D132">
        <v>9</v>
      </c>
      <c r="E132">
        <v>12</v>
      </c>
      <c r="F132">
        <v>8</v>
      </c>
      <c r="G132">
        <v>0</v>
      </c>
      <c r="H132">
        <v>5</v>
      </c>
      <c r="I132">
        <v>2</v>
      </c>
      <c r="J132">
        <v>2014</v>
      </c>
      <c r="K132">
        <v>5</v>
      </c>
      <c r="L132">
        <v>276</v>
      </c>
      <c r="M132" t="s">
        <v>16</v>
      </c>
    </row>
    <row r="133" spans="1:13" x14ac:dyDescent="0.3">
      <c r="A133" s="1">
        <v>41772</v>
      </c>
      <c r="B133">
        <v>3.68</v>
      </c>
      <c r="C133">
        <v>0.34</v>
      </c>
      <c r="D133">
        <v>6.2</v>
      </c>
      <c r="E133">
        <v>32</v>
      </c>
      <c r="F133">
        <v>7</v>
      </c>
      <c r="G133">
        <v>0</v>
      </c>
      <c r="H133">
        <v>25</v>
      </c>
      <c r="I133">
        <v>7.5</v>
      </c>
      <c r="J133">
        <v>2014</v>
      </c>
      <c r="K133">
        <v>5</v>
      </c>
      <c r="L133">
        <v>276</v>
      </c>
      <c r="M133" t="s">
        <v>17</v>
      </c>
    </row>
    <row r="134" spans="1:13" x14ac:dyDescent="0.3">
      <c r="A134" s="1">
        <v>41773</v>
      </c>
      <c r="B134">
        <v>1</v>
      </c>
      <c r="C134">
        <v>4.0199999999999996</v>
      </c>
      <c r="D134">
        <v>6</v>
      </c>
      <c r="E134">
        <v>24.3</v>
      </c>
      <c r="F134">
        <v>4</v>
      </c>
      <c r="G134">
        <v>0</v>
      </c>
      <c r="H134">
        <v>0</v>
      </c>
      <c r="I134">
        <v>3</v>
      </c>
      <c r="J134">
        <v>2014</v>
      </c>
      <c r="K134">
        <v>5</v>
      </c>
      <c r="L134">
        <v>276</v>
      </c>
      <c r="M134" t="s">
        <v>18</v>
      </c>
    </row>
    <row r="135" spans="1:13" x14ac:dyDescent="0.3">
      <c r="A135" s="1">
        <v>41774</v>
      </c>
      <c r="B135">
        <v>2.34</v>
      </c>
      <c r="C135">
        <v>2.02</v>
      </c>
      <c r="D135">
        <v>3</v>
      </c>
      <c r="E135">
        <v>19.3</v>
      </c>
      <c r="F135">
        <v>7</v>
      </c>
      <c r="G135">
        <v>0</v>
      </c>
      <c r="H135">
        <v>1</v>
      </c>
      <c r="I135">
        <v>2</v>
      </c>
      <c r="J135">
        <v>2014</v>
      </c>
      <c r="K135">
        <v>5</v>
      </c>
      <c r="L135">
        <v>276</v>
      </c>
      <c r="M135" t="s">
        <v>12</v>
      </c>
    </row>
    <row r="136" spans="1:13" x14ac:dyDescent="0.3">
      <c r="A136" s="1">
        <v>41775</v>
      </c>
      <c r="B136">
        <v>5.34</v>
      </c>
      <c r="C136">
        <v>7</v>
      </c>
      <c r="D136">
        <v>3</v>
      </c>
      <c r="E136">
        <v>22</v>
      </c>
      <c r="F136">
        <v>10</v>
      </c>
      <c r="G136">
        <v>1</v>
      </c>
      <c r="H136">
        <v>11</v>
      </c>
      <c r="I136">
        <v>1</v>
      </c>
      <c r="J136">
        <v>2014</v>
      </c>
      <c r="K136">
        <v>5</v>
      </c>
      <c r="L136">
        <v>276</v>
      </c>
      <c r="M136" t="s">
        <v>13</v>
      </c>
    </row>
    <row r="137" spans="1:13" x14ac:dyDescent="0.3">
      <c r="A137" s="1">
        <v>41776</v>
      </c>
      <c r="B137">
        <v>2.34</v>
      </c>
      <c r="C137">
        <v>7.68</v>
      </c>
      <c r="D137">
        <v>3</v>
      </c>
      <c r="E137">
        <v>35</v>
      </c>
      <c r="F137">
        <v>14</v>
      </c>
      <c r="G137">
        <v>1</v>
      </c>
      <c r="H137">
        <v>0</v>
      </c>
      <c r="I137">
        <v>2</v>
      </c>
      <c r="J137">
        <v>2014</v>
      </c>
      <c r="K137">
        <v>5</v>
      </c>
      <c r="L137">
        <v>276</v>
      </c>
      <c r="M137" t="s">
        <v>14</v>
      </c>
    </row>
    <row r="138" spans="1:13" x14ac:dyDescent="0.3">
      <c r="A138" s="1">
        <v>41777</v>
      </c>
      <c r="B138">
        <v>3.34</v>
      </c>
      <c r="C138">
        <v>2</v>
      </c>
      <c r="D138">
        <v>5</v>
      </c>
      <c r="E138">
        <v>9.4</v>
      </c>
      <c r="F138">
        <v>6</v>
      </c>
      <c r="G138">
        <v>0</v>
      </c>
      <c r="H138">
        <v>0</v>
      </c>
      <c r="I138">
        <v>1</v>
      </c>
      <c r="J138">
        <v>2014</v>
      </c>
      <c r="K138">
        <v>5</v>
      </c>
      <c r="L138">
        <v>276</v>
      </c>
      <c r="M138" t="s">
        <v>15</v>
      </c>
    </row>
    <row r="139" spans="1:13" x14ac:dyDescent="0.3">
      <c r="A139" s="1">
        <v>41778</v>
      </c>
      <c r="B139">
        <v>8.34</v>
      </c>
      <c r="C139">
        <v>3.84</v>
      </c>
      <c r="D139">
        <v>6.1</v>
      </c>
      <c r="E139">
        <v>12.8</v>
      </c>
      <c r="F139">
        <v>5</v>
      </c>
      <c r="G139">
        <v>0</v>
      </c>
      <c r="H139">
        <v>3</v>
      </c>
      <c r="I139">
        <v>9</v>
      </c>
      <c r="J139">
        <v>2014</v>
      </c>
      <c r="K139">
        <v>5</v>
      </c>
      <c r="L139">
        <v>276</v>
      </c>
      <c r="M139" t="s">
        <v>16</v>
      </c>
    </row>
    <row r="140" spans="1:13" x14ac:dyDescent="0.3">
      <c r="A140" s="1">
        <v>41779</v>
      </c>
      <c r="B140">
        <v>1</v>
      </c>
      <c r="C140">
        <v>2.375</v>
      </c>
      <c r="D140">
        <v>7</v>
      </c>
      <c r="E140">
        <v>27</v>
      </c>
      <c r="F140">
        <v>10</v>
      </c>
      <c r="G140">
        <v>1</v>
      </c>
      <c r="H140">
        <v>0</v>
      </c>
      <c r="I140">
        <v>3.6</v>
      </c>
      <c r="J140">
        <v>2014</v>
      </c>
      <c r="K140">
        <v>5</v>
      </c>
      <c r="L140">
        <v>276</v>
      </c>
      <c r="M140" t="s">
        <v>17</v>
      </c>
    </row>
    <row r="141" spans="1:13" x14ac:dyDescent="0.3">
      <c r="A141" s="1">
        <v>41780</v>
      </c>
      <c r="B141">
        <v>2</v>
      </c>
      <c r="C141">
        <v>4.68</v>
      </c>
      <c r="D141">
        <v>9.5</v>
      </c>
      <c r="E141">
        <v>15.4</v>
      </c>
      <c r="F141">
        <v>6</v>
      </c>
      <c r="G141">
        <v>1</v>
      </c>
      <c r="H141">
        <v>0</v>
      </c>
      <c r="I141">
        <v>3</v>
      </c>
      <c r="J141">
        <v>2014</v>
      </c>
      <c r="K141">
        <v>5</v>
      </c>
      <c r="L141">
        <v>276</v>
      </c>
      <c r="M141" t="s">
        <v>18</v>
      </c>
    </row>
    <row r="142" spans="1:13" x14ac:dyDescent="0.3">
      <c r="A142" s="1">
        <v>41781</v>
      </c>
      <c r="B142">
        <v>3.68</v>
      </c>
      <c r="C142">
        <v>1.33</v>
      </c>
      <c r="D142">
        <v>1.2</v>
      </c>
      <c r="E142">
        <v>8</v>
      </c>
      <c r="F142">
        <v>8</v>
      </c>
      <c r="G142">
        <v>0</v>
      </c>
      <c r="H142">
        <v>2</v>
      </c>
      <c r="I142">
        <v>4</v>
      </c>
      <c r="J142">
        <v>2014</v>
      </c>
      <c r="K142">
        <v>5</v>
      </c>
      <c r="L142">
        <v>276</v>
      </c>
      <c r="M142" t="s">
        <v>12</v>
      </c>
    </row>
    <row r="143" spans="1:13" x14ac:dyDescent="0.3">
      <c r="A143" s="1">
        <v>41782</v>
      </c>
      <c r="B143">
        <v>5</v>
      </c>
      <c r="C143">
        <v>2.34</v>
      </c>
      <c r="D143">
        <v>3.9</v>
      </c>
      <c r="E143">
        <v>17.5</v>
      </c>
      <c r="F143">
        <v>8</v>
      </c>
      <c r="G143">
        <v>2</v>
      </c>
      <c r="H143">
        <v>10</v>
      </c>
      <c r="I143">
        <v>7</v>
      </c>
      <c r="J143">
        <v>2014</v>
      </c>
      <c r="K143">
        <v>5</v>
      </c>
      <c r="L143">
        <v>276</v>
      </c>
      <c r="M143" t="s">
        <v>13</v>
      </c>
    </row>
    <row r="144" spans="1:13" x14ac:dyDescent="0.3">
      <c r="A144" s="1">
        <v>41783</v>
      </c>
      <c r="B144">
        <v>3</v>
      </c>
      <c r="C144">
        <v>4.7130000000000001</v>
      </c>
      <c r="D144">
        <v>5</v>
      </c>
      <c r="E144">
        <v>28</v>
      </c>
      <c r="F144">
        <v>11</v>
      </c>
      <c r="G144">
        <v>1</v>
      </c>
      <c r="H144">
        <v>0</v>
      </c>
      <c r="I144">
        <v>9</v>
      </c>
      <c r="J144">
        <v>2014</v>
      </c>
      <c r="K144">
        <v>5</v>
      </c>
      <c r="L144">
        <v>276</v>
      </c>
      <c r="M144" t="s">
        <v>14</v>
      </c>
    </row>
    <row r="145" spans="1:13" x14ac:dyDescent="0.3">
      <c r="A145" s="1">
        <v>41784</v>
      </c>
      <c r="B145">
        <v>2</v>
      </c>
      <c r="C145">
        <v>3</v>
      </c>
      <c r="D145">
        <v>1</v>
      </c>
      <c r="E145">
        <v>7</v>
      </c>
      <c r="F145">
        <v>8</v>
      </c>
      <c r="G145">
        <v>0</v>
      </c>
      <c r="H145">
        <v>5</v>
      </c>
      <c r="I145">
        <v>1</v>
      </c>
      <c r="J145">
        <v>2014</v>
      </c>
      <c r="K145">
        <v>5</v>
      </c>
      <c r="L145">
        <v>276</v>
      </c>
      <c r="M145" t="s">
        <v>15</v>
      </c>
    </row>
    <row r="146" spans="1:13" x14ac:dyDescent="0.3">
      <c r="A146" s="1">
        <v>41785</v>
      </c>
      <c r="B146">
        <v>2.68</v>
      </c>
      <c r="C146">
        <v>3.34</v>
      </c>
      <c r="D146">
        <v>7.4</v>
      </c>
      <c r="E146">
        <v>18</v>
      </c>
      <c r="F146">
        <v>7</v>
      </c>
      <c r="G146">
        <v>1</v>
      </c>
      <c r="H146">
        <v>0</v>
      </c>
      <c r="I146">
        <v>5</v>
      </c>
      <c r="J146">
        <v>2014</v>
      </c>
      <c r="K146">
        <v>5</v>
      </c>
      <c r="L146">
        <v>276</v>
      </c>
      <c r="M146" t="s">
        <v>16</v>
      </c>
    </row>
    <row r="147" spans="1:13" x14ac:dyDescent="0.3">
      <c r="A147" s="1">
        <v>41786</v>
      </c>
      <c r="B147">
        <v>0</v>
      </c>
      <c r="C147">
        <v>2.34</v>
      </c>
      <c r="D147">
        <v>5</v>
      </c>
      <c r="E147">
        <v>28.6</v>
      </c>
      <c r="F147">
        <v>12</v>
      </c>
      <c r="G147">
        <v>1</v>
      </c>
      <c r="H147">
        <v>1</v>
      </c>
      <c r="I147">
        <v>6</v>
      </c>
      <c r="J147">
        <v>2014</v>
      </c>
      <c r="K147">
        <v>5</v>
      </c>
      <c r="L147">
        <v>276</v>
      </c>
      <c r="M147" t="s">
        <v>17</v>
      </c>
    </row>
    <row r="148" spans="1:13" x14ac:dyDescent="0.3">
      <c r="A148" s="1">
        <v>41787</v>
      </c>
      <c r="B148">
        <v>1.34</v>
      </c>
      <c r="C148">
        <v>5.0199999999999996</v>
      </c>
      <c r="D148">
        <v>1.4</v>
      </c>
      <c r="E148">
        <v>10.28</v>
      </c>
      <c r="F148">
        <v>9</v>
      </c>
      <c r="G148">
        <v>0</v>
      </c>
      <c r="H148">
        <v>2</v>
      </c>
      <c r="I148">
        <v>5.0999999999999996</v>
      </c>
      <c r="J148">
        <v>2014</v>
      </c>
      <c r="K148">
        <v>5</v>
      </c>
      <c r="L148">
        <v>276</v>
      </c>
      <c r="M148" t="s">
        <v>18</v>
      </c>
    </row>
    <row r="149" spans="1:13" x14ac:dyDescent="0.3">
      <c r="A149" s="1">
        <v>41788</v>
      </c>
      <c r="B149">
        <v>4</v>
      </c>
      <c r="C149">
        <v>5.34</v>
      </c>
      <c r="D149">
        <v>6.3</v>
      </c>
      <c r="E149">
        <v>27</v>
      </c>
      <c r="F149">
        <v>13</v>
      </c>
      <c r="G149">
        <v>0</v>
      </c>
      <c r="H149">
        <v>0</v>
      </c>
      <c r="I149">
        <v>2</v>
      </c>
      <c r="J149">
        <v>2014</v>
      </c>
      <c r="K149">
        <v>5</v>
      </c>
      <c r="L149">
        <v>276</v>
      </c>
      <c r="M149" t="s">
        <v>12</v>
      </c>
    </row>
    <row r="150" spans="1:13" x14ac:dyDescent="0.3">
      <c r="A150" s="1">
        <v>41789</v>
      </c>
      <c r="B150">
        <v>3.02</v>
      </c>
      <c r="C150">
        <v>2.02</v>
      </c>
      <c r="D150">
        <v>2</v>
      </c>
      <c r="E150">
        <v>21.5</v>
      </c>
      <c r="F150">
        <v>14</v>
      </c>
      <c r="G150">
        <v>0</v>
      </c>
      <c r="H150">
        <v>0</v>
      </c>
      <c r="I150">
        <v>5</v>
      </c>
      <c r="J150">
        <v>2014</v>
      </c>
      <c r="K150">
        <v>5</v>
      </c>
      <c r="L150">
        <v>276</v>
      </c>
      <c r="M150" t="s">
        <v>13</v>
      </c>
    </row>
    <row r="151" spans="1:13" x14ac:dyDescent="0.3">
      <c r="A151" s="1">
        <v>41790</v>
      </c>
      <c r="B151">
        <v>5.67</v>
      </c>
      <c r="C151">
        <v>3.34</v>
      </c>
      <c r="D151">
        <v>2</v>
      </c>
      <c r="E151">
        <v>28</v>
      </c>
      <c r="F151">
        <v>10</v>
      </c>
      <c r="G151">
        <v>0</v>
      </c>
      <c r="H151">
        <v>15</v>
      </c>
      <c r="I151">
        <v>2</v>
      </c>
      <c r="J151">
        <v>2014</v>
      </c>
      <c r="K151">
        <v>5</v>
      </c>
      <c r="L151">
        <v>276</v>
      </c>
      <c r="M151" t="s">
        <v>14</v>
      </c>
    </row>
    <row r="152" spans="1:13" x14ac:dyDescent="0.3">
      <c r="A152" s="1">
        <v>41791</v>
      </c>
      <c r="B152">
        <v>1</v>
      </c>
      <c r="C152">
        <v>0.68</v>
      </c>
      <c r="D152">
        <v>1</v>
      </c>
      <c r="E152">
        <v>10</v>
      </c>
      <c r="F152">
        <v>4</v>
      </c>
      <c r="G152">
        <v>1</v>
      </c>
      <c r="H152">
        <v>1</v>
      </c>
      <c r="I152">
        <v>3</v>
      </c>
      <c r="J152">
        <v>2014</v>
      </c>
      <c r="K152">
        <v>6</v>
      </c>
      <c r="L152">
        <v>276</v>
      </c>
      <c r="M152" t="s">
        <v>15</v>
      </c>
    </row>
    <row r="153" spans="1:13" x14ac:dyDescent="0.3">
      <c r="A153" s="1">
        <v>41792</v>
      </c>
      <c r="B153">
        <v>4</v>
      </c>
      <c r="C153">
        <v>4.34</v>
      </c>
      <c r="D153">
        <v>10</v>
      </c>
      <c r="E153">
        <v>23.3</v>
      </c>
      <c r="F153">
        <v>16</v>
      </c>
      <c r="G153">
        <v>3</v>
      </c>
      <c r="H153">
        <v>0</v>
      </c>
      <c r="I153">
        <v>3</v>
      </c>
      <c r="J153">
        <v>2014</v>
      </c>
      <c r="K153">
        <v>6</v>
      </c>
      <c r="L153">
        <v>276</v>
      </c>
      <c r="M153" t="s">
        <v>16</v>
      </c>
    </row>
    <row r="154" spans="1:13" x14ac:dyDescent="0.3">
      <c r="A154" s="1">
        <v>41793</v>
      </c>
      <c r="B154">
        <v>3</v>
      </c>
      <c r="C154">
        <v>2</v>
      </c>
      <c r="D154">
        <v>2.4</v>
      </c>
      <c r="E154">
        <v>24</v>
      </c>
      <c r="F154">
        <v>7</v>
      </c>
      <c r="G154">
        <v>2</v>
      </c>
      <c r="H154">
        <v>5</v>
      </c>
      <c r="I154">
        <v>3</v>
      </c>
      <c r="J154">
        <v>2014</v>
      </c>
      <c r="K154">
        <v>6</v>
      </c>
      <c r="L154">
        <v>276</v>
      </c>
      <c r="M154" t="s">
        <v>17</v>
      </c>
    </row>
    <row r="155" spans="1:13" x14ac:dyDescent="0.3">
      <c r="A155" s="1">
        <v>41794</v>
      </c>
      <c r="B155">
        <v>1</v>
      </c>
      <c r="C155">
        <v>4.68</v>
      </c>
      <c r="D155">
        <v>3.5</v>
      </c>
      <c r="E155">
        <v>24</v>
      </c>
      <c r="F155">
        <v>6</v>
      </c>
      <c r="G155">
        <v>0</v>
      </c>
      <c r="H155">
        <v>1</v>
      </c>
      <c r="I155">
        <v>2.5</v>
      </c>
      <c r="J155">
        <v>2014</v>
      </c>
      <c r="K155">
        <v>6</v>
      </c>
      <c r="L155">
        <v>276</v>
      </c>
      <c r="M155" t="s">
        <v>18</v>
      </c>
    </row>
    <row r="156" spans="1:13" x14ac:dyDescent="0.3">
      <c r="A156" s="1">
        <v>41795</v>
      </c>
      <c r="B156">
        <v>0.34</v>
      </c>
      <c r="C156">
        <v>4.68</v>
      </c>
      <c r="D156">
        <v>4.5</v>
      </c>
      <c r="E156">
        <v>22.5</v>
      </c>
      <c r="F156">
        <v>4</v>
      </c>
      <c r="G156">
        <v>0</v>
      </c>
      <c r="H156">
        <v>0</v>
      </c>
      <c r="I156">
        <v>5</v>
      </c>
      <c r="J156">
        <v>2014</v>
      </c>
      <c r="K156">
        <v>6</v>
      </c>
      <c r="L156">
        <v>276</v>
      </c>
      <c r="M156" t="s">
        <v>12</v>
      </c>
    </row>
    <row r="157" spans="1:13" x14ac:dyDescent="0.3">
      <c r="A157" s="1">
        <v>41796</v>
      </c>
      <c r="B157">
        <v>5</v>
      </c>
      <c r="C157">
        <v>1.68</v>
      </c>
      <c r="D157">
        <v>3</v>
      </c>
      <c r="E157">
        <v>16.625</v>
      </c>
      <c r="F157">
        <v>15</v>
      </c>
      <c r="G157">
        <v>2</v>
      </c>
      <c r="H157">
        <v>1</v>
      </c>
      <c r="I157">
        <v>5</v>
      </c>
      <c r="J157">
        <v>2014</v>
      </c>
      <c r="K157">
        <v>6</v>
      </c>
      <c r="L157">
        <v>276</v>
      </c>
      <c r="M157" t="s">
        <v>13</v>
      </c>
    </row>
    <row r="158" spans="1:13" x14ac:dyDescent="0.3">
      <c r="A158" s="1">
        <v>41797</v>
      </c>
      <c r="B158">
        <v>9</v>
      </c>
      <c r="C158">
        <v>3.68</v>
      </c>
      <c r="D158">
        <v>7.5</v>
      </c>
      <c r="E158">
        <v>33</v>
      </c>
      <c r="F158">
        <v>8</v>
      </c>
      <c r="G158">
        <v>1</v>
      </c>
      <c r="H158">
        <v>6</v>
      </c>
      <c r="I158">
        <v>7</v>
      </c>
      <c r="J158">
        <v>2014</v>
      </c>
      <c r="K158">
        <v>6</v>
      </c>
      <c r="L158">
        <v>276</v>
      </c>
      <c r="M158" t="s">
        <v>14</v>
      </c>
    </row>
    <row r="159" spans="1:13" x14ac:dyDescent="0.3">
      <c r="A159" s="1">
        <v>41798</v>
      </c>
      <c r="B159">
        <v>1</v>
      </c>
      <c r="C159">
        <v>2</v>
      </c>
      <c r="D159">
        <v>3</v>
      </c>
      <c r="E159">
        <v>11</v>
      </c>
      <c r="F159">
        <v>8</v>
      </c>
      <c r="G159">
        <v>0</v>
      </c>
      <c r="H159">
        <v>6</v>
      </c>
      <c r="I159">
        <v>2</v>
      </c>
      <c r="J159">
        <v>2014</v>
      </c>
      <c r="K159">
        <v>6</v>
      </c>
      <c r="L159">
        <v>276</v>
      </c>
      <c r="M159" t="s">
        <v>15</v>
      </c>
    </row>
    <row r="160" spans="1:13" x14ac:dyDescent="0.3">
      <c r="A160" s="1">
        <v>41799</v>
      </c>
      <c r="B160">
        <v>6.33</v>
      </c>
      <c r="C160">
        <v>1.34</v>
      </c>
      <c r="D160">
        <v>5</v>
      </c>
      <c r="E160">
        <v>18</v>
      </c>
      <c r="F160">
        <v>17</v>
      </c>
      <c r="G160">
        <v>4</v>
      </c>
      <c r="H160">
        <v>0</v>
      </c>
      <c r="I160">
        <v>11</v>
      </c>
      <c r="J160">
        <v>2014</v>
      </c>
      <c r="K160">
        <v>6</v>
      </c>
      <c r="L160">
        <v>276</v>
      </c>
      <c r="M160" t="s">
        <v>16</v>
      </c>
    </row>
    <row r="161" spans="1:13" x14ac:dyDescent="0.3">
      <c r="A161" s="1">
        <v>41800</v>
      </c>
      <c r="B161">
        <v>8.68</v>
      </c>
      <c r="C161">
        <v>2.68</v>
      </c>
      <c r="D161">
        <v>4.3</v>
      </c>
      <c r="E161">
        <v>23</v>
      </c>
      <c r="F161">
        <v>16</v>
      </c>
      <c r="G161">
        <v>2</v>
      </c>
      <c r="H161">
        <v>2</v>
      </c>
      <c r="I161">
        <v>6.5</v>
      </c>
      <c r="J161">
        <v>2014</v>
      </c>
      <c r="K161">
        <v>6</v>
      </c>
      <c r="L161">
        <v>276</v>
      </c>
      <c r="M161" t="s">
        <v>17</v>
      </c>
    </row>
    <row r="162" spans="1:13" x14ac:dyDescent="0.3">
      <c r="A162" s="1">
        <v>41801</v>
      </c>
      <c r="B162">
        <v>4.34</v>
      </c>
      <c r="C162">
        <v>0.68</v>
      </c>
      <c r="D162">
        <v>2.2999999999999998</v>
      </c>
      <c r="E162">
        <v>12.5</v>
      </c>
      <c r="F162">
        <v>16</v>
      </c>
      <c r="G162">
        <v>2</v>
      </c>
      <c r="H162">
        <v>12</v>
      </c>
      <c r="I162">
        <v>9</v>
      </c>
      <c r="J162">
        <v>2014</v>
      </c>
      <c r="K162">
        <v>6</v>
      </c>
      <c r="L162">
        <v>276</v>
      </c>
      <c r="M162" t="s">
        <v>18</v>
      </c>
    </row>
    <row r="163" spans="1:13" x14ac:dyDescent="0.3">
      <c r="A163" s="1">
        <v>41802</v>
      </c>
      <c r="B163">
        <v>4.34</v>
      </c>
      <c r="C163">
        <v>3</v>
      </c>
      <c r="D163">
        <v>1</v>
      </c>
      <c r="E163">
        <v>15.8</v>
      </c>
      <c r="F163">
        <v>12</v>
      </c>
      <c r="G163">
        <v>0</v>
      </c>
      <c r="H163">
        <v>2</v>
      </c>
      <c r="I163">
        <v>3</v>
      </c>
      <c r="J163">
        <v>2014</v>
      </c>
      <c r="K163">
        <v>6</v>
      </c>
      <c r="L163">
        <v>276</v>
      </c>
      <c r="M163" t="s">
        <v>12</v>
      </c>
    </row>
    <row r="164" spans="1:13" x14ac:dyDescent="0.3">
      <c r="A164" s="1">
        <v>41803</v>
      </c>
      <c r="B164">
        <v>1</v>
      </c>
      <c r="C164">
        <v>2.68</v>
      </c>
      <c r="D164">
        <v>5</v>
      </c>
      <c r="E164">
        <v>10</v>
      </c>
      <c r="F164">
        <v>11</v>
      </c>
      <c r="G164">
        <v>0</v>
      </c>
      <c r="H164">
        <v>3</v>
      </c>
      <c r="I164">
        <v>1</v>
      </c>
      <c r="J164">
        <v>2014</v>
      </c>
      <c r="K164">
        <v>6</v>
      </c>
      <c r="L164">
        <v>276</v>
      </c>
      <c r="M164" t="s">
        <v>13</v>
      </c>
    </row>
    <row r="165" spans="1:13" x14ac:dyDescent="0.3">
      <c r="A165" s="1">
        <v>41804</v>
      </c>
      <c r="B165">
        <v>4</v>
      </c>
      <c r="C165">
        <v>5.0199999999999996</v>
      </c>
      <c r="D165">
        <v>6</v>
      </c>
      <c r="E165">
        <v>8</v>
      </c>
      <c r="F165">
        <v>10</v>
      </c>
      <c r="G165">
        <v>0</v>
      </c>
      <c r="H165">
        <v>1</v>
      </c>
      <c r="I165">
        <v>3</v>
      </c>
      <c r="J165">
        <v>2014</v>
      </c>
      <c r="K165">
        <v>6</v>
      </c>
      <c r="L165">
        <v>276</v>
      </c>
      <c r="M165" t="s">
        <v>14</v>
      </c>
    </row>
    <row r="166" spans="1:13" x14ac:dyDescent="0.3">
      <c r="A166" s="1">
        <v>41805</v>
      </c>
      <c r="B166">
        <v>0.34</v>
      </c>
      <c r="C166">
        <v>2</v>
      </c>
      <c r="D166">
        <v>0</v>
      </c>
      <c r="E166">
        <v>8</v>
      </c>
      <c r="F166">
        <v>5</v>
      </c>
      <c r="G166">
        <v>0</v>
      </c>
      <c r="H166">
        <v>0</v>
      </c>
      <c r="I166">
        <v>3.3</v>
      </c>
      <c r="J166">
        <v>2014</v>
      </c>
      <c r="K166">
        <v>6</v>
      </c>
      <c r="L166">
        <v>276</v>
      </c>
      <c r="M166" t="s">
        <v>15</v>
      </c>
    </row>
    <row r="167" spans="1:13" x14ac:dyDescent="0.3">
      <c r="A167" s="1">
        <v>41806</v>
      </c>
      <c r="B167">
        <v>4.34</v>
      </c>
      <c r="C167">
        <v>4.34</v>
      </c>
      <c r="D167">
        <v>7.4</v>
      </c>
      <c r="E167">
        <v>12.2</v>
      </c>
      <c r="F167">
        <v>11</v>
      </c>
      <c r="G167">
        <v>0</v>
      </c>
      <c r="H167">
        <v>5</v>
      </c>
      <c r="I167">
        <v>5</v>
      </c>
      <c r="J167">
        <v>2014</v>
      </c>
      <c r="K167">
        <v>6</v>
      </c>
      <c r="L167">
        <v>276</v>
      </c>
      <c r="M167" t="s">
        <v>16</v>
      </c>
    </row>
    <row r="168" spans="1:13" x14ac:dyDescent="0.3">
      <c r="A168" s="1">
        <v>41807</v>
      </c>
      <c r="B168">
        <v>5</v>
      </c>
      <c r="C168">
        <v>2.34</v>
      </c>
      <c r="D168">
        <v>4</v>
      </c>
      <c r="E168">
        <v>14</v>
      </c>
      <c r="F168">
        <v>12</v>
      </c>
      <c r="G168">
        <v>2</v>
      </c>
      <c r="H168">
        <v>0</v>
      </c>
      <c r="I168">
        <v>3</v>
      </c>
      <c r="J168">
        <v>2014</v>
      </c>
      <c r="K168">
        <v>6</v>
      </c>
      <c r="L168">
        <v>276</v>
      </c>
      <c r="M168" t="s">
        <v>17</v>
      </c>
    </row>
    <row r="169" spans="1:13" x14ac:dyDescent="0.3">
      <c r="A169" s="1">
        <v>41808</v>
      </c>
      <c r="B169">
        <v>2</v>
      </c>
      <c r="C169">
        <v>2</v>
      </c>
      <c r="D169">
        <v>4.7</v>
      </c>
      <c r="E169">
        <v>18</v>
      </c>
      <c r="F169">
        <v>6</v>
      </c>
      <c r="G169">
        <v>0</v>
      </c>
      <c r="H169">
        <v>1</v>
      </c>
      <c r="I169">
        <v>3</v>
      </c>
      <c r="J169">
        <v>2014</v>
      </c>
      <c r="K169">
        <v>6</v>
      </c>
      <c r="L169">
        <v>276</v>
      </c>
      <c r="M169" t="s">
        <v>18</v>
      </c>
    </row>
    <row r="170" spans="1:13" x14ac:dyDescent="0.3">
      <c r="A170" s="1">
        <v>41809</v>
      </c>
      <c r="B170">
        <v>3</v>
      </c>
      <c r="C170">
        <v>3.33</v>
      </c>
      <c r="D170">
        <v>1</v>
      </c>
      <c r="E170">
        <v>14</v>
      </c>
      <c r="F170">
        <v>8</v>
      </c>
      <c r="G170">
        <v>0</v>
      </c>
      <c r="H170">
        <v>0</v>
      </c>
      <c r="I170">
        <v>1</v>
      </c>
      <c r="J170">
        <v>2014</v>
      </c>
      <c r="K170">
        <v>6</v>
      </c>
      <c r="L170">
        <v>276</v>
      </c>
      <c r="M170" t="s">
        <v>12</v>
      </c>
    </row>
    <row r="171" spans="1:13" x14ac:dyDescent="0.3">
      <c r="A171" s="1">
        <v>41810</v>
      </c>
      <c r="B171">
        <v>7.34</v>
      </c>
      <c r="C171">
        <v>2.02</v>
      </c>
      <c r="D171">
        <v>3</v>
      </c>
      <c r="E171">
        <v>14.5</v>
      </c>
      <c r="F171">
        <v>9</v>
      </c>
      <c r="G171">
        <v>0</v>
      </c>
      <c r="H171">
        <v>3</v>
      </c>
      <c r="I171">
        <v>6</v>
      </c>
      <c r="J171">
        <v>2014</v>
      </c>
      <c r="K171">
        <v>6</v>
      </c>
      <c r="L171">
        <v>276</v>
      </c>
      <c r="M171" t="s">
        <v>13</v>
      </c>
    </row>
    <row r="172" spans="1:13" x14ac:dyDescent="0.3">
      <c r="A172" s="1">
        <v>41811</v>
      </c>
      <c r="B172">
        <v>6</v>
      </c>
      <c r="C172">
        <v>5.68</v>
      </c>
      <c r="D172">
        <v>2</v>
      </c>
      <c r="E172">
        <v>16</v>
      </c>
      <c r="F172">
        <v>12</v>
      </c>
      <c r="G172">
        <v>3</v>
      </c>
      <c r="H172">
        <v>0</v>
      </c>
      <c r="I172">
        <v>3</v>
      </c>
      <c r="J172">
        <v>2014</v>
      </c>
      <c r="K172">
        <v>6</v>
      </c>
      <c r="L172">
        <v>276</v>
      </c>
      <c r="M172" t="s">
        <v>14</v>
      </c>
    </row>
    <row r="173" spans="1:13" x14ac:dyDescent="0.3">
      <c r="A173" s="1">
        <v>41812</v>
      </c>
      <c r="B173">
        <v>4</v>
      </c>
      <c r="C173">
        <v>1.02</v>
      </c>
      <c r="D173">
        <v>4</v>
      </c>
      <c r="E173">
        <v>18</v>
      </c>
      <c r="F173">
        <v>8</v>
      </c>
      <c r="G173">
        <v>0</v>
      </c>
      <c r="H173">
        <v>2</v>
      </c>
      <c r="I173">
        <v>3</v>
      </c>
      <c r="J173">
        <v>2014</v>
      </c>
      <c r="K173">
        <v>6</v>
      </c>
      <c r="L173">
        <v>276</v>
      </c>
      <c r="M173" t="s">
        <v>15</v>
      </c>
    </row>
    <row r="174" spans="1:13" x14ac:dyDescent="0.3">
      <c r="A174" s="1">
        <v>41813</v>
      </c>
      <c r="B174">
        <v>2.34</v>
      </c>
      <c r="C174">
        <v>7.68</v>
      </c>
      <c r="D174">
        <v>3</v>
      </c>
      <c r="E174">
        <v>25.2</v>
      </c>
      <c r="F174">
        <v>12</v>
      </c>
      <c r="G174">
        <v>0</v>
      </c>
      <c r="H174">
        <v>2</v>
      </c>
      <c r="I174">
        <v>3</v>
      </c>
      <c r="J174">
        <v>2014</v>
      </c>
      <c r="K174">
        <v>6</v>
      </c>
      <c r="L174">
        <v>276</v>
      </c>
      <c r="M174" t="s">
        <v>16</v>
      </c>
    </row>
    <row r="175" spans="1:13" x14ac:dyDescent="0.3">
      <c r="A175" s="1">
        <v>41814</v>
      </c>
      <c r="B175">
        <v>3</v>
      </c>
      <c r="C175">
        <v>5.14</v>
      </c>
      <c r="D175">
        <v>4</v>
      </c>
      <c r="E175">
        <v>16.2</v>
      </c>
      <c r="F175">
        <v>23</v>
      </c>
      <c r="G175">
        <v>0</v>
      </c>
      <c r="H175">
        <v>2</v>
      </c>
      <c r="I175">
        <v>4</v>
      </c>
      <c r="J175">
        <v>2014</v>
      </c>
      <c r="K175">
        <v>6</v>
      </c>
      <c r="L175">
        <v>276</v>
      </c>
      <c r="M175" t="s">
        <v>17</v>
      </c>
    </row>
    <row r="176" spans="1:13" x14ac:dyDescent="0.3">
      <c r="A176" s="1">
        <v>41815</v>
      </c>
      <c r="B176">
        <v>8</v>
      </c>
      <c r="C176">
        <v>5.34</v>
      </c>
      <c r="D176">
        <v>7</v>
      </c>
      <c r="E176">
        <v>33.799999999999997</v>
      </c>
      <c r="F176">
        <v>19</v>
      </c>
      <c r="G176">
        <v>0</v>
      </c>
      <c r="H176">
        <v>0</v>
      </c>
      <c r="I176">
        <v>1</v>
      </c>
      <c r="J176">
        <v>2014</v>
      </c>
      <c r="K176">
        <v>6</v>
      </c>
      <c r="L176">
        <v>276</v>
      </c>
      <c r="M176" t="s">
        <v>18</v>
      </c>
    </row>
    <row r="177" spans="1:13" x14ac:dyDescent="0.3">
      <c r="A177" s="1">
        <v>41816</v>
      </c>
      <c r="B177">
        <v>3</v>
      </c>
      <c r="C177">
        <v>2</v>
      </c>
      <c r="D177">
        <v>11.3</v>
      </c>
      <c r="E177">
        <v>19.3</v>
      </c>
      <c r="F177">
        <v>14</v>
      </c>
      <c r="G177">
        <v>0</v>
      </c>
      <c r="H177">
        <v>0</v>
      </c>
      <c r="I177">
        <v>1</v>
      </c>
      <c r="J177">
        <v>2014</v>
      </c>
      <c r="K177">
        <v>6</v>
      </c>
      <c r="L177">
        <v>276</v>
      </c>
      <c r="M177" t="s">
        <v>12</v>
      </c>
    </row>
    <row r="178" spans="1:13" x14ac:dyDescent="0.3">
      <c r="A178" s="1">
        <v>41817</v>
      </c>
      <c r="B178">
        <v>4.34</v>
      </c>
      <c r="C178">
        <v>1</v>
      </c>
      <c r="D178">
        <v>6</v>
      </c>
      <c r="E178">
        <v>32.299999999999997</v>
      </c>
      <c r="F178">
        <v>13</v>
      </c>
      <c r="G178">
        <v>0</v>
      </c>
      <c r="H178">
        <v>1</v>
      </c>
      <c r="I178">
        <v>3</v>
      </c>
      <c r="J178">
        <v>2014</v>
      </c>
      <c r="K178">
        <v>6</v>
      </c>
      <c r="L178">
        <v>276</v>
      </c>
      <c r="M178" t="s">
        <v>13</v>
      </c>
    </row>
    <row r="179" spans="1:13" x14ac:dyDescent="0.3">
      <c r="A179" s="1">
        <v>41818</v>
      </c>
      <c r="B179">
        <v>0.34</v>
      </c>
      <c r="C179">
        <v>5.34</v>
      </c>
      <c r="D179">
        <v>5</v>
      </c>
      <c r="E179">
        <v>20</v>
      </c>
      <c r="F179">
        <v>14</v>
      </c>
      <c r="G179">
        <v>1</v>
      </c>
      <c r="H179">
        <v>1</v>
      </c>
      <c r="I179">
        <v>5</v>
      </c>
      <c r="J179">
        <v>2014</v>
      </c>
      <c r="K179">
        <v>6</v>
      </c>
      <c r="L179">
        <v>276</v>
      </c>
      <c r="M179" t="s">
        <v>14</v>
      </c>
    </row>
    <row r="180" spans="1:13" x14ac:dyDescent="0.3">
      <c r="A180" s="1">
        <v>41819</v>
      </c>
      <c r="B180">
        <v>0</v>
      </c>
      <c r="C180">
        <v>1</v>
      </c>
      <c r="D180">
        <v>1</v>
      </c>
      <c r="E180">
        <v>10</v>
      </c>
      <c r="F180">
        <v>1</v>
      </c>
      <c r="G180">
        <v>0</v>
      </c>
      <c r="H180">
        <v>0</v>
      </c>
      <c r="I180">
        <v>1</v>
      </c>
      <c r="J180">
        <v>2014</v>
      </c>
      <c r="K180">
        <v>6</v>
      </c>
      <c r="L180">
        <v>276</v>
      </c>
      <c r="M180" t="s">
        <v>15</v>
      </c>
    </row>
    <row r="181" spans="1:13" x14ac:dyDescent="0.3">
      <c r="A181" s="1">
        <v>41820</v>
      </c>
      <c r="B181">
        <v>6</v>
      </c>
      <c r="C181">
        <v>5.34</v>
      </c>
      <c r="D181">
        <v>1</v>
      </c>
      <c r="E181">
        <v>25</v>
      </c>
      <c r="F181">
        <v>6</v>
      </c>
      <c r="G181">
        <v>0</v>
      </c>
      <c r="H181">
        <v>0</v>
      </c>
      <c r="I181">
        <v>0</v>
      </c>
      <c r="J181">
        <v>2014</v>
      </c>
      <c r="K181">
        <v>6</v>
      </c>
      <c r="L181">
        <v>276</v>
      </c>
      <c r="M181" t="s">
        <v>16</v>
      </c>
    </row>
    <row r="182" spans="1:13" x14ac:dyDescent="0.3">
      <c r="A182" s="1">
        <v>41821</v>
      </c>
      <c r="B182">
        <v>4.34</v>
      </c>
      <c r="C182">
        <v>2.34</v>
      </c>
      <c r="D182">
        <v>2</v>
      </c>
      <c r="E182">
        <v>19</v>
      </c>
      <c r="F182">
        <v>10</v>
      </c>
      <c r="G182">
        <v>0</v>
      </c>
      <c r="H182">
        <v>0</v>
      </c>
      <c r="I182">
        <v>2</v>
      </c>
      <c r="J182">
        <v>2014</v>
      </c>
      <c r="K182">
        <v>7</v>
      </c>
      <c r="L182">
        <v>276</v>
      </c>
      <c r="M182" t="s">
        <v>17</v>
      </c>
    </row>
    <row r="183" spans="1:13" x14ac:dyDescent="0.3">
      <c r="A183" s="1">
        <v>41822</v>
      </c>
      <c r="B183">
        <v>3</v>
      </c>
      <c r="C183">
        <v>0.34</v>
      </c>
      <c r="D183">
        <v>4</v>
      </c>
      <c r="E183">
        <v>21.6</v>
      </c>
      <c r="F183">
        <v>7</v>
      </c>
      <c r="G183">
        <v>0</v>
      </c>
      <c r="H183">
        <v>6</v>
      </c>
      <c r="I183">
        <v>3</v>
      </c>
      <c r="J183">
        <v>2014</v>
      </c>
      <c r="K183">
        <v>7</v>
      </c>
      <c r="L183">
        <v>276</v>
      </c>
      <c r="M183" t="s">
        <v>18</v>
      </c>
    </row>
    <row r="184" spans="1:13" x14ac:dyDescent="0.3">
      <c r="A184" s="1">
        <v>41823</v>
      </c>
      <c r="B184">
        <v>2.33</v>
      </c>
      <c r="C184">
        <v>5.68</v>
      </c>
      <c r="D184">
        <v>7</v>
      </c>
      <c r="E184">
        <v>12.5</v>
      </c>
      <c r="F184">
        <v>7</v>
      </c>
      <c r="G184">
        <v>2</v>
      </c>
      <c r="H184">
        <v>0</v>
      </c>
      <c r="I184">
        <v>2</v>
      </c>
      <c r="J184">
        <v>2014</v>
      </c>
      <c r="K184">
        <v>7</v>
      </c>
      <c r="L184">
        <v>276</v>
      </c>
      <c r="M184" t="s">
        <v>12</v>
      </c>
    </row>
    <row r="185" spans="1:13" x14ac:dyDescent="0.3">
      <c r="A185" s="1">
        <v>41824</v>
      </c>
      <c r="B185">
        <v>4.34</v>
      </c>
      <c r="C185">
        <v>4.7</v>
      </c>
      <c r="D185">
        <v>7</v>
      </c>
      <c r="E185">
        <v>10.5</v>
      </c>
      <c r="F185">
        <v>14</v>
      </c>
      <c r="G185">
        <v>0</v>
      </c>
      <c r="H185">
        <v>2</v>
      </c>
      <c r="I185">
        <v>3</v>
      </c>
      <c r="J185">
        <v>2014</v>
      </c>
      <c r="K185">
        <v>7</v>
      </c>
      <c r="L185">
        <v>276</v>
      </c>
      <c r="M185" t="s">
        <v>13</v>
      </c>
    </row>
    <row r="186" spans="1:13" x14ac:dyDescent="0.3">
      <c r="A186" s="1">
        <v>41825</v>
      </c>
      <c r="B186">
        <v>3.34</v>
      </c>
      <c r="C186">
        <v>4.34</v>
      </c>
      <c r="D186">
        <v>6</v>
      </c>
      <c r="E186">
        <v>37</v>
      </c>
      <c r="F186">
        <v>11</v>
      </c>
      <c r="G186">
        <v>1</v>
      </c>
      <c r="H186">
        <v>0</v>
      </c>
      <c r="I186">
        <v>0</v>
      </c>
      <c r="J186">
        <v>2014</v>
      </c>
      <c r="K186">
        <v>7</v>
      </c>
      <c r="L186">
        <v>276</v>
      </c>
      <c r="M186" t="s">
        <v>14</v>
      </c>
    </row>
    <row r="187" spans="1:13" x14ac:dyDescent="0.3">
      <c r="A187" s="1">
        <v>41826</v>
      </c>
      <c r="B187">
        <v>4</v>
      </c>
      <c r="C187">
        <v>2</v>
      </c>
      <c r="D187">
        <v>3</v>
      </c>
      <c r="E187">
        <v>10.199999999999999</v>
      </c>
      <c r="F187">
        <v>9</v>
      </c>
      <c r="G187">
        <v>0</v>
      </c>
      <c r="H187">
        <v>0</v>
      </c>
      <c r="I187">
        <v>0</v>
      </c>
      <c r="J187">
        <v>2014</v>
      </c>
      <c r="K187">
        <v>7</v>
      </c>
      <c r="L187">
        <v>276</v>
      </c>
      <c r="M187" t="s">
        <v>15</v>
      </c>
    </row>
    <row r="188" spans="1:13" x14ac:dyDescent="0.3">
      <c r="A188" s="1">
        <v>41827</v>
      </c>
      <c r="B188">
        <v>2</v>
      </c>
      <c r="C188">
        <v>3.34</v>
      </c>
      <c r="D188">
        <v>4</v>
      </c>
      <c r="E188">
        <v>13</v>
      </c>
      <c r="F188">
        <v>11</v>
      </c>
      <c r="G188">
        <v>0</v>
      </c>
      <c r="H188">
        <v>0</v>
      </c>
      <c r="I188">
        <v>4</v>
      </c>
      <c r="J188">
        <v>2014</v>
      </c>
      <c r="K188">
        <v>7</v>
      </c>
      <c r="L188">
        <v>276</v>
      </c>
      <c r="M188" t="s">
        <v>16</v>
      </c>
    </row>
    <row r="189" spans="1:13" x14ac:dyDescent="0.3">
      <c r="A189" s="1">
        <v>41828</v>
      </c>
      <c r="B189">
        <v>6.34</v>
      </c>
      <c r="C189">
        <v>2.34</v>
      </c>
      <c r="D189">
        <v>3</v>
      </c>
      <c r="E189">
        <v>14</v>
      </c>
      <c r="F189">
        <v>3</v>
      </c>
      <c r="G189">
        <v>0</v>
      </c>
      <c r="H189">
        <v>5</v>
      </c>
      <c r="I189">
        <v>1</v>
      </c>
      <c r="J189">
        <v>2014</v>
      </c>
      <c r="K189">
        <v>7</v>
      </c>
      <c r="L189">
        <v>276</v>
      </c>
      <c r="M189" t="s">
        <v>17</v>
      </c>
    </row>
    <row r="190" spans="1:13" x14ac:dyDescent="0.3">
      <c r="A190" s="1">
        <v>41829</v>
      </c>
      <c r="B190">
        <v>3</v>
      </c>
      <c r="C190">
        <v>6.34</v>
      </c>
      <c r="D190">
        <v>5</v>
      </c>
      <c r="E190">
        <v>13</v>
      </c>
      <c r="F190">
        <v>6</v>
      </c>
      <c r="G190">
        <v>4</v>
      </c>
      <c r="H190">
        <v>0</v>
      </c>
      <c r="I190">
        <v>2.2000000000000002</v>
      </c>
      <c r="J190">
        <v>2014</v>
      </c>
      <c r="K190">
        <v>7</v>
      </c>
      <c r="L190">
        <v>276</v>
      </c>
      <c r="M190" t="s">
        <v>18</v>
      </c>
    </row>
    <row r="191" spans="1:13" x14ac:dyDescent="0.3">
      <c r="A191" s="1">
        <v>41830</v>
      </c>
      <c r="B191">
        <v>2.33</v>
      </c>
      <c r="C191">
        <v>4.66</v>
      </c>
      <c r="D191">
        <v>8</v>
      </c>
      <c r="E191">
        <v>21.2</v>
      </c>
      <c r="F191">
        <v>32</v>
      </c>
      <c r="G191">
        <v>0</v>
      </c>
      <c r="H191">
        <v>5</v>
      </c>
      <c r="I191">
        <v>4</v>
      </c>
      <c r="J191">
        <v>2014</v>
      </c>
      <c r="K191">
        <v>7</v>
      </c>
      <c r="L191">
        <v>276</v>
      </c>
      <c r="M191" t="s">
        <v>12</v>
      </c>
    </row>
    <row r="192" spans="1:13" x14ac:dyDescent="0.3">
      <c r="A192" s="1">
        <v>41831</v>
      </c>
      <c r="B192">
        <v>2</v>
      </c>
      <c r="C192">
        <v>1.68</v>
      </c>
      <c r="D192">
        <v>3.2</v>
      </c>
      <c r="E192">
        <v>16.5</v>
      </c>
      <c r="F192">
        <v>17</v>
      </c>
      <c r="G192">
        <v>0</v>
      </c>
      <c r="H192">
        <v>5</v>
      </c>
      <c r="I192">
        <v>1</v>
      </c>
      <c r="J192">
        <v>2014</v>
      </c>
      <c r="K192">
        <v>7</v>
      </c>
      <c r="L192">
        <v>276</v>
      </c>
      <c r="M192" t="s">
        <v>13</v>
      </c>
    </row>
    <row r="193" spans="1:13" x14ac:dyDescent="0.3">
      <c r="A193" s="1">
        <v>41832</v>
      </c>
      <c r="B193">
        <v>8.34</v>
      </c>
      <c r="C193">
        <v>2.68</v>
      </c>
      <c r="D193">
        <v>10.5</v>
      </c>
      <c r="E193">
        <v>28.1</v>
      </c>
      <c r="F193">
        <v>12</v>
      </c>
      <c r="G193">
        <v>3</v>
      </c>
      <c r="H193">
        <v>12</v>
      </c>
      <c r="I193">
        <v>4</v>
      </c>
      <c r="J193">
        <v>2014</v>
      </c>
      <c r="K193">
        <v>7</v>
      </c>
      <c r="L193">
        <v>276</v>
      </c>
      <c r="M193" t="s">
        <v>14</v>
      </c>
    </row>
    <row r="194" spans="1:13" x14ac:dyDescent="0.3">
      <c r="A194" s="1">
        <v>41833</v>
      </c>
      <c r="B194">
        <v>2</v>
      </c>
      <c r="C194">
        <v>1.34</v>
      </c>
      <c r="D194">
        <v>1</v>
      </c>
      <c r="E194">
        <v>17</v>
      </c>
      <c r="F194">
        <v>2</v>
      </c>
      <c r="G194">
        <v>0</v>
      </c>
      <c r="H194">
        <v>0</v>
      </c>
      <c r="I194">
        <v>0</v>
      </c>
      <c r="J194">
        <v>2014</v>
      </c>
      <c r="K194">
        <v>7</v>
      </c>
      <c r="L194">
        <v>276</v>
      </c>
      <c r="M194" t="s">
        <v>15</v>
      </c>
    </row>
    <row r="195" spans="1:13" x14ac:dyDescent="0.3">
      <c r="A195" s="1">
        <v>41834</v>
      </c>
      <c r="B195">
        <v>5</v>
      </c>
      <c r="C195">
        <v>3.04</v>
      </c>
      <c r="D195">
        <v>3</v>
      </c>
      <c r="E195">
        <v>11.8</v>
      </c>
      <c r="F195">
        <v>19</v>
      </c>
      <c r="G195">
        <v>1</v>
      </c>
      <c r="H195">
        <v>2</v>
      </c>
      <c r="I195">
        <v>2</v>
      </c>
      <c r="J195">
        <v>2014</v>
      </c>
      <c r="K195">
        <v>7</v>
      </c>
      <c r="L195">
        <v>276</v>
      </c>
      <c r="M195" t="s">
        <v>16</v>
      </c>
    </row>
    <row r="196" spans="1:13" x14ac:dyDescent="0.3">
      <c r="A196" s="1">
        <v>41835</v>
      </c>
      <c r="B196">
        <v>3.34</v>
      </c>
      <c r="C196">
        <v>1.68</v>
      </c>
      <c r="D196">
        <v>1</v>
      </c>
      <c r="E196">
        <v>15.6</v>
      </c>
      <c r="F196">
        <v>18</v>
      </c>
      <c r="G196">
        <v>0</v>
      </c>
      <c r="H196">
        <v>0</v>
      </c>
      <c r="I196">
        <v>1.3</v>
      </c>
      <c r="J196">
        <v>2014</v>
      </c>
      <c r="K196">
        <v>7</v>
      </c>
      <c r="L196">
        <v>276</v>
      </c>
      <c r="M196" t="s">
        <v>17</v>
      </c>
    </row>
    <row r="197" spans="1:13" x14ac:dyDescent="0.3">
      <c r="A197" s="1">
        <v>41836</v>
      </c>
      <c r="B197">
        <v>4</v>
      </c>
      <c r="C197">
        <v>3.34</v>
      </c>
      <c r="D197">
        <v>3</v>
      </c>
      <c r="E197">
        <v>13</v>
      </c>
      <c r="F197">
        <v>12</v>
      </c>
      <c r="G197">
        <v>1</v>
      </c>
      <c r="H197">
        <v>4</v>
      </c>
      <c r="I197">
        <v>0</v>
      </c>
      <c r="J197">
        <v>2014</v>
      </c>
      <c r="K197">
        <v>7</v>
      </c>
      <c r="L197">
        <v>276</v>
      </c>
      <c r="M197" t="s">
        <v>18</v>
      </c>
    </row>
    <row r="198" spans="1:13" x14ac:dyDescent="0.3">
      <c r="A198" s="1">
        <v>41837</v>
      </c>
      <c r="B198">
        <v>2</v>
      </c>
      <c r="C198">
        <v>3</v>
      </c>
      <c r="D198">
        <v>5</v>
      </c>
      <c r="E198">
        <v>25</v>
      </c>
      <c r="F198">
        <v>14</v>
      </c>
      <c r="G198">
        <v>1</v>
      </c>
      <c r="H198">
        <v>0</v>
      </c>
      <c r="I198">
        <v>1</v>
      </c>
      <c r="J198">
        <v>2014</v>
      </c>
      <c r="K198">
        <v>7</v>
      </c>
      <c r="L198">
        <v>276</v>
      </c>
      <c r="M198" t="s">
        <v>12</v>
      </c>
    </row>
    <row r="199" spans="1:13" x14ac:dyDescent="0.3">
      <c r="A199" s="1">
        <v>41838</v>
      </c>
      <c r="B199">
        <v>9</v>
      </c>
      <c r="C199">
        <v>2.34</v>
      </c>
      <c r="D199">
        <v>1.5</v>
      </c>
      <c r="E199">
        <v>14.2</v>
      </c>
      <c r="F199">
        <v>6</v>
      </c>
      <c r="G199">
        <v>3</v>
      </c>
      <c r="H199">
        <v>0</v>
      </c>
      <c r="I199">
        <v>4</v>
      </c>
      <c r="J199">
        <v>2014</v>
      </c>
      <c r="K199">
        <v>7</v>
      </c>
      <c r="L199">
        <v>276</v>
      </c>
      <c r="M199" t="s">
        <v>13</v>
      </c>
    </row>
    <row r="200" spans="1:13" x14ac:dyDescent="0.3">
      <c r="A200" s="1">
        <v>41839</v>
      </c>
      <c r="B200">
        <v>7.33</v>
      </c>
      <c r="C200">
        <v>7.02</v>
      </c>
      <c r="D200">
        <v>6</v>
      </c>
      <c r="E200">
        <v>8.4</v>
      </c>
      <c r="F200">
        <v>10</v>
      </c>
      <c r="G200">
        <v>0</v>
      </c>
      <c r="H200">
        <v>6</v>
      </c>
      <c r="I200">
        <v>6</v>
      </c>
      <c r="J200">
        <v>2014</v>
      </c>
      <c r="K200">
        <v>7</v>
      </c>
      <c r="L200">
        <v>276</v>
      </c>
      <c r="M200" t="s">
        <v>14</v>
      </c>
    </row>
    <row r="201" spans="1:13" x14ac:dyDescent="0.3">
      <c r="A201" s="1">
        <v>41840</v>
      </c>
      <c r="B201">
        <v>3</v>
      </c>
      <c r="C201">
        <v>0.34</v>
      </c>
      <c r="D201">
        <v>1</v>
      </c>
      <c r="E201">
        <v>8</v>
      </c>
      <c r="F201">
        <v>5</v>
      </c>
      <c r="G201">
        <v>0</v>
      </c>
      <c r="H201">
        <v>0</v>
      </c>
      <c r="I201">
        <v>0.1</v>
      </c>
      <c r="J201">
        <v>2014</v>
      </c>
      <c r="K201">
        <v>7</v>
      </c>
      <c r="L201">
        <v>276</v>
      </c>
      <c r="M201" t="s">
        <v>15</v>
      </c>
    </row>
    <row r="202" spans="1:13" x14ac:dyDescent="0.3">
      <c r="A202" s="1">
        <v>41841</v>
      </c>
      <c r="B202">
        <v>3</v>
      </c>
      <c r="C202">
        <v>4.68</v>
      </c>
      <c r="D202">
        <v>8</v>
      </c>
      <c r="E202">
        <v>20</v>
      </c>
      <c r="F202">
        <v>13</v>
      </c>
      <c r="G202">
        <v>1</v>
      </c>
      <c r="H202">
        <v>0</v>
      </c>
      <c r="I202">
        <v>2</v>
      </c>
      <c r="J202">
        <v>2014</v>
      </c>
      <c r="K202">
        <v>7</v>
      </c>
      <c r="L202">
        <v>276</v>
      </c>
      <c r="M202" t="s">
        <v>16</v>
      </c>
    </row>
    <row r="203" spans="1:13" x14ac:dyDescent="0.3">
      <c r="A203" s="1">
        <v>41842</v>
      </c>
      <c r="B203">
        <v>5</v>
      </c>
      <c r="C203">
        <v>5.68</v>
      </c>
      <c r="D203">
        <v>3</v>
      </c>
      <c r="E203">
        <v>9</v>
      </c>
      <c r="F203">
        <v>7</v>
      </c>
      <c r="G203">
        <v>0</v>
      </c>
      <c r="H203">
        <v>1</v>
      </c>
      <c r="I203">
        <v>2</v>
      </c>
      <c r="J203">
        <v>2014</v>
      </c>
      <c r="K203">
        <v>7</v>
      </c>
      <c r="L203">
        <v>276</v>
      </c>
      <c r="M203" t="s">
        <v>17</v>
      </c>
    </row>
    <row r="204" spans="1:13" x14ac:dyDescent="0.3">
      <c r="A204" s="1">
        <v>41843</v>
      </c>
      <c r="B204">
        <v>2.67</v>
      </c>
      <c r="C204">
        <v>6.37</v>
      </c>
      <c r="D204">
        <v>2</v>
      </c>
      <c r="E204">
        <v>8</v>
      </c>
      <c r="F204">
        <v>19</v>
      </c>
      <c r="G204">
        <v>0</v>
      </c>
      <c r="H204">
        <v>0</v>
      </c>
      <c r="I204">
        <v>3</v>
      </c>
      <c r="J204">
        <v>2014</v>
      </c>
      <c r="K204">
        <v>7</v>
      </c>
      <c r="L204">
        <v>276</v>
      </c>
      <c r="M204" t="s">
        <v>18</v>
      </c>
    </row>
    <row r="205" spans="1:13" x14ac:dyDescent="0.3">
      <c r="A205" s="1">
        <v>41844</v>
      </c>
      <c r="B205">
        <v>5.34</v>
      </c>
      <c r="C205">
        <v>2</v>
      </c>
      <c r="D205">
        <v>4.4000000000000004</v>
      </c>
      <c r="E205">
        <v>23</v>
      </c>
      <c r="F205">
        <v>5</v>
      </c>
      <c r="G205">
        <v>0</v>
      </c>
      <c r="H205">
        <v>0</v>
      </c>
      <c r="I205">
        <v>2</v>
      </c>
      <c r="J205">
        <v>2014</v>
      </c>
      <c r="K205">
        <v>7</v>
      </c>
      <c r="L205">
        <v>276</v>
      </c>
      <c r="M205" t="s">
        <v>12</v>
      </c>
    </row>
    <row r="206" spans="1:13" x14ac:dyDescent="0.3">
      <c r="A206" s="1">
        <v>41845</v>
      </c>
      <c r="B206">
        <v>5</v>
      </c>
      <c r="C206">
        <v>2.02</v>
      </c>
      <c r="D206">
        <v>7.5</v>
      </c>
      <c r="E206">
        <v>10</v>
      </c>
      <c r="F206">
        <v>15</v>
      </c>
      <c r="G206">
        <v>1</v>
      </c>
      <c r="H206">
        <v>1</v>
      </c>
      <c r="I206">
        <v>2</v>
      </c>
      <c r="J206">
        <v>2014</v>
      </c>
      <c r="K206">
        <v>7</v>
      </c>
      <c r="L206">
        <v>276</v>
      </c>
      <c r="M206" t="s">
        <v>13</v>
      </c>
    </row>
    <row r="207" spans="1:13" x14ac:dyDescent="0.3">
      <c r="A207" s="1">
        <v>41846</v>
      </c>
      <c r="B207">
        <v>4</v>
      </c>
      <c r="C207">
        <v>6.68</v>
      </c>
      <c r="D207">
        <v>6.2</v>
      </c>
      <c r="E207">
        <v>36.200000000000003</v>
      </c>
      <c r="F207">
        <v>13</v>
      </c>
      <c r="G207">
        <v>0</v>
      </c>
      <c r="H207">
        <v>0</v>
      </c>
      <c r="I207">
        <v>4</v>
      </c>
      <c r="J207">
        <v>2014</v>
      </c>
      <c r="K207">
        <v>7</v>
      </c>
      <c r="L207">
        <v>276</v>
      </c>
      <c r="M207" t="s">
        <v>14</v>
      </c>
    </row>
    <row r="208" spans="1:13" x14ac:dyDescent="0.3">
      <c r="A208" s="1">
        <v>41847</v>
      </c>
      <c r="B208">
        <v>3</v>
      </c>
      <c r="C208">
        <v>1.34</v>
      </c>
      <c r="D208">
        <v>2</v>
      </c>
      <c r="E208">
        <v>10</v>
      </c>
      <c r="F208">
        <v>5</v>
      </c>
      <c r="G208">
        <v>0</v>
      </c>
      <c r="H208">
        <v>6</v>
      </c>
      <c r="I208">
        <v>1</v>
      </c>
      <c r="J208">
        <v>2014</v>
      </c>
      <c r="K208">
        <v>7</v>
      </c>
      <c r="L208">
        <v>276</v>
      </c>
      <c r="M208" t="s">
        <v>15</v>
      </c>
    </row>
    <row r="209" spans="1:13" x14ac:dyDescent="0.3">
      <c r="A209" s="1">
        <v>41848</v>
      </c>
      <c r="B209">
        <v>2</v>
      </c>
      <c r="C209">
        <v>1.34</v>
      </c>
      <c r="D209">
        <v>2</v>
      </c>
      <c r="E209">
        <v>9.1</v>
      </c>
      <c r="F209">
        <v>9</v>
      </c>
      <c r="G209">
        <v>0</v>
      </c>
      <c r="H209">
        <v>0</v>
      </c>
      <c r="I209">
        <v>2</v>
      </c>
      <c r="J209">
        <v>2014</v>
      </c>
      <c r="K209">
        <v>7</v>
      </c>
      <c r="L209">
        <v>276</v>
      </c>
      <c r="M209" t="s">
        <v>16</v>
      </c>
    </row>
    <row r="210" spans="1:13" x14ac:dyDescent="0.3">
      <c r="A210" s="1">
        <v>41849</v>
      </c>
      <c r="B210">
        <v>2.34</v>
      </c>
      <c r="C210">
        <v>0.68</v>
      </c>
      <c r="D210">
        <v>1</v>
      </c>
      <c r="E210">
        <v>13</v>
      </c>
      <c r="F210">
        <v>15</v>
      </c>
      <c r="G210">
        <v>3</v>
      </c>
      <c r="H210">
        <v>0</v>
      </c>
      <c r="I210">
        <v>5</v>
      </c>
      <c r="J210">
        <v>2014</v>
      </c>
      <c r="K210">
        <v>7</v>
      </c>
      <c r="L210">
        <v>276</v>
      </c>
      <c r="M210" t="s">
        <v>17</v>
      </c>
    </row>
    <row r="211" spans="1:13" x14ac:dyDescent="0.3">
      <c r="A211" s="1">
        <v>41850</v>
      </c>
      <c r="B211">
        <v>0.68</v>
      </c>
      <c r="C211">
        <v>1.34</v>
      </c>
      <c r="D211">
        <v>5</v>
      </c>
      <c r="E211">
        <v>13.5</v>
      </c>
      <c r="F211">
        <v>14</v>
      </c>
      <c r="G211">
        <v>0</v>
      </c>
      <c r="H211">
        <v>6</v>
      </c>
      <c r="I211">
        <v>4.5</v>
      </c>
      <c r="J211">
        <v>2014</v>
      </c>
      <c r="K211">
        <v>7</v>
      </c>
      <c r="L211">
        <v>276</v>
      </c>
      <c r="M211" t="s">
        <v>18</v>
      </c>
    </row>
    <row r="212" spans="1:13" x14ac:dyDescent="0.3">
      <c r="A212" s="1">
        <v>41851</v>
      </c>
      <c r="B212">
        <v>3</v>
      </c>
      <c r="C212">
        <v>0.34</v>
      </c>
      <c r="D212">
        <v>4</v>
      </c>
      <c r="E212">
        <v>10.5</v>
      </c>
      <c r="F212">
        <v>8</v>
      </c>
      <c r="G212">
        <v>0</v>
      </c>
      <c r="H212">
        <v>0</v>
      </c>
      <c r="I212">
        <v>1</v>
      </c>
      <c r="J212">
        <v>2014</v>
      </c>
      <c r="K212">
        <v>7</v>
      </c>
      <c r="L212">
        <v>276</v>
      </c>
      <c r="M212" t="s">
        <v>12</v>
      </c>
    </row>
    <row r="213" spans="1:13" x14ac:dyDescent="0.3">
      <c r="A213" s="1">
        <v>41852</v>
      </c>
      <c r="B213">
        <v>2</v>
      </c>
      <c r="C213">
        <v>1</v>
      </c>
      <c r="D213">
        <v>2.2000000000000002</v>
      </c>
      <c r="E213">
        <v>14</v>
      </c>
      <c r="F213">
        <v>17</v>
      </c>
      <c r="G213">
        <v>1</v>
      </c>
      <c r="H213">
        <v>0</v>
      </c>
      <c r="I213">
        <v>1</v>
      </c>
      <c r="J213">
        <v>2014</v>
      </c>
      <c r="K213">
        <v>8</v>
      </c>
      <c r="L213">
        <v>276</v>
      </c>
      <c r="M213" t="s">
        <v>13</v>
      </c>
    </row>
    <row r="214" spans="1:13" x14ac:dyDescent="0.3">
      <c r="A214" s="1">
        <v>41853</v>
      </c>
      <c r="B214">
        <v>5</v>
      </c>
      <c r="C214">
        <v>2.0099999999999998</v>
      </c>
      <c r="D214">
        <v>6</v>
      </c>
      <c r="E214">
        <v>29</v>
      </c>
      <c r="F214">
        <v>12</v>
      </c>
      <c r="G214">
        <v>0</v>
      </c>
      <c r="H214">
        <v>5</v>
      </c>
      <c r="I214">
        <v>3</v>
      </c>
      <c r="J214">
        <v>2014</v>
      </c>
      <c r="K214">
        <v>8</v>
      </c>
      <c r="L214">
        <v>276</v>
      </c>
      <c r="M214" t="s">
        <v>14</v>
      </c>
    </row>
    <row r="215" spans="1:13" x14ac:dyDescent="0.3">
      <c r="A215" s="1">
        <v>41854</v>
      </c>
      <c r="B215">
        <v>5</v>
      </c>
      <c r="C215">
        <v>1</v>
      </c>
      <c r="D215">
        <v>3</v>
      </c>
      <c r="E215">
        <v>6</v>
      </c>
      <c r="F215">
        <v>5</v>
      </c>
      <c r="G215">
        <v>5</v>
      </c>
      <c r="H215">
        <v>0</v>
      </c>
      <c r="I215">
        <v>0</v>
      </c>
      <c r="J215">
        <v>2014</v>
      </c>
      <c r="K215">
        <v>8</v>
      </c>
      <c r="L215">
        <v>276</v>
      </c>
      <c r="M215" t="s">
        <v>15</v>
      </c>
    </row>
    <row r="216" spans="1:13" x14ac:dyDescent="0.3">
      <c r="A216" s="1">
        <v>41855</v>
      </c>
      <c r="B216">
        <v>4</v>
      </c>
      <c r="C216">
        <v>5.0199999999999996</v>
      </c>
      <c r="D216">
        <v>6</v>
      </c>
      <c r="E216">
        <v>21.5</v>
      </c>
      <c r="F216">
        <v>14</v>
      </c>
      <c r="G216">
        <v>0</v>
      </c>
      <c r="H216">
        <v>0</v>
      </c>
      <c r="I216">
        <v>4</v>
      </c>
      <c r="J216">
        <v>2014</v>
      </c>
      <c r="K216">
        <v>8</v>
      </c>
      <c r="L216">
        <v>276</v>
      </c>
      <c r="M216" t="s">
        <v>16</v>
      </c>
    </row>
    <row r="217" spans="1:13" x14ac:dyDescent="0.3">
      <c r="A217" s="1">
        <v>41856</v>
      </c>
      <c r="B217">
        <v>2</v>
      </c>
      <c r="C217">
        <v>1.34</v>
      </c>
      <c r="D217">
        <v>3</v>
      </c>
      <c r="E217">
        <v>17.100000000000001</v>
      </c>
      <c r="F217">
        <v>9</v>
      </c>
      <c r="G217">
        <v>0</v>
      </c>
      <c r="H217">
        <v>0</v>
      </c>
      <c r="I217">
        <v>0</v>
      </c>
      <c r="J217">
        <v>2014</v>
      </c>
      <c r="K217">
        <v>8</v>
      </c>
      <c r="L217">
        <v>276</v>
      </c>
      <c r="M217" t="s">
        <v>17</v>
      </c>
    </row>
    <row r="218" spans="1:13" x14ac:dyDescent="0.3">
      <c r="A218" s="1">
        <v>41857</v>
      </c>
      <c r="B218">
        <v>6</v>
      </c>
      <c r="C218">
        <v>5</v>
      </c>
      <c r="D218">
        <v>1.4</v>
      </c>
      <c r="E218">
        <v>17</v>
      </c>
      <c r="F218">
        <v>7</v>
      </c>
      <c r="G218">
        <v>1</v>
      </c>
      <c r="H218">
        <v>1</v>
      </c>
      <c r="I218">
        <v>1</v>
      </c>
      <c r="J218">
        <v>2014</v>
      </c>
      <c r="K218">
        <v>8</v>
      </c>
      <c r="L218">
        <v>276</v>
      </c>
      <c r="M218" t="s">
        <v>18</v>
      </c>
    </row>
    <row r="219" spans="1:13" x14ac:dyDescent="0.3">
      <c r="A219" s="1">
        <v>41858</v>
      </c>
      <c r="B219">
        <v>3.34</v>
      </c>
      <c r="C219">
        <v>2.68</v>
      </c>
      <c r="D219">
        <v>3</v>
      </c>
      <c r="E219">
        <v>33</v>
      </c>
      <c r="F219">
        <v>13</v>
      </c>
      <c r="G219">
        <v>1</v>
      </c>
      <c r="H219">
        <v>0</v>
      </c>
      <c r="I219">
        <v>2</v>
      </c>
      <c r="J219">
        <v>2014</v>
      </c>
      <c r="K219">
        <v>8</v>
      </c>
      <c r="L219">
        <v>276</v>
      </c>
      <c r="M219" t="s">
        <v>12</v>
      </c>
    </row>
    <row r="220" spans="1:13" x14ac:dyDescent="0.3">
      <c r="A220" s="1">
        <v>41859</v>
      </c>
      <c r="B220">
        <v>5.0199999999999996</v>
      </c>
      <c r="C220">
        <v>4.0199999999999996</v>
      </c>
      <c r="D220">
        <v>5</v>
      </c>
      <c r="E220">
        <v>13</v>
      </c>
      <c r="F220">
        <v>12</v>
      </c>
      <c r="G220">
        <v>3</v>
      </c>
      <c r="H220">
        <v>2</v>
      </c>
      <c r="I220">
        <v>2</v>
      </c>
      <c r="J220">
        <v>2014</v>
      </c>
      <c r="K220">
        <v>8</v>
      </c>
      <c r="L220">
        <v>276</v>
      </c>
      <c r="M220" t="s">
        <v>13</v>
      </c>
    </row>
    <row r="221" spans="1:13" x14ac:dyDescent="0.3">
      <c r="A221" s="1">
        <v>41860</v>
      </c>
      <c r="B221">
        <v>4</v>
      </c>
      <c r="C221">
        <v>1.34</v>
      </c>
      <c r="D221">
        <v>6</v>
      </c>
      <c r="E221">
        <v>19</v>
      </c>
      <c r="F221">
        <v>24</v>
      </c>
      <c r="G221">
        <v>3</v>
      </c>
      <c r="H221">
        <v>0</v>
      </c>
      <c r="I221">
        <v>5.9</v>
      </c>
      <c r="J221">
        <v>2014</v>
      </c>
      <c r="K221">
        <v>8</v>
      </c>
      <c r="L221">
        <v>276</v>
      </c>
      <c r="M221" t="s">
        <v>14</v>
      </c>
    </row>
    <row r="222" spans="1:13" x14ac:dyDescent="0.3">
      <c r="A222" s="1">
        <v>41861</v>
      </c>
      <c r="B222">
        <v>4</v>
      </c>
      <c r="C222">
        <v>0.34</v>
      </c>
      <c r="D222">
        <v>4</v>
      </c>
      <c r="E222">
        <v>3</v>
      </c>
      <c r="F222">
        <v>4</v>
      </c>
      <c r="G222">
        <v>0</v>
      </c>
      <c r="H222">
        <v>0</v>
      </c>
      <c r="I222">
        <v>2</v>
      </c>
      <c r="J222">
        <v>2014</v>
      </c>
      <c r="K222">
        <v>8</v>
      </c>
      <c r="L222">
        <v>276</v>
      </c>
      <c r="M222" t="s">
        <v>15</v>
      </c>
    </row>
    <row r="223" spans="1:13" x14ac:dyDescent="0.3">
      <c r="A223" s="1">
        <v>41862</v>
      </c>
      <c r="B223">
        <v>8</v>
      </c>
      <c r="C223">
        <v>5.36</v>
      </c>
      <c r="D223">
        <v>9.1999999999999993</v>
      </c>
      <c r="E223">
        <v>20</v>
      </c>
      <c r="F223">
        <v>18</v>
      </c>
      <c r="G223">
        <v>0</v>
      </c>
      <c r="H223">
        <v>0</v>
      </c>
      <c r="I223">
        <v>2</v>
      </c>
      <c r="J223">
        <v>2014</v>
      </c>
      <c r="K223">
        <v>8</v>
      </c>
      <c r="L223">
        <v>276</v>
      </c>
      <c r="M223" t="s">
        <v>16</v>
      </c>
    </row>
    <row r="224" spans="1:13" x14ac:dyDescent="0.3">
      <c r="A224" s="1">
        <v>41863</v>
      </c>
      <c r="B224">
        <v>0</v>
      </c>
      <c r="C224">
        <v>1.36</v>
      </c>
      <c r="D224">
        <v>4.5</v>
      </c>
      <c r="E224">
        <v>10</v>
      </c>
      <c r="F224">
        <v>8</v>
      </c>
      <c r="G224">
        <v>1</v>
      </c>
      <c r="H224">
        <v>0</v>
      </c>
      <c r="I224">
        <v>4.5999999999999996</v>
      </c>
      <c r="J224">
        <v>2014</v>
      </c>
      <c r="K224">
        <v>8</v>
      </c>
      <c r="L224">
        <v>276</v>
      </c>
      <c r="M224" t="s">
        <v>17</v>
      </c>
    </row>
    <row r="225" spans="1:13" x14ac:dyDescent="0.3">
      <c r="A225" s="1">
        <v>41864</v>
      </c>
      <c r="B225">
        <v>1.34</v>
      </c>
      <c r="C225">
        <v>3.34</v>
      </c>
      <c r="D225">
        <v>1</v>
      </c>
      <c r="E225">
        <v>20.3</v>
      </c>
      <c r="F225">
        <v>11</v>
      </c>
      <c r="G225">
        <v>0</v>
      </c>
      <c r="H225">
        <v>0</v>
      </c>
      <c r="I225">
        <v>7</v>
      </c>
      <c r="J225">
        <v>2014</v>
      </c>
      <c r="K225">
        <v>8</v>
      </c>
      <c r="L225">
        <v>276</v>
      </c>
      <c r="M225" t="s">
        <v>18</v>
      </c>
    </row>
    <row r="226" spans="1:13" x14ac:dyDescent="0.3">
      <c r="A226" s="1">
        <v>41865</v>
      </c>
      <c r="B226">
        <v>4</v>
      </c>
      <c r="C226">
        <v>2.34</v>
      </c>
      <c r="D226">
        <v>6</v>
      </c>
      <c r="E226">
        <v>14.4</v>
      </c>
      <c r="F226">
        <v>13</v>
      </c>
      <c r="G226">
        <v>0</v>
      </c>
      <c r="H226">
        <v>0</v>
      </c>
      <c r="I226">
        <v>6</v>
      </c>
      <c r="J226">
        <v>2014</v>
      </c>
      <c r="K226">
        <v>8</v>
      </c>
      <c r="L226">
        <v>276</v>
      </c>
      <c r="M226" t="s">
        <v>12</v>
      </c>
    </row>
    <row r="227" spans="1:13" x14ac:dyDescent="0.3">
      <c r="A227" s="1">
        <v>41866</v>
      </c>
      <c r="B227">
        <v>4.34</v>
      </c>
      <c r="C227">
        <v>4.0199999999999996</v>
      </c>
      <c r="D227">
        <v>7</v>
      </c>
      <c r="E227">
        <v>13.2</v>
      </c>
      <c r="F227">
        <v>15</v>
      </c>
      <c r="G227">
        <v>2</v>
      </c>
      <c r="H227">
        <v>3</v>
      </c>
      <c r="I227">
        <v>2</v>
      </c>
      <c r="J227">
        <v>2014</v>
      </c>
      <c r="K227">
        <v>8</v>
      </c>
      <c r="L227">
        <v>276</v>
      </c>
      <c r="M227" t="s">
        <v>13</v>
      </c>
    </row>
    <row r="228" spans="1:13" x14ac:dyDescent="0.3">
      <c r="A228" s="1">
        <v>41867</v>
      </c>
      <c r="B228">
        <v>8</v>
      </c>
      <c r="C228">
        <v>2.4300000000000002</v>
      </c>
      <c r="D228">
        <v>5</v>
      </c>
      <c r="E228">
        <v>19</v>
      </c>
      <c r="F228">
        <v>27</v>
      </c>
      <c r="G228">
        <v>2</v>
      </c>
      <c r="H228">
        <v>0</v>
      </c>
      <c r="I228">
        <v>1</v>
      </c>
      <c r="J228">
        <v>2014</v>
      </c>
      <c r="K228">
        <v>8</v>
      </c>
      <c r="L228">
        <v>276</v>
      </c>
      <c r="M228" t="s">
        <v>14</v>
      </c>
    </row>
    <row r="229" spans="1:13" x14ac:dyDescent="0.3">
      <c r="A229" s="1">
        <v>41868</v>
      </c>
      <c r="B229">
        <v>0.34</v>
      </c>
      <c r="C229">
        <v>0.68</v>
      </c>
      <c r="D229">
        <v>2</v>
      </c>
      <c r="E229">
        <v>6.5</v>
      </c>
      <c r="F229">
        <v>7</v>
      </c>
      <c r="G229">
        <v>0</v>
      </c>
      <c r="H229">
        <v>0</v>
      </c>
      <c r="I229">
        <v>1</v>
      </c>
      <c r="J229">
        <v>2014</v>
      </c>
      <c r="K229">
        <v>8</v>
      </c>
      <c r="L229">
        <v>276</v>
      </c>
      <c r="M229" t="s">
        <v>15</v>
      </c>
    </row>
    <row r="230" spans="1:13" x14ac:dyDescent="0.3">
      <c r="A230" s="1">
        <v>41869</v>
      </c>
      <c r="B230">
        <v>4.34</v>
      </c>
      <c r="C230">
        <v>6</v>
      </c>
      <c r="D230">
        <v>3.1</v>
      </c>
      <c r="E230">
        <v>16.5</v>
      </c>
      <c r="F230">
        <v>21</v>
      </c>
      <c r="G230">
        <v>3</v>
      </c>
      <c r="H230">
        <v>10</v>
      </c>
      <c r="I230">
        <v>2</v>
      </c>
      <c r="J230">
        <v>2014</v>
      </c>
      <c r="K230">
        <v>8</v>
      </c>
      <c r="L230">
        <v>276</v>
      </c>
      <c r="M230" t="s">
        <v>16</v>
      </c>
    </row>
    <row r="231" spans="1:13" x14ac:dyDescent="0.3">
      <c r="A231" s="1">
        <v>41870</v>
      </c>
      <c r="B231">
        <v>11.34</v>
      </c>
      <c r="C231">
        <v>6.35</v>
      </c>
      <c r="D231">
        <v>5</v>
      </c>
      <c r="E231">
        <v>16.100000000000001</v>
      </c>
      <c r="F231">
        <v>13</v>
      </c>
      <c r="G231">
        <v>1</v>
      </c>
      <c r="H231">
        <v>3</v>
      </c>
      <c r="I231">
        <v>1.1000000000000001</v>
      </c>
      <c r="J231">
        <v>2014</v>
      </c>
      <c r="K231">
        <v>8</v>
      </c>
      <c r="L231">
        <v>276</v>
      </c>
      <c r="M231" t="s">
        <v>17</v>
      </c>
    </row>
    <row r="232" spans="1:13" x14ac:dyDescent="0.3">
      <c r="A232" s="1">
        <v>41871</v>
      </c>
      <c r="B232">
        <v>5.34</v>
      </c>
      <c r="C232">
        <v>5.34</v>
      </c>
      <c r="D232">
        <v>1.4</v>
      </c>
      <c r="E232">
        <v>9</v>
      </c>
      <c r="F232">
        <v>10</v>
      </c>
      <c r="G232">
        <v>2</v>
      </c>
      <c r="H232">
        <v>0</v>
      </c>
      <c r="I232">
        <v>1</v>
      </c>
      <c r="J232">
        <v>2014</v>
      </c>
      <c r="K232">
        <v>8</v>
      </c>
      <c r="L232">
        <v>276</v>
      </c>
      <c r="M232" t="s">
        <v>18</v>
      </c>
    </row>
    <row r="233" spans="1:13" x14ac:dyDescent="0.3">
      <c r="A233" s="1">
        <v>41872</v>
      </c>
      <c r="B233">
        <v>3</v>
      </c>
      <c r="C233">
        <v>1</v>
      </c>
      <c r="D233">
        <v>2</v>
      </c>
      <c r="E233">
        <v>18</v>
      </c>
      <c r="F233">
        <v>16</v>
      </c>
      <c r="G233">
        <v>1</v>
      </c>
      <c r="H233">
        <v>0</v>
      </c>
      <c r="I233">
        <v>2.2000000000000002</v>
      </c>
      <c r="J233">
        <v>2014</v>
      </c>
      <c r="K233">
        <v>8</v>
      </c>
      <c r="L233">
        <v>276</v>
      </c>
      <c r="M233" t="s">
        <v>12</v>
      </c>
    </row>
    <row r="234" spans="1:13" x14ac:dyDescent="0.3">
      <c r="A234" s="1">
        <v>41873</v>
      </c>
      <c r="B234">
        <v>6.34</v>
      </c>
      <c r="C234">
        <v>1.34</v>
      </c>
      <c r="D234">
        <v>5</v>
      </c>
      <c r="E234">
        <v>19</v>
      </c>
      <c r="F234">
        <v>15</v>
      </c>
      <c r="G234">
        <v>0</v>
      </c>
      <c r="H234">
        <v>0</v>
      </c>
      <c r="I234">
        <v>1</v>
      </c>
      <c r="J234">
        <v>2014</v>
      </c>
      <c r="K234">
        <v>8</v>
      </c>
      <c r="L234">
        <v>276</v>
      </c>
      <c r="M234" t="s">
        <v>13</v>
      </c>
    </row>
    <row r="235" spans="1:13" x14ac:dyDescent="0.3">
      <c r="A235" s="1">
        <v>41874</v>
      </c>
      <c r="B235">
        <v>3</v>
      </c>
      <c r="C235">
        <v>3.02</v>
      </c>
      <c r="D235">
        <v>1</v>
      </c>
      <c r="E235">
        <v>25.6</v>
      </c>
      <c r="F235">
        <v>5</v>
      </c>
      <c r="G235">
        <v>0</v>
      </c>
      <c r="H235">
        <v>0</v>
      </c>
      <c r="I235">
        <v>4</v>
      </c>
      <c r="J235">
        <v>2014</v>
      </c>
      <c r="K235">
        <v>8</v>
      </c>
      <c r="L235">
        <v>276</v>
      </c>
      <c r="M235" t="s">
        <v>14</v>
      </c>
    </row>
    <row r="236" spans="1:13" x14ac:dyDescent="0.3">
      <c r="A236" s="1">
        <v>41875</v>
      </c>
      <c r="B236">
        <v>3</v>
      </c>
      <c r="C236">
        <v>2.1749999999999998</v>
      </c>
      <c r="D236">
        <v>3</v>
      </c>
      <c r="E236">
        <v>7</v>
      </c>
      <c r="F236">
        <v>12</v>
      </c>
      <c r="G236">
        <v>0</v>
      </c>
      <c r="H236">
        <v>1</v>
      </c>
      <c r="I236">
        <v>0</v>
      </c>
      <c r="J236">
        <v>2014</v>
      </c>
      <c r="K236">
        <v>8</v>
      </c>
      <c r="L236">
        <v>276</v>
      </c>
      <c r="M236" t="s">
        <v>15</v>
      </c>
    </row>
    <row r="237" spans="1:13" x14ac:dyDescent="0.3">
      <c r="A237" s="1">
        <v>41876</v>
      </c>
      <c r="B237">
        <v>4.01</v>
      </c>
      <c r="C237">
        <v>3.1749999999999998</v>
      </c>
      <c r="D237">
        <v>3</v>
      </c>
      <c r="E237">
        <v>21.2</v>
      </c>
      <c r="F237">
        <v>21</v>
      </c>
      <c r="G237">
        <v>0</v>
      </c>
      <c r="H237">
        <v>0</v>
      </c>
      <c r="I237">
        <v>0</v>
      </c>
      <c r="J237">
        <v>2014</v>
      </c>
      <c r="K237">
        <v>8</v>
      </c>
      <c r="L237">
        <v>276</v>
      </c>
      <c r="M237" t="s">
        <v>16</v>
      </c>
    </row>
    <row r="238" spans="1:13" x14ac:dyDescent="0.3">
      <c r="A238" s="1">
        <v>41877</v>
      </c>
      <c r="B238">
        <v>2.34</v>
      </c>
      <c r="C238">
        <v>5.34</v>
      </c>
      <c r="D238">
        <v>3</v>
      </c>
      <c r="E238">
        <v>31</v>
      </c>
      <c r="F238">
        <v>14</v>
      </c>
      <c r="G238">
        <v>1</v>
      </c>
      <c r="H238">
        <v>1</v>
      </c>
      <c r="I238">
        <v>3</v>
      </c>
      <c r="J238">
        <v>2014</v>
      </c>
      <c r="K238">
        <v>8</v>
      </c>
      <c r="L238">
        <v>276</v>
      </c>
      <c r="M238" t="s">
        <v>17</v>
      </c>
    </row>
    <row r="239" spans="1:13" x14ac:dyDescent="0.3">
      <c r="A239" s="1">
        <v>41878</v>
      </c>
      <c r="B239">
        <v>3.34</v>
      </c>
      <c r="C239">
        <v>8.02</v>
      </c>
      <c r="D239">
        <v>4</v>
      </c>
      <c r="E239">
        <v>21</v>
      </c>
      <c r="F239">
        <v>14</v>
      </c>
      <c r="G239">
        <v>0</v>
      </c>
      <c r="H239">
        <v>0</v>
      </c>
      <c r="I239">
        <v>3</v>
      </c>
      <c r="J239">
        <v>2014</v>
      </c>
      <c r="K239">
        <v>8</v>
      </c>
      <c r="L239">
        <v>276</v>
      </c>
      <c r="M239" t="s">
        <v>18</v>
      </c>
    </row>
    <row r="240" spans="1:13" x14ac:dyDescent="0.3">
      <c r="A240" s="1">
        <v>41879</v>
      </c>
      <c r="B240">
        <v>2.34</v>
      </c>
      <c r="C240">
        <v>5.36</v>
      </c>
      <c r="D240">
        <v>6</v>
      </c>
      <c r="E240">
        <v>32.67</v>
      </c>
      <c r="F240">
        <v>19</v>
      </c>
      <c r="G240">
        <v>0</v>
      </c>
      <c r="H240">
        <v>4</v>
      </c>
      <c r="I240">
        <v>0</v>
      </c>
      <c r="J240">
        <v>2014</v>
      </c>
      <c r="K240">
        <v>8</v>
      </c>
      <c r="L240">
        <v>276</v>
      </c>
      <c r="M240" t="s">
        <v>12</v>
      </c>
    </row>
    <row r="241" spans="1:13" x14ac:dyDescent="0.3">
      <c r="A241" s="1">
        <v>41880</v>
      </c>
      <c r="B241">
        <v>6.34</v>
      </c>
      <c r="C241">
        <v>3.68</v>
      </c>
      <c r="D241">
        <v>5</v>
      </c>
      <c r="E241">
        <v>26.28</v>
      </c>
      <c r="F241">
        <v>18</v>
      </c>
      <c r="G241">
        <v>1</v>
      </c>
      <c r="H241">
        <v>0</v>
      </c>
      <c r="I241">
        <v>3</v>
      </c>
      <c r="J241">
        <v>2014</v>
      </c>
      <c r="K241">
        <v>8</v>
      </c>
      <c r="L241">
        <v>276</v>
      </c>
      <c r="M241" t="s">
        <v>13</v>
      </c>
    </row>
    <row r="242" spans="1:13" x14ac:dyDescent="0.3">
      <c r="A242" s="1">
        <v>41881</v>
      </c>
      <c r="B242">
        <v>3.68</v>
      </c>
      <c r="C242">
        <v>3.02</v>
      </c>
      <c r="D242">
        <v>7</v>
      </c>
      <c r="E242">
        <v>13</v>
      </c>
      <c r="F242">
        <v>13</v>
      </c>
      <c r="G242">
        <v>1</v>
      </c>
      <c r="H242">
        <v>0</v>
      </c>
      <c r="I242">
        <v>4</v>
      </c>
      <c r="J242">
        <v>2014</v>
      </c>
      <c r="K242">
        <v>8</v>
      </c>
      <c r="L242">
        <v>276</v>
      </c>
      <c r="M242" t="s">
        <v>14</v>
      </c>
    </row>
    <row r="243" spans="1:13" x14ac:dyDescent="0.3">
      <c r="A243" s="1">
        <v>41882</v>
      </c>
      <c r="B243">
        <v>0</v>
      </c>
      <c r="C243">
        <v>2.68</v>
      </c>
      <c r="D243">
        <v>1</v>
      </c>
      <c r="E243">
        <v>15</v>
      </c>
      <c r="F243">
        <v>13</v>
      </c>
      <c r="G243">
        <v>0</v>
      </c>
      <c r="H243">
        <v>7</v>
      </c>
      <c r="I243">
        <v>2</v>
      </c>
      <c r="J243">
        <v>2014</v>
      </c>
      <c r="K243">
        <v>8</v>
      </c>
      <c r="L243">
        <v>276</v>
      </c>
      <c r="M243" t="s">
        <v>15</v>
      </c>
    </row>
    <row r="244" spans="1:13" x14ac:dyDescent="0.3">
      <c r="A244" s="1">
        <v>41883</v>
      </c>
      <c r="B244">
        <v>3.34</v>
      </c>
      <c r="C244">
        <v>1.7150000000000001</v>
      </c>
      <c r="D244">
        <v>1</v>
      </c>
      <c r="E244">
        <v>15.5</v>
      </c>
      <c r="F244">
        <v>15</v>
      </c>
      <c r="G244">
        <v>0</v>
      </c>
      <c r="H244">
        <v>0</v>
      </c>
      <c r="I244">
        <v>5.5</v>
      </c>
      <c r="J244">
        <v>2014</v>
      </c>
      <c r="K244">
        <v>9</v>
      </c>
      <c r="L244">
        <v>276</v>
      </c>
      <c r="M244" t="s">
        <v>16</v>
      </c>
    </row>
    <row r="245" spans="1:13" x14ac:dyDescent="0.3">
      <c r="A245" s="1">
        <v>41884</v>
      </c>
      <c r="B245">
        <v>2.34</v>
      </c>
      <c r="C245">
        <v>4.68</v>
      </c>
      <c r="D245">
        <v>5.2</v>
      </c>
      <c r="E245">
        <v>20.14</v>
      </c>
      <c r="F245">
        <v>7</v>
      </c>
      <c r="G245">
        <v>0</v>
      </c>
      <c r="H245">
        <v>2</v>
      </c>
      <c r="I245">
        <v>3</v>
      </c>
      <c r="J245">
        <v>2014</v>
      </c>
      <c r="K245">
        <v>9</v>
      </c>
      <c r="L245">
        <v>276</v>
      </c>
      <c r="M245" t="s">
        <v>17</v>
      </c>
    </row>
    <row r="246" spans="1:13" x14ac:dyDescent="0.3">
      <c r="A246" s="1">
        <v>41885</v>
      </c>
      <c r="B246">
        <v>7</v>
      </c>
      <c r="C246">
        <v>6.34</v>
      </c>
      <c r="D246">
        <v>4</v>
      </c>
      <c r="E246">
        <v>22.18</v>
      </c>
      <c r="F246">
        <v>12</v>
      </c>
      <c r="G246">
        <v>0</v>
      </c>
      <c r="H246">
        <v>2</v>
      </c>
      <c r="I246">
        <v>3</v>
      </c>
      <c r="J246">
        <v>2014</v>
      </c>
      <c r="K246">
        <v>9</v>
      </c>
      <c r="L246">
        <v>276</v>
      </c>
      <c r="M246" t="s">
        <v>18</v>
      </c>
    </row>
    <row r="247" spans="1:13" x14ac:dyDescent="0.3">
      <c r="A247" s="1">
        <v>41886</v>
      </c>
      <c r="B247">
        <v>5.68</v>
      </c>
      <c r="C247">
        <v>5.34</v>
      </c>
      <c r="D247">
        <v>3</v>
      </c>
      <c r="E247">
        <v>17.600000000000001</v>
      </c>
      <c r="F247">
        <v>21</v>
      </c>
      <c r="G247">
        <v>1</v>
      </c>
      <c r="H247">
        <v>0</v>
      </c>
      <c r="I247">
        <v>1</v>
      </c>
      <c r="J247">
        <v>2014</v>
      </c>
      <c r="K247">
        <v>9</v>
      </c>
      <c r="L247">
        <v>276</v>
      </c>
      <c r="M247" t="s">
        <v>12</v>
      </c>
    </row>
    <row r="248" spans="1:13" x14ac:dyDescent="0.3">
      <c r="A248" s="1">
        <v>41887</v>
      </c>
      <c r="B248">
        <v>4</v>
      </c>
      <c r="C248">
        <v>0.77900000000000003</v>
      </c>
      <c r="D248">
        <v>3</v>
      </c>
      <c r="E248">
        <v>15.6</v>
      </c>
      <c r="F248">
        <v>15</v>
      </c>
      <c r="G248">
        <v>2</v>
      </c>
      <c r="H248">
        <v>0</v>
      </c>
      <c r="I248">
        <v>2</v>
      </c>
      <c r="J248">
        <v>2014</v>
      </c>
      <c r="K248">
        <v>9</v>
      </c>
      <c r="L248">
        <v>276</v>
      </c>
      <c r="M248" t="s">
        <v>13</v>
      </c>
    </row>
    <row r="249" spans="1:13" x14ac:dyDescent="0.3">
      <c r="A249" s="1">
        <v>41888</v>
      </c>
      <c r="B249">
        <v>5.34</v>
      </c>
      <c r="C249">
        <v>5</v>
      </c>
      <c r="D249">
        <v>2.4</v>
      </c>
      <c r="E249">
        <v>15.7</v>
      </c>
      <c r="F249">
        <v>30</v>
      </c>
      <c r="G249">
        <v>2</v>
      </c>
      <c r="H249">
        <v>5</v>
      </c>
      <c r="I249">
        <v>3.1</v>
      </c>
      <c r="J249">
        <v>2014</v>
      </c>
      <c r="K249">
        <v>9</v>
      </c>
      <c r="L249">
        <v>276</v>
      </c>
      <c r="M249" t="s">
        <v>14</v>
      </c>
    </row>
    <row r="250" spans="1:13" x14ac:dyDescent="0.3">
      <c r="A250" s="1">
        <v>41889</v>
      </c>
      <c r="B250">
        <v>2</v>
      </c>
      <c r="C250">
        <v>5.5149999999999997</v>
      </c>
      <c r="D250">
        <v>5</v>
      </c>
      <c r="E250">
        <v>7</v>
      </c>
      <c r="F250">
        <v>9</v>
      </c>
      <c r="G250">
        <v>0</v>
      </c>
      <c r="H250">
        <v>0</v>
      </c>
      <c r="I250">
        <v>1</v>
      </c>
      <c r="J250">
        <v>2014</v>
      </c>
      <c r="K250">
        <v>9</v>
      </c>
      <c r="L250">
        <v>276</v>
      </c>
      <c r="M250" t="s">
        <v>15</v>
      </c>
    </row>
    <row r="251" spans="1:13" x14ac:dyDescent="0.3">
      <c r="A251" s="1">
        <v>41890</v>
      </c>
      <c r="B251">
        <v>1</v>
      </c>
      <c r="C251">
        <v>5.36</v>
      </c>
      <c r="D251">
        <v>3.5</v>
      </c>
      <c r="E251">
        <v>20.8</v>
      </c>
      <c r="F251">
        <v>15</v>
      </c>
      <c r="G251">
        <v>0</v>
      </c>
      <c r="H251">
        <v>1</v>
      </c>
      <c r="I251">
        <v>4</v>
      </c>
      <c r="J251">
        <v>2014</v>
      </c>
      <c r="K251">
        <v>9</v>
      </c>
      <c r="L251">
        <v>276</v>
      </c>
      <c r="M251" t="s">
        <v>16</v>
      </c>
    </row>
    <row r="252" spans="1:13" x14ac:dyDescent="0.3">
      <c r="A252" s="1">
        <v>41891</v>
      </c>
      <c r="B252">
        <v>6.34</v>
      </c>
      <c r="C252">
        <v>2.34</v>
      </c>
      <c r="D252">
        <v>4</v>
      </c>
      <c r="E252">
        <v>29.2</v>
      </c>
      <c r="F252">
        <v>17</v>
      </c>
      <c r="G252">
        <v>0</v>
      </c>
      <c r="H252">
        <v>2</v>
      </c>
      <c r="I252">
        <v>1.2</v>
      </c>
      <c r="J252">
        <v>2014</v>
      </c>
      <c r="K252">
        <v>9</v>
      </c>
      <c r="L252">
        <v>276</v>
      </c>
      <c r="M252" t="s">
        <v>17</v>
      </c>
    </row>
    <row r="253" spans="1:13" x14ac:dyDescent="0.3">
      <c r="A253" s="1">
        <v>41892</v>
      </c>
      <c r="B253">
        <v>4.34</v>
      </c>
      <c r="C253">
        <v>3.34</v>
      </c>
      <c r="D253">
        <v>3.5</v>
      </c>
      <c r="E253">
        <v>37.799999999999997</v>
      </c>
      <c r="F253">
        <v>12</v>
      </c>
      <c r="G253">
        <v>0</v>
      </c>
      <c r="H253">
        <v>0</v>
      </c>
      <c r="I253">
        <v>1</v>
      </c>
      <c r="J253">
        <v>2014</v>
      </c>
      <c r="K253">
        <v>9</v>
      </c>
      <c r="L253">
        <v>276</v>
      </c>
      <c r="M253" t="s">
        <v>18</v>
      </c>
    </row>
    <row r="254" spans="1:13" x14ac:dyDescent="0.3">
      <c r="A254" s="1">
        <v>41893</v>
      </c>
      <c r="B254">
        <v>0</v>
      </c>
      <c r="C254">
        <v>1.34</v>
      </c>
      <c r="D254">
        <v>4</v>
      </c>
      <c r="E254">
        <v>32.200000000000003</v>
      </c>
      <c r="F254">
        <v>15</v>
      </c>
      <c r="G254">
        <v>0</v>
      </c>
      <c r="H254">
        <v>10</v>
      </c>
      <c r="I254">
        <v>0</v>
      </c>
      <c r="J254">
        <v>2014</v>
      </c>
      <c r="K254">
        <v>9</v>
      </c>
      <c r="L254">
        <v>276</v>
      </c>
      <c r="M254" t="s">
        <v>12</v>
      </c>
    </row>
    <row r="255" spans="1:13" x14ac:dyDescent="0.3">
      <c r="A255" s="1">
        <v>41894</v>
      </c>
      <c r="B255">
        <v>2.68</v>
      </c>
      <c r="C255">
        <v>2.67</v>
      </c>
      <c r="D255">
        <v>1</v>
      </c>
      <c r="E255">
        <v>20</v>
      </c>
      <c r="F255">
        <v>19</v>
      </c>
      <c r="G255">
        <v>0</v>
      </c>
      <c r="H255">
        <v>8</v>
      </c>
      <c r="I255">
        <v>1</v>
      </c>
      <c r="J255">
        <v>2014</v>
      </c>
      <c r="K255">
        <v>9</v>
      </c>
      <c r="L255">
        <v>276</v>
      </c>
      <c r="M255" t="s">
        <v>13</v>
      </c>
    </row>
    <row r="256" spans="1:13" x14ac:dyDescent="0.3">
      <c r="A256" s="1">
        <v>41895</v>
      </c>
      <c r="B256">
        <v>3</v>
      </c>
      <c r="C256">
        <v>5.36</v>
      </c>
      <c r="D256">
        <v>4.4000000000000004</v>
      </c>
      <c r="E256">
        <v>56.85</v>
      </c>
      <c r="F256">
        <v>20</v>
      </c>
      <c r="G256">
        <v>0</v>
      </c>
      <c r="H256">
        <v>1</v>
      </c>
      <c r="I256">
        <v>3</v>
      </c>
      <c r="J256">
        <v>2014</v>
      </c>
      <c r="K256">
        <v>9</v>
      </c>
      <c r="L256">
        <v>276</v>
      </c>
      <c r="M256" t="s">
        <v>14</v>
      </c>
    </row>
    <row r="257" spans="1:13" x14ac:dyDescent="0.3">
      <c r="A257" s="1">
        <v>41896</v>
      </c>
      <c r="B257">
        <v>1.34</v>
      </c>
      <c r="C257">
        <v>2</v>
      </c>
      <c r="D257">
        <v>2</v>
      </c>
      <c r="E257">
        <v>19.5</v>
      </c>
      <c r="F257">
        <v>6</v>
      </c>
      <c r="G257">
        <v>0</v>
      </c>
      <c r="H257">
        <v>6</v>
      </c>
      <c r="I257">
        <v>0</v>
      </c>
      <c r="J257">
        <v>2014</v>
      </c>
      <c r="K257">
        <v>9</v>
      </c>
      <c r="L257">
        <v>276</v>
      </c>
      <c r="M257" t="s">
        <v>15</v>
      </c>
    </row>
    <row r="258" spans="1:13" x14ac:dyDescent="0.3">
      <c r="A258" s="1">
        <v>41897</v>
      </c>
      <c r="B258">
        <v>1.34</v>
      </c>
      <c r="C258">
        <v>3</v>
      </c>
      <c r="D258">
        <v>5.4</v>
      </c>
      <c r="E258">
        <v>28.2</v>
      </c>
      <c r="F258">
        <v>9</v>
      </c>
      <c r="G258">
        <v>0</v>
      </c>
      <c r="H258">
        <v>1</v>
      </c>
      <c r="I258">
        <v>0</v>
      </c>
      <c r="J258">
        <v>2014</v>
      </c>
      <c r="K258">
        <v>9</v>
      </c>
      <c r="L258">
        <v>276</v>
      </c>
      <c r="M258" t="s">
        <v>16</v>
      </c>
    </row>
    <row r="259" spans="1:13" x14ac:dyDescent="0.3">
      <c r="A259" s="1">
        <v>41898</v>
      </c>
      <c r="B259">
        <v>4</v>
      </c>
      <c r="C259">
        <v>2.68</v>
      </c>
      <c r="D259">
        <v>0</v>
      </c>
      <c r="E259">
        <v>59.3</v>
      </c>
      <c r="F259">
        <v>13</v>
      </c>
      <c r="G259">
        <v>0</v>
      </c>
      <c r="H259">
        <v>0</v>
      </c>
      <c r="I259">
        <v>0</v>
      </c>
      <c r="J259">
        <v>2014</v>
      </c>
      <c r="K259">
        <v>9</v>
      </c>
      <c r="L259">
        <v>276</v>
      </c>
      <c r="M259" t="s">
        <v>17</v>
      </c>
    </row>
    <row r="260" spans="1:13" x14ac:dyDescent="0.3">
      <c r="A260" s="1">
        <v>41899</v>
      </c>
      <c r="B260">
        <v>2.34</v>
      </c>
      <c r="C260">
        <v>6</v>
      </c>
      <c r="D260">
        <v>4</v>
      </c>
      <c r="E260">
        <v>39.6</v>
      </c>
      <c r="F260">
        <v>11</v>
      </c>
      <c r="G260">
        <v>2</v>
      </c>
      <c r="H260">
        <v>19</v>
      </c>
      <c r="I260">
        <v>4</v>
      </c>
      <c r="J260">
        <v>2014</v>
      </c>
      <c r="K260">
        <v>9</v>
      </c>
      <c r="L260">
        <v>276</v>
      </c>
      <c r="M260" t="s">
        <v>18</v>
      </c>
    </row>
    <row r="261" spans="1:13" x14ac:dyDescent="0.3">
      <c r="A261" s="1">
        <v>41900</v>
      </c>
      <c r="B261">
        <v>3</v>
      </c>
      <c r="C261">
        <v>2.02</v>
      </c>
      <c r="D261">
        <v>1</v>
      </c>
      <c r="E261">
        <v>44</v>
      </c>
      <c r="F261">
        <v>7</v>
      </c>
      <c r="G261">
        <v>0</v>
      </c>
      <c r="H261">
        <v>0</v>
      </c>
      <c r="I261">
        <v>1</v>
      </c>
      <c r="J261">
        <v>2014</v>
      </c>
      <c r="K261">
        <v>9</v>
      </c>
      <c r="L261">
        <v>276</v>
      </c>
      <c r="M261" t="s">
        <v>12</v>
      </c>
    </row>
    <row r="262" spans="1:13" x14ac:dyDescent="0.3">
      <c r="A262" s="1">
        <v>41901</v>
      </c>
      <c r="B262">
        <v>2</v>
      </c>
      <c r="C262">
        <v>4.34</v>
      </c>
      <c r="D262">
        <v>7.8</v>
      </c>
      <c r="E262">
        <v>23</v>
      </c>
      <c r="F262">
        <v>8</v>
      </c>
      <c r="G262">
        <v>0</v>
      </c>
      <c r="H262">
        <v>22</v>
      </c>
      <c r="I262">
        <v>0</v>
      </c>
      <c r="J262">
        <v>2014</v>
      </c>
      <c r="K262">
        <v>9</v>
      </c>
      <c r="L262">
        <v>276</v>
      </c>
      <c r="M262" t="s">
        <v>13</v>
      </c>
    </row>
    <row r="263" spans="1:13" x14ac:dyDescent="0.3">
      <c r="A263" s="1">
        <v>41902</v>
      </c>
      <c r="B263">
        <v>4.34</v>
      </c>
      <c r="C263">
        <v>1.855</v>
      </c>
      <c r="D263">
        <v>4.5</v>
      </c>
      <c r="E263">
        <v>20.6</v>
      </c>
      <c r="F263">
        <v>14</v>
      </c>
      <c r="G263">
        <v>1</v>
      </c>
      <c r="H263">
        <v>2</v>
      </c>
      <c r="I263">
        <v>0</v>
      </c>
      <c r="J263">
        <v>2014</v>
      </c>
      <c r="K263">
        <v>9</v>
      </c>
      <c r="L263">
        <v>276</v>
      </c>
      <c r="M263" t="s">
        <v>14</v>
      </c>
    </row>
    <row r="264" spans="1:13" x14ac:dyDescent="0.3">
      <c r="A264" s="1">
        <v>41903</v>
      </c>
      <c r="B264">
        <v>1</v>
      </c>
      <c r="C264">
        <v>3.02</v>
      </c>
      <c r="D264">
        <v>6</v>
      </c>
      <c r="E264">
        <v>12.4</v>
      </c>
      <c r="F264">
        <v>7</v>
      </c>
      <c r="G264">
        <v>0</v>
      </c>
      <c r="H264">
        <v>0</v>
      </c>
      <c r="I264">
        <v>3</v>
      </c>
      <c r="J264">
        <v>2014</v>
      </c>
      <c r="K264">
        <v>9</v>
      </c>
      <c r="L264">
        <v>276</v>
      </c>
      <c r="M264" t="s">
        <v>15</v>
      </c>
    </row>
    <row r="265" spans="1:13" x14ac:dyDescent="0.3">
      <c r="A265" s="1">
        <v>41904</v>
      </c>
      <c r="B265">
        <v>3.34</v>
      </c>
      <c r="C265">
        <v>4</v>
      </c>
      <c r="D265">
        <v>5.5</v>
      </c>
      <c r="E265">
        <v>34.200000000000003</v>
      </c>
      <c r="F265">
        <v>10</v>
      </c>
      <c r="G265">
        <v>1</v>
      </c>
      <c r="H265">
        <v>0</v>
      </c>
      <c r="I265">
        <v>2</v>
      </c>
      <c r="J265">
        <v>2014</v>
      </c>
      <c r="K265">
        <v>9</v>
      </c>
      <c r="L265">
        <v>276</v>
      </c>
      <c r="M265" t="s">
        <v>16</v>
      </c>
    </row>
    <row r="266" spans="1:13" x14ac:dyDescent="0.3">
      <c r="A266" s="1">
        <v>41905</v>
      </c>
      <c r="B266">
        <v>3</v>
      </c>
      <c r="C266">
        <v>3.34</v>
      </c>
      <c r="D266">
        <v>5.5</v>
      </c>
      <c r="E266">
        <v>26</v>
      </c>
      <c r="F266">
        <v>10</v>
      </c>
      <c r="G266">
        <v>0</v>
      </c>
      <c r="H266">
        <v>1</v>
      </c>
      <c r="I266">
        <v>2</v>
      </c>
      <c r="J266">
        <v>2014</v>
      </c>
      <c r="K266">
        <v>9</v>
      </c>
      <c r="L266">
        <v>276</v>
      </c>
      <c r="M266" t="s">
        <v>17</v>
      </c>
    </row>
    <row r="267" spans="1:13" x14ac:dyDescent="0.3">
      <c r="A267" s="1">
        <v>41906</v>
      </c>
      <c r="B267">
        <v>6</v>
      </c>
      <c r="C267">
        <v>3.34</v>
      </c>
      <c r="D267">
        <v>1.4</v>
      </c>
      <c r="E267">
        <v>24.7</v>
      </c>
      <c r="F267">
        <v>14</v>
      </c>
      <c r="G267">
        <v>0</v>
      </c>
      <c r="H267">
        <v>0</v>
      </c>
      <c r="I267">
        <v>0</v>
      </c>
      <c r="J267">
        <v>2014</v>
      </c>
      <c r="K267">
        <v>9</v>
      </c>
      <c r="L267">
        <v>276</v>
      </c>
      <c r="M267" t="s">
        <v>18</v>
      </c>
    </row>
    <row r="268" spans="1:13" x14ac:dyDescent="0.3">
      <c r="A268" s="1">
        <v>41907</v>
      </c>
      <c r="B268">
        <v>4.68</v>
      </c>
      <c r="C268">
        <v>6.34</v>
      </c>
      <c r="D268">
        <v>8.1999999999999993</v>
      </c>
      <c r="E268">
        <v>49.15</v>
      </c>
      <c r="F268">
        <v>15</v>
      </c>
      <c r="G268">
        <v>1</v>
      </c>
      <c r="H268">
        <v>1</v>
      </c>
      <c r="I268">
        <v>5</v>
      </c>
      <c r="J268">
        <v>2014</v>
      </c>
      <c r="K268">
        <v>9</v>
      </c>
      <c r="L268">
        <v>276</v>
      </c>
      <c r="M268" t="s">
        <v>12</v>
      </c>
    </row>
    <row r="269" spans="1:13" x14ac:dyDescent="0.3">
      <c r="A269" s="1">
        <v>41908</v>
      </c>
      <c r="B269">
        <v>4</v>
      </c>
      <c r="C269">
        <v>3.68</v>
      </c>
      <c r="D269">
        <v>3.5</v>
      </c>
      <c r="E269">
        <v>38</v>
      </c>
      <c r="F269">
        <v>22</v>
      </c>
      <c r="G269">
        <v>2</v>
      </c>
      <c r="H269">
        <v>0</v>
      </c>
      <c r="I269">
        <v>1</v>
      </c>
      <c r="J269">
        <v>2014</v>
      </c>
      <c r="K269">
        <v>9</v>
      </c>
      <c r="L269">
        <v>276</v>
      </c>
      <c r="M269" t="s">
        <v>13</v>
      </c>
    </row>
    <row r="270" spans="1:13" x14ac:dyDescent="0.3">
      <c r="A270" s="1">
        <v>41909</v>
      </c>
      <c r="B270">
        <v>4</v>
      </c>
      <c r="C270">
        <v>2</v>
      </c>
      <c r="D270">
        <v>6</v>
      </c>
      <c r="E270">
        <v>46.3</v>
      </c>
      <c r="F270">
        <v>18</v>
      </c>
      <c r="G270">
        <v>0</v>
      </c>
      <c r="H270">
        <v>0</v>
      </c>
      <c r="I270">
        <v>4</v>
      </c>
      <c r="J270">
        <v>2014</v>
      </c>
      <c r="K270">
        <v>9</v>
      </c>
      <c r="L270">
        <v>276</v>
      </c>
      <c r="M270" t="s">
        <v>14</v>
      </c>
    </row>
    <row r="271" spans="1:13" x14ac:dyDescent="0.3">
      <c r="A271" s="1">
        <v>41910</v>
      </c>
      <c r="B271">
        <v>0.34</v>
      </c>
      <c r="C271">
        <v>2.68</v>
      </c>
      <c r="D271">
        <v>1</v>
      </c>
      <c r="E271">
        <v>21.2</v>
      </c>
      <c r="F271">
        <v>6</v>
      </c>
      <c r="G271">
        <v>0</v>
      </c>
      <c r="H271">
        <v>0</v>
      </c>
      <c r="I271">
        <v>2</v>
      </c>
      <c r="J271">
        <v>2014</v>
      </c>
      <c r="K271">
        <v>9</v>
      </c>
      <c r="L271">
        <v>276</v>
      </c>
      <c r="M271" t="s">
        <v>15</v>
      </c>
    </row>
    <row r="272" spans="1:13" x14ac:dyDescent="0.3">
      <c r="A272" s="1">
        <v>41911</v>
      </c>
      <c r="B272">
        <v>7</v>
      </c>
      <c r="C272">
        <v>3.68</v>
      </c>
      <c r="D272">
        <v>2.2999999999999998</v>
      </c>
      <c r="E272">
        <v>29.8</v>
      </c>
      <c r="F272">
        <v>12</v>
      </c>
      <c r="G272">
        <v>0</v>
      </c>
      <c r="H272">
        <v>10</v>
      </c>
      <c r="I272">
        <v>4</v>
      </c>
      <c r="J272">
        <v>2014</v>
      </c>
      <c r="K272">
        <v>9</v>
      </c>
      <c r="L272">
        <v>276</v>
      </c>
      <c r="M272" t="s">
        <v>16</v>
      </c>
    </row>
    <row r="273" spans="1:13" x14ac:dyDescent="0.3">
      <c r="A273" s="1">
        <v>41912</v>
      </c>
      <c r="B273">
        <v>10</v>
      </c>
      <c r="C273">
        <v>5.34</v>
      </c>
      <c r="D273">
        <v>4</v>
      </c>
      <c r="E273">
        <v>61.3</v>
      </c>
      <c r="F273">
        <v>10</v>
      </c>
      <c r="G273">
        <v>2</v>
      </c>
      <c r="H273">
        <v>22</v>
      </c>
      <c r="I273">
        <v>2</v>
      </c>
      <c r="J273">
        <v>2014</v>
      </c>
      <c r="K273">
        <v>9</v>
      </c>
      <c r="L273">
        <v>276</v>
      </c>
      <c r="M273" t="s">
        <v>17</v>
      </c>
    </row>
    <row r="274" spans="1:13" x14ac:dyDescent="0.3">
      <c r="A274" s="1">
        <v>41913</v>
      </c>
      <c r="B274">
        <v>2.34</v>
      </c>
      <c r="C274">
        <v>0</v>
      </c>
      <c r="D274">
        <v>2.4</v>
      </c>
      <c r="E274">
        <v>44</v>
      </c>
      <c r="F274">
        <v>15</v>
      </c>
      <c r="G274">
        <v>0</v>
      </c>
      <c r="H274">
        <v>11</v>
      </c>
      <c r="I274">
        <v>2</v>
      </c>
      <c r="J274">
        <v>2014</v>
      </c>
      <c r="K274">
        <v>10</v>
      </c>
      <c r="L274">
        <v>276</v>
      </c>
      <c r="M274" t="s">
        <v>18</v>
      </c>
    </row>
    <row r="275" spans="1:13" x14ac:dyDescent="0.3">
      <c r="A275" s="1">
        <v>41914</v>
      </c>
      <c r="B275">
        <v>2</v>
      </c>
      <c r="C275">
        <v>4.99</v>
      </c>
      <c r="D275">
        <v>5</v>
      </c>
      <c r="E275">
        <v>23.9</v>
      </c>
      <c r="F275">
        <v>11</v>
      </c>
      <c r="G275">
        <v>0</v>
      </c>
      <c r="H275">
        <v>2</v>
      </c>
      <c r="I275">
        <v>1</v>
      </c>
      <c r="J275">
        <v>2014</v>
      </c>
      <c r="K275">
        <v>10</v>
      </c>
      <c r="L275">
        <v>276</v>
      </c>
      <c r="M275" t="s">
        <v>12</v>
      </c>
    </row>
    <row r="276" spans="1:13" x14ac:dyDescent="0.3">
      <c r="A276" s="1">
        <v>41915</v>
      </c>
      <c r="B276">
        <v>4.33</v>
      </c>
      <c r="C276">
        <v>1.34</v>
      </c>
      <c r="D276">
        <v>5.9</v>
      </c>
      <c r="E276">
        <v>44.14</v>
      </c>
      <c r="F276">
        <v>12</v>
      </c>
      <c r="G276">
        <v>0</v>
      </c>
      <c r="H276">
        <v>11</v>
      </c>
      <c r="I276">
        <v>2</v>
      </c>
      <c r="J276">
        <v>2014</v>
      </c>
      <c r="K276">
        <v>10</v>
      </c>
      <c r="L276">
        <v>276</v>
      </c>
      <c r="M276" t="s">
        <v>13</v>
      </c>
    </row>
    <row r="277" spans="1:13" x14ac:dyDescent="0.3">
      <c r="A277" s="1">
        <v>41916</v>
      </c>
      <c r="B277">
        <v>4.68</v>
      </c>
      <c r="C277">
        <v>7.766</v>
      </c>
      <c r="D277">
        <v>8</v>
      </c>
      <c r="E277">
        <v>49.9</v>
      </c>
      <c r="F277">
        <v>12</v>
      </c>
      <c r="G277">
        <v>1</v>
      </c>
      <c r="H277">
        <v>25</v>
      </c>
      <c r="I277">
        <v>0</v>
      </c>
      <c r="J277">
        <v>2014</v>
      </c>
      <c r="K277">
        <v>10</v>
      </c>
      <c r="L277">
        <v>276</v>
      </c>
      <c r="M277" t="s">
        <v>14</v>
      </c>
    </row>
    <row r="278" spans="1:13" x14ac:dyDescent="0.3">
      <c r="A278" s="1">
        <v>41917</v>
      </c>
      <c r="B278">
        <v>2</v>
      </c>
      <c r="C278">
        <v>3.34</v>
      </c>
      <c r="D278">
        <v>3</v>
      </c>
      <c r="E278">
        <v>19</v>
      </c>
      <c r="F278">
        <v>1</v>
      </c>
      <c r="G278">
        <v>0</v>
      </c>
      <c r="H278">
        <v>0</v>
      </c>
      <c r="I278">
        <v>3</v>
      </c>
      <c r="J278">
        <v>2014</v>
      </c>
      <c r="K278">
        <v>10</v>
      </c>
      <c r="L278">
        <v>276</v>
      </c>
      <c r="M278" t="s">
        <v>15</v>
      </c>
    </row>
    <row r="279" spans="1:13" x14ac:dyDescent="0.3">
      <c r="A279" s="1">
        <v>41918</v>
      </c>
      <c r="B279">
        <v>5.34</v>
      </c>
      <c r="C279">
        <v>1.365</v>
      </c>
      <c r="D279">
        <v>2.4</v>
      </c>
      <c r="E279">
        <v>69.875</v>
      </c>
      <c r="F279">
        <v>13</v>
      </c>
      <c r="G279">
        <v>1</v>
      </c>
      <c r="H279">
        <v>0</v>
      </c>
      <c r="I279">
        <v>1</v>
      </c>
      <c r="J279">
        <v>2014</v>
      </c>
      <c r="K279">
        <v>10</v>
      </c>
      <c r="L279">
        <v>276</v>
      </c>
      <c r="M279" t="s">
        <v>16</v>
      </c>
    </row>
    <row r="280" spans="1:13" x14ac:dyDescent="0.3">
      <c r="A280" s="1">
        <v>41919</v>
      </c>
      <c r="B280">
        <v>3</v>
      </c>
      <c r="C280">
        <v>4.34</v>
      </c>
      <c r="D280">
        <v>2.2000000000000002</v>
      </c>
      <c r="E280">
        <v>41.7</v>
      </c>
      <c r="F280">
        <v>17</v>
      </c>
      <c r="G280">
        <v>1</v>
      </c>
      <c r="H280">
        <v>5</v>
      </c>
      <c r="I280">
        <v>0</v>
      </c>
      <c r="J280">
        <v>2014</v>
      </c>
      <c r="K280">
        <v>10</v>
      </c>
      <c r="L280">
        <v>276</v>
      </c>
      <c r="M280" t="s">
        <v>17</v>
      </c>
    </row>
    <row r="281" spans="1:13" x14ac:dyDescent="0.3">
      <c r="A281" s="1">
        <v>41920</v>
      </c>
      <c r="B281">
        <v>3.68</v>
      </c>
      <c r="C281">
        <v>6</v>
      </c>
      <c r="D281">
        <v>7</v>
      </c>
      <c r="E281">
        <v>50</v>
      </c>
      <c r="F281">
        <v>17</v>
      </c>
      <c r="G281">
        <v>0</v>
      </c>
      <c r="H281">
        <v>0</v>
      </c>
      <c r="I281">
        <v>2</v>
      </c>
      <c r="J281">
        <v>2014</v>
      </c>
      <c r="K281">
        <v>10</v>
      </c>
      <c r="L281">
        <v>276</v>
      </c>
      <c r="M281" t="s">
        <v>18</v>
      </c>
    </row>
    <row r="282" spans="1:13" x14ac:dyDescent="0.3">
      <c r="A282" s="1">
        <v>41921</v>
      </c>
      <c r="B282">
        <v>1</v>
      </c>
      <c r="C282">
        <v>4.6900000000000004</v>
      </c>
      <c r="D282">
        <v>6</v>
      </c>
      <c r="E282">
        <v>48.2</v>
      </c>
      <c r="F282">
        <v>10</v>
      </c>
      <c r="G282">
        <v>2</v>
      </c>
      <c r="H282">
        <v>5</v>
      </c>
      <c r="I282">
        <v>0</v>
      </c>
      <c r="J282">
        <v>2014</v>
      </c>
      <c r="K282">
        <v>10</v>
      </c>
      <c r="L282">
        <v>276</v>
      </c>
      <c r="M282" t="s">
        <v>12</v>
      </c>
    </row>
    <row r="283" spans="1:13" x14ac:dyDescent="0.3">
      <c r="A283" s="1">
        <v>41922</v>
      </c>
      <c r="B283">
        <v>4.34</v>
      </c>
      <c r="C283">
        <v>2.68</v>
      </c>
      <c r="D283">
        <v>9</v>
      </c>
      <c r="E283">
        <v>28.8</v>
      </c>
      <c r="F283">
        <v>24</v>
      </c>
      <c r="G283">
        <v>3</v>
      </c>
      <c r="H283">
        <v>6</v>
      </c>
      <c r="I283">
        <v>0.5</v>
      </c>
      <c r="J283">
        <v>2014</v>
      </c>
      <c r="K283">
        <v>10</v>
      </c>
      <c r="L283">
        <v>276</v>
      </c>
      <c r="M283" t="s">
        <v>13</v>
      </c>
    </row>
    <row r="284" spans="1:13" x14ac:dyDescent="0.3">
      <c r="A284" s="1">
        <v>41923</v>
      </c>
      <c r="B284">
        <v>3.34</v>
      </c>
      <c r="C284">
        <v>3.68</v>
      </c>
      <c r="D284">
        <v>5</v>
      </c>
      <c r="E284">
        <v>35.9</v>
      </c>
      <c r="F284">
        <v>15</v>
      </c>
      <c r="G284">
        <v>0</v>
      </c>
      <c r="H284">
        <v>0</v>
      </c>
      <c r="I284">
        <v>5</v>
      </c>
      <c r="J284">
        <v>2014</v>
      </c>
      <c r="K284">
        <v>10</v>
      </c>
      <c r="L284">
        <v>276</v>
      </c>
      <c r="M284" t="s">
        <v>14</v>
      </c>
    </row>
    <row r="285" spans="1:13" x14ac:dyDescent="0.3">
      <c r="A285" s="1">
        <v>41924</v>
      </c>
      <c r="B285">
        <v>3</v>
      </c>
      <c r="C285">
        <v>0.33</v>
      </c>
      <c r="D285">
        <v>1.5</v>
      </c>
      <c r="E285">
        <v>22.5</v>
      </c>
      <c r="F285">
        <v>7</v>
      </c>
      <c r="G285">
        <v>0</v>
      </c>
      <c r="H285">
        <v>5</v>
      </c>
      <c r="I285">
        <v>2</v>
      </c>
      <c r="J285">
        <v>2014</v>
      </c>
      <c r="K285">
        <v>10</v>
      </c>
      <c r="L285">
        <v>276</v>
      </c>
      <c r="M285" t="s">
        <v>15</v>
      </c>
    </row>
    <row r="286" spans="1:13" x14ac:dyDescent="0.3">
      <c r="A286" s="1">
        <v>41925</v>
      </c>
      <c r="B286">
        <v>1.68</v>
      </c>
      <c r="C286">
        <v>4</v>
      </c>
      <c r="D286">
        <v>6.2</v>
      </c>
      <c r="E286">
        <v>31.9</v>
      </c>
      <c r="F286">
        <v>11</v>
      </c>
      <c r="G286">
        <v>0</v>
      </c>
      <c r="H286">
        <v>1</v>
      </c>
      <c r="I286">
        <v>2</v>
      </c>
      <c r="J286">
        <v>2014</v>
      </c>
      <c r="K286">
        <v>10</v>
      </c>
      <c r="L286">
        <v>276</v>
      </c>
      <c r="M286" t="s">
        <v>16</v>
      </c>
    </row>
    <row r="287" spans="1:13" x14ac:dyDescent="0.3">
      <c r="A287" s="1">
        <v>41926</v>
      </c>
      <c r="B287">
        <v>3</v>
      </c>
      <c r="C287">
        <v>5.41</v>
      </c>
      <c r="D287">
        <v>4.8</v>
      </c>
      <c r="E287">
        <v>31.8</v>
      </c>
      <c r="F287">
        <v>7</v>
      </c>
      <c r="G287">
        <v>0</v>
      </c>
      <c r="H287">
        <v>11</v>
      </c>
      <c r="I287">
        <v>0</v>
      </c>
      <c r="J287">
        <v>2014</v>
      </c>
      <c r="K287">
        <v>10</v>
      </c>
      <c r="L287">
        <v>276</v>
      </c>
      <c r="M287" t="s">
        <v>17</v>
      </c>
    </row>
    <row r="288" spans="1:13" x14ac:dyDescent="0.3">
      <c r="A288" s="1">
        <v>41927</v>
      </c>
      <c r="B288">
        <v>1.33</v>
      </c>
      <c r="C288">
        <v>6.35</v>
      </c>
      <c r="D288">
        <v>3.5</v>
      </c>
      <c r="E288">
        <v>23.7</v>
      </c>
      <c r="F288">
        <v>14</v>
      </c>
      <c r="G288">
        <v>1</v>
      </c>
      <c r="H288">
        <v>2</v>
      </c>
      <c r="I288">
        <v>4</v>
      </c>
      <c r="J288">
        <v>2014</v>
      </c>
      <c r="K288">
        <v>10</v>
      </c>
      <c r="L288">
        <v>276</v>
      </c>
      <c r="M288" t="s">
        <v>18</v>
      </c>
    </row>
    <row r="289" spans="1:13" x14ac:dyDescent="0.3">
      <c r="A289" s="1">
        <v>41928</v>
      </c>
      <c r="B289">
        <v>6.7750000000000004</v>
      </c>
      <c r="C289">
        <v>3.5103124999999999</v>
      </c>
      <c r="D289">
        <v>2.9375</v>
      </c>
      <c r="E289">
        <v>58.921875</v>
      </c>
      <c r="F289">
        <v>9.0625</v>
      </c>
      <c r="G289">
        <v>0.625</v>
      </c>
      <c r="H289">
        <v>5</v>
      </c>
      <c r="I289">
        <v>2.1875</v>
      </c>
      <c r="J289">
        <v>2014</v>
      </c>
      <c r="K289">
        <v>10</v>
      </c>
      <c r="L289">
        <v>276</v>
      </c>
      <c r="M289" t="s">
        <v>12</v>
      </c>
    </row>
    <row r="290" spans="1:13" x14ac:dyDescent="0.3">
      <c r="A290" s="1">
        <v>41929</v>
      </c>
      <c r="B290">
        <v>3</v>
      </c>
      <c r="C290">
        <v>2.34</v>
      </c>
      <c r="D290">
        <v>3.4</v>
      </c>
      <c r="E290">
        <v>42</v>
      </c>
      <c r="F290">
        <v>22</v>
      </c>
      <c r="G290">
        <v>3</v>
      </c>
      <c r="H290">
        <v>0</v>
      </c>
      <c r="I290">
        <v>2</v>
      </c>
      <c r="J290">
        <v>2014</v>
      </c>
      <c r="K290">
        <v>10</v>
      </c>
      <c r="L290">
        <v>276</v>
      </c>
      <c r="M290" t="s">
        <v>13</v>
      </c>
    </row>
    <row r="291" spans="1:13" x14ac:dyDescent="0.3">
      <c r="A291" s="1">
        <v>41930</v>
      </c>
      <c r="B291">
        <v>4</v>
      </c>
      <c r="C291">
        <v>6</v>
      </c>
      <c r="D291">
        <v>5.5</v>
      </c>
      <c r="E291">
        <v>21.4</v>
      </c>
      <c r="F291">
        <v>24</v>
      </c>
      <c r="G291">
        <v>0</v>
      </c>
      <c r="H291">
        <v>3</v>
      </c>
      <c r="I291">
        <v>2</v>
      </c>
      <c r="J291">
        <v>2014</v>
      </c>
      <c r="K291">
        <v>10</v>
      </c>
      <c r="L291">
        <v>276</v>
      </c>
      <c r="M291" t="s">
        <v>14</v>
      </c>
    </row>
    <row r="292" spans="1:13" x14ac:dyDescent="0.3">
      <c r="A292" s="1">
        <v>41931</v>
      </c>
      <c r="B292">
        <v>3.33</v>
      </c>
      <c r="C292">
        <v>3</v>
      </c>
      <c r="D292">
        <v>2</v>
      </c>
      <c r="E292">
        <v>13.9</v>
      </c>
      <c r="F292">
        <v>9</v>
      </c>
      <c r="G292">
        <v>0</v>
      </c>
      <c r="H292">
        <v>6</v>
      </c>
      <c r="I292">
        <v>1</v>
      </c>
      <c r="J292">
        <v>2014</v>
      </c>
      <c r="K292">
        <v>10</v>
      </c>
      <c r="L292">
        <v>276</v>
      </c>
      <c r="M292" t="s">
        <v>15</v>
      </c>
    </row>
    <row r="293" spans="1:13" x14ac:dyDescent="0.3">
      <c r="A293" s="1">
        <v>41932</v>
      </c>
      <c r="B293">
        <v>3.34</v>
      </c>
      <c r="C293">
        <v>5.66</v>
      </c>
      <c r="D293">
        <v>7.3</v>
      </c>
      <c r="E293">
        <v>35.4</v>
      </c>
      <c r="F293">
        <v>25</v>
      </c>
      <c r="G293">
        <v>2</v>
      </c>
      <c r="H293">
        <v>0</v>
      </c>
      <c r="I293">
        <v>1</v>
      </c>
      <c r="J293">
        <v>2014</v>
      </c>
      <c r="K293">
        <v>10</v>
      </c>
      <c r="L293">
        <v>276</v>
      </c>
      <c r="M293" t="s">
        <v>16</v>
      </c>
    </row>
    <row r="294" spans="1:13" x14ac:dyDescent="0.3">
      <c r="A294" s="1">
        <v>41933</v>
      </c>
      <c r="B294">
        <v>2.34</v>
      </c>
      <c r="C294">
        <v>4.34</v>
      </c>
      <c r="D294">
        <v>6.4</v>
      </c>
      <c r="E294">
        <v>14.3</v>
      </c>
      <c r="F294">
        <v>11</v>
      </c>
      <c r="G294">
        <v>0</v>
      </c>
      <c r="H294">
        <v>20</v>
      </c>
      <c r="I294">
        <v>1</v>
      </c>
      <c r="J294">
        <v>2014</v>
      </c>
      <c r="K294">
        <v>10</v>
      </c>
      <c r="L294">
        <v>276</v>
      </c>
      <c r="M294" t="s">
        <v>17</v>
      </c>
    </row>
    <row r="295" spans="1:13" x14ac:dyDescent="0.3">
      <c r="A295" s="1">
        <v>41934</v>
      </c>
      <c r="B295">
        <v>3.33</v>
      </c>
      <c r="C295">
        <v>2</v>
      </c>
      <c r="D295">
        <v>2.6</v>
      </c>
      <c r="E295">
        <v>20.9</v>
      </c>
      <c r="F295">
        <v>7</v>
      </c>
      <c r="G295">
        <v>0</v>
      </c>
      <c r="H295">
        <v>2</v>
      </c>
      <c r="I295">
        <v>1</v>
      </c>
      <c r="J295">
        <v>2014</v>
      </c>
      <c r="K295">
        <v>10</v>
      </c>
      <c r="L295">
        <v>276</v>
      </c>
      <c r="M295" t="s">
        <v>18</v>
      </c>
    </row>
    <row r="296" spans="1:13" x14ac:dyDescent="0.3">
      <c r="A296" s="1">
        <v>41935</v>
      </c>
      <c r="B296">
        <v>1.34</v>
      </c>
      <c r="C296">
        <v>4.33</v>
      </c>
      <c r="D296">
        <v>0</v>
      </c>
      <c r="E296">
        <v>32.200000000000003</v>
      </c>
      <c r="F296">
        <v>7</v>
      </c>
      <c r="G296">
        <v>1</v>
      </c>
      <c r="H296">
        <v>0</v>
      </c>
      <c r="I296">
        <v>0</v>
      </c>
      <c r="J296">
        <v>2014</v>
      </c>
      <c r="K296">
        <v>10</v>
      </c>
      <c r="L296">
        <v>276</v>
      </c>
      <c r="M296" t="s">
        <v>12</v>
      </c>
    </row>
    <row r="297" spans="1:13" x14ac:dyDescent="0.3">
      <c r="A297" s="1">
        <v>41936</v>
      </c>
      <c r="B297">
        <v>3.67</v>
      </c>
      <c r="C297">
        <v>2.67</v>
      </c>
      <c r="D297">
        <v>6.3</v>
      </c>
      <c r="E297">
        <v>49.4</v>
      </c>
      <c r="F297">
        <v>18</v>
      </c>
      <c r="G297">
        <v>0</v>
      </c>
      <c r="H297">
        <v>5</v>
      </c>
      <c r="I297">
        <v>1</v>
      </c>
      <c r="J297">
        <v>2014</v>
      </c>
      <c r="K297">
        <v>10</v>
      </c>
      <c r="L297">
        <v>276</v>
      </c>
      <c r="M297" t="s">
        <v>13</v>
      </c>
    </row>
    <row r="298" spans="1:13" x14ac:dyDescent="0.3">
      <c r="A298" s="1">
        <v>41937</v>
      </c>
      <c r="B298">
        <v>2.33</v>
      </c>
      <c r="C298">
        <v>5.14</v>
      </c>
      <c r="D298">
        <v>1</v>
      </c>
      <c r="E298">
        <v>31</v>
      </c>
      <c r="F298">
        <v>21</v>
      </c>
      <c r="G298">
        <v>0</v>
      </c>
      <c r="H298">
        <v>2</v>
      </c>
      <c r="I298">
        <v>5</v>
      </c>
      <c r="J298">
        <v>2014</v>
      </c>
      <c r="K298">
        <v>10</v>
      </c>
      <c r="L298">
        <v>276</v>
      </c>
      <c r="M298" t="s">
        <v>14</v>
      </c>
    </row>
    <row r="299" spans="1:13" x14ac:dyDescent="0.3">
      <c r="A299" s="1">
        <v>41938</v>
      </c>
      <c r="B299">
        <v>3.34</v>
      </c>
      <c r="C299">
        <v>1</v>
      </c>
      <c r="D299">
        <v>1.6</v>
      </c>
      <c r="E299">
        <v>30.4</v>
      </c>
      <c r="F299">
        <v>6</v>
      </c>
      <c r="G299">
        <v>0</v>
      </c>
      <c r="H299">
        <v>1</v>
      </c>
      <c r="I299">
        <v>1</v>
      </c>
      <c r="J299">
        <v>2014</v>
      </c>
      <c r="K299">
        <v>10</v>
      </c>
      <c r="L299">
        <v>276</v>
      </c>
      <c r="M299" t="s">
        <v>15</v>
      </c>
    </row>
    <row r="300" spans="1:13" x14ac:dyDescent="0.3">
      <c r="A300" s="1">
        <v>41939</v>
      </c>
      <c r="B300">
        <v>8.34</v>
      </c>
      <c r="C300">
        <v>4.55</v>
      </c>
      <c r="D300">
        <v>4</v>
      </c>
      <c r="E300">
        <v>25.3</v>
      </c>
      <c r="F300">
        <v>17</v>
      </c>
      <c r="G300">
        <v>1</v>
      </c>
      <c r="H300">
        <v>3</v>
      </c>
      <c r="I300">
        <v>0</v>
      </c>
      <c r="J300">
        <v>2014</v>
      </c>
      <c r="K300">
        <v>10</v>
      </c>
      <c r="L300">
        <v>276</v>
      </c>
      <c r="M300" t="s">
        <v>16</v>
      </c>
    </row>
    <row r="301" spans="1:13" x14ac:dyDescent="0.3">
      <c r="A301" s="1">
        <v>41940</v>
      </c>
      <c r="B301">
        <v>4</v>
      </c>
      <c r="C301">
        <v>3.48</v>
      </c>
      <c r="D301">
        <v>10</v>
      </c>
      <c r="E301">
        <v>40.4</v>
      </c>
      <c r="F301">
        <v>23</v>
      </c>
      <c r="G301">
        <v>0</v>
      </c>
      <c r="H301">
        <v>0</v>
      </c>
      <c r="I301">
        <v>2</v>
      </c>
      <c r="J301">
        <v>2014</v>
      </c>
      <c r="K301">
        <v>10</v>
      </c>
      <c r="L301">
        <v>276</v>
      </c>
      <c r="M301" t="s">
        <v>17</v>
      </c>
    </row>
    <row r="302" spans="1:13" x14ac:dyDescent="0.3">
      <c r="A302" s="1">
        <v>41941</v>
      </c>
      <c r="B302">
        <v>5</v>
      </c>
      <c r="C302">
        <v>1</v>
      </c>
      <c r="D302">
        <v>6.6</v>
      </c>
      <c r="E302">
        <v>41</v>
      </c>
      <c r="F302">
        <v>20</v>
      </c>
      <c r="G302">
        <v>2</v>
      </c>
      <c r="H302">
        <v>27</v>
      </c>
      <c r="I302">
        <v>1</v>
      </c>
      <c r="J302">
        <v>2014</v>
      </c>
      <c r="K302">
        <v>10</v>
      </c>
      <c r="L302">
        <v>276</v>
      </c>
      <c r="M302" t="s">
        <v>18</v>
      </c>
    </row>
    <row r="303" spans="1:13" x14ac:dyDescent="0.3">
      <c r="A303" s="1">
        <v>41942</v>
      </c>
      <c r="B303">
        <v>0</v>
      </c>
      <c r="C303">
        <v>1</v>
      </c>
      <c r="D303">
        <v>5</v>
      </c>
      <c r="E303">
        <v>20.3</v>
      </c>
      <c r="F303">
        <v>11</v>
      </c>
      <c r="G303">
        <v>1</v>
      </c>
      <c r="H303">
        <v>2</v>
      </c>
      <c r="I303">
        <v>0</v>
      </c>
      <c r="J303">
        <v>2014</v>
      </c>
      <c r="K303">
        <v>10</v>
      </c>
      <c r="L303">
        <v>276</v>
      </c>
      <c r="M303" t="s">
        <v>12</v>
      </c>
    </row>
    <row r="304" spans="1:13" x14ac:dyDescent="0.3">
      <c r="A304" s="1">
        <v>41943</v>
      </c>
      <c r="B304">
        <v>2</v>
      </c>
      <c r="C304">
        <v>2.4500000000000002</v>
      </c>
      <c r="D304">
        <v>4</v>
      </c>
      <c r="E304">
        <v>31</v>
      </c>
      <c r="F304">
        <v>16</v>
      </c>
      <c r="G304">
        <v>0</v>
      </c>
      <c r="H304">
        <v>0</v>
      </c>
      <c r="I304">
        <v>2</v>
      </c>
      <c r="J304">
        <v>2014</v>
      </c>
      <c r="K304">
        <v>10</v>
      </c>
      <c r="L304">
        <v>276</v>
      </c>
      <c r="M304" t="s">
        <v>13</v>
      </c>
    </row>
    <row r="305" spans="1:13" x14ac:dyDescent="0.3">
      <c r="A305" s="1">
        <v>41944</v>
      </c>
      <c r="B305">
        <v>2.33</v>
      </c>
      <c r="C305">
        <v>2.34</v>
      </c>
      <c r="D305">
        <v>3.5</v>
      </c>
      <c r="E305">
        <v>43.8</v>
      </c>
      <c r="F305">
        <v>22</v>
      </c>
      <c r="G305">
        <v>0</v>
      </c>
      <c r="H305">
        <v>7</v>
      </c>
      <c r="I305">
        <v>1</v>
      </c>
      <c r="J305">
        <v>2014</v>
      </c>
      <c r="K305">
        <v>11</v>
      </c>
      <c r="L305">
        <v>276</v>
      </c>
      <c r="M305" t="s">
        <v>14</v>
      </c>
    </row>
    <row r="306" spans="1:13" x14ac:dyDescent="0.3">
      <c r="A306" s="1">
        <v>41945</v>
      </c>
      <c r="B306">
        <v>4</v>
      </c>
      <c r="C306">
        <v>0</v>
      </c>
      <c r="D306">
        <v>1</v>
      </c>
      <c r="E306">
        <v>2</v>
      </c>
      <c r="F306">
        <v>3.5</v>
      </c>
      <c r="G306">
        <v>0</v>
      </c>
      <c r="H306">
        <v>0</v>
      </c>
      <c r="I306">
        <v>1</v>
      </c>
      <c r="J306">
        <v>2014</v>
      </c>
      <c r="K306">
        <v>11</v>
      </c>
      <c r="L306">
        <v>276</v>
      </c>
      <c r="M306" t="s">
        <v>15</v>
      </c>
    </row>
    <row r="307" spans="1:13" x14ac:dyDescent="0.3">
      <c r="A307" s="1">
        <v>41946</v>
      </c>
      <c r="B307">
        <v>7</v>
      </c>
      <c r="C307">
        <v>4.33</v>
      </c>
      <c r="D307">
        <v>1</v>
      </c>
      <c r="E307">
        <v>27.8</v>
      </c>
      <c r="F307">
        <v>19</v>
      </c>
      <c r="G307">
        <v>0</v>
      </c>
      <c r="H307">
        <v>5</v>
      </c>
      <c r="I307">
        <v>1</v>
      </c>
      <c r="J307">
        <v>2014</v>
      </c>
      <c r="K307">
        <v>11</v>
      </c>
      <c r="L307">
        <v>276</v>
      </c>
      <c r="M307" t="s">
        <v>16</v>
      </c>
    </row>
    <row r="308" spans="1:13" x14ac:dyDescent="0.3">
      <c r="A308" s="1">
        <v>41947</v>
      </c>
      <c r="B308">
        <v>6.33</v>
      </c>
      <c r="C308">
        <v>1</v>
      </c>
      <c r="D308">
        <v>5.2</v>
      </c>
      <c r="E308">
        <v>26.5</v>
      </c>
      <c r="F308">
        <v>15</v>
      </c>
      <c r="G308">
        <v>0</v>
      </c>
      <c r="H308">
        <v>0</v>
      </c>
      <c r="I308">
        <v>1</v>
      </c>
      <c r="J308">
        <v>2014</v>
      </c>
      <c r="K308">
        <v>11</v>
      </c>
      <c r="L308">
        <v>276</v>
      </c>
      <c r="M308" t="s">
        <v>17</v>
      </c>
    </row>
    <row r="309" spans="1:13" x14ac:dyDescent="0.3">
      <c r="A309" s="1">
        <v>41948</v>
      </c>
      <c r="B309">
        <v>0</v>
      </c>
      <c r="C309">
        <v>1.68</v>
      </c>
      <c r="D309">
        <v>4</v>
      </c>
      <c r="E309">
        <v>27</v>
      </c>
      <c r="F309">
        <v>19</v>
      </c>
      <c r="G309">
        <v>3</v>
      </c>
      <c r="H309">
        <v>1</v>
      </c>
      <c r="I309">
        <v>0</v>
      </c>
      <c r="J309">
        <v>2014</v>
      </c>
      <c r="K309">
        <v>11</v>
      </c>
      <c r="L309">
        <v>276</v>
      </c>
      <c r="M309" t="s">
        <v>18</v>
      </c>
    </row>
    <row r="310" spans="1:13" x14ac:dyDescent="0.3">
      <c r="A310" s="1">
        <v>41949</v>
      </c>
      <c r="B310">
        <v>6</v>
      </c>
      <c r="C310">
        <v>2.34</v>
      </c>
      <c r="D310">
        <v>5.2</v>
      </c>
      <c r="E310">
        <v>23.4</v>
      </c>
      <c r="F310">
        <v>23</v>
      </c>
      <c r="G310">
        <v>1</v>
      </c>
      <c r="H310">
        <v>0</v>
      </c>
      <c r="I310">
        <v>0</v>
      </c>
      <c r="J310">
        <v>2014</v>
      </c>
      <c r="K310">
        <v>11</v>
      </c>
      <c r="L310">
        <v>276</v>
      </c>
      <c r="M310" t="s">
        <v>12</v>
      </c>
    </row>
    <row r="311" spans="1:13" x14ac:dyDescent="0.3">
      <c r="A311" s="1">
        <v>41950</v>
      </c>
      <c r="B311">
        <v>6</v>
      </c>
      <c r="C311">
        <v>10.34</v>
      </c>
      <c r="D311">
        <v>5.5</v>
      </c>
      <c r="E311">
        <v>15.8</v>
      </c>
      <c r="F311">
        <v>32</v>
      </c>
      <c r="G311">
        <v>1</v>
      </c>
      <c r="H311">
        <v>0</v>
      </c>
      <c r="I311">
        <v>1</v>
      </c>
      <c r="J311">
        <v>2014</v>
      </c>
      <c r="K311">
        <v>11</v>
      </c>
      <c r="L311">
        <v>276</v>
      </c>
      <c r="M311" t="s">
        <v>13</v>
      </c>
    </row>
    <row r="312" spans="1:13" x14ac:dyDescent="0.3">
      <c r="A312" s="1">
        <v>41951</v>
      </c>
      <c r="B312">
        <v>12</v>
      </c>
      <c r="C312">
        <v>7.02</v>
      </c>
      <c r="D312">
        <v>6</v>
      </c>
      <c r="E312">
        <v>34.4</v>
      </c>
      <c r="F312">
        <v>24</v>
      </c>
      <c r="G312">
        <v>0</v>
      </c>
      <c r="H312">
        <v>17</v>
      </c>
      <c r="I312">
        <v>2.2000000000000002</v>
      </c>
      <c r="J312">
        <v>2014</v>
      </c>
      <c r="K312">
        <v>11</v>
      </c>
      <c r="L312">
        <v>276</v>
      </c>
      <c r="M312" t="s">
        <v>14</v>
      </c>
    </row>
    <row r="313" spans="1:13" x14ac:dyDescent="0.3">
      <c r="A313" s="1">
        <v>41952</v>
      </c>
      <c r="B313">
        <v>3.34</v>
      </c>
      <c r="C313">
        <v>4.34</v>
      </c>
      <c r="D313">
        <v>2.9</v>
      </c>
      <c r="E313">
        <v>23</v>
      </c>
      <c r="F313">
        <v>20</v>
      </c>
      <c r="G313">
        <v>0</v>
      </c>
      <c r="H313">
        <v>2</v>
      </c>
      <c r="I313">
        <v>1</v>
      </c>
      <c r="J313">
        <v>2014</v>
      </c>
      <c r="K313">
        <v>11</v>
      </c>
      <c r="L313">
        <v>276</v>
      </c>
      <c r="M313" t="s">
        <v>15</v>
      </c>
    </row>
    <row r="314" spans="1:13" x14ac:dyDescent="0.3">
      <c r="A314" s="1">
        <v>41953</v>
      </c>
      <c r="B314">
        <v>1</v>
      </c>
      <c r="C314">
        <v>5.32</v>
      </c>
      <c r="D314">
        <v>3.3</v>
      </c>
      <c r="E314">
        <v>24.3</v>
      </c>
      <c r="F314">
        <v>13</v>
      </c>
      <c r="G314">
        <v>0</v>
      </c>
      <c r="H314">
        <v>7</v>
      </c>
      <c r="I314">
        <v>1</v>
      </c>
      <c r="J314">
        <v>2014</v>
      </c>
      <c r="K314">
        <v>11</v>
      </c>
      <c r="L314">
        <v>276</v>
      </c>
      <c r="M314" t="s">
        <v>16</v>
      </c>
    </row>
    <row r="315" spans="1:13" x14ac:dyDescent="0.3">
      <c r="A315" s="1">
        <v>41954</v>
      </c>
      <c r="B315">
        <v>8</v>
      </c>
      <c r="C315">
        <v>4</v>
      </c>
      <c r="D315">
        <v>2</v>
      </c>
      <c r="E315">
        <v>23</v>
      </c>
      <c r="F315">
        <v>18</v>
      </c>
      <c r="G315">
        <v>0</v>
      </c>
      <c r="H315">
        <v>8</v>
      </c>
      <c r="I315">
        <v>2</v>
      </c>
      <c r="J315">
        <v>2014</v>
      </c>
      <c r="K315">
        <v>11</v>
      </c>
      <c r="L315">
        <v>276</v>
      </c>
      <c r="M315" t="s">
        <v>17</v>
      </c>
    </row>
    <row r="316" spans="1:13" x14ac:dyDescent="0.3">
      <c r="A316" s="1">
        <v>41955</v>
      </c>
      <c r="B316">
        <v>3</v>
      </c>
      <c r="C316">
        <v>5</v>
      </c>
      <c r="D316">
        <v>4</v>
      </c>
      <c r="E316">
        <v>25</v>
      </c>
      <c r="F316">
        <v>16</v>
      </c>
      <c r="G316">
        <v>0</v>
      </c>
      <c r="H316">
        <v>3</v>
      </c>
      <c r="I316">
        <v>0</v>
      </c>
      <c r="J316">
        <v>2014</v>
      </c>
      <c r="K316">
        <v>11</v>
      </c>
      <c r="L316">
        <v>276</v>
      </c>
      <c r="M316" t="s">
        <v>18</v>
      </c>
    </row>
    <row r="317" spans="1:13" x14ac:dyDescent="0.3">
      <c r="A317" s="1">
        <v>41956</v>
      </c>
      <c r="B317">
        <v>8</v>
      </c>
      <c r="C317">
        <v>2</v>
      </c>
      <c r="D317">
        <v>5</v>
      </c>
      <c r="E317">
        <v>33.200000000000003</v>
      </c>
      <c r="F317">
        <v>10</v>
      </c>
      <c r="G317">
        <v>0</v>
      </c>
      <c r="H317">
        <v>0</v>
      </c>
      <c r="I317">
        <v>2.2000000000000002</v>
      </c>
      <c r="J317">
        <v>2014</v>
      </c>
      <c r="K317">
        <v>11</v>
      </c>
      <c r="L317">
        <v>276</v>
      </c>
      <c r="M317" t="s">
        <v>12</v>
      </c>
    </row>
    <row r="318" spans="1:13" x14ac:dyDescent="0.3">
      <c r="A318" s="1">
        <v>41957</v>
      </c>
      <c r="B318">
        <v>5.34</v>
      </c>
      <c r="C318">
        <v>0</v>
      </c>
      <c r="D318">
        <v>6</v>
      </c>
      <c r="E318">
        <v>29.4</v>
      </c>
      <c r="F318">
        <v>20</v>
      </c>
      <c r="G318">
        <v>1</v>
      </c>
      <c r="H318">
        <v>2</v>
      </c>
      <c r="I318">
        <v>3</v>
      </c>
      <c r="J318">
        <v>2014</v>
      </c>
      <c r="K318">
        <v>11</v>
      </c>
      <c r="L318">
        <v>276</v>
      </c>
      <c r="M318" t="s">
        <v>13</v>
      </c>
    </row>
    <row r="319" spans="1:13" x14ac:dyDescent="0.3">
      <c r="A319" s="1">
        <v>41958</v>
      </c>
      <c r="B319">
        <v>4.33</v>
      </c>
      <c r="C319">
        <v>5.34</v>
      </c>
      <c r="D319">
        <v>5</v>
      </c>
      <c r="E319">
        <v>23.6</v>
      </c>
      <c r="F319">
        <v>20</v>
      </c>
      <c r="G319">
        <v>2</v>
      </c>
      <c r="H319">
        <v>2</v>
      </c>
      <c r="I319">
        <v>2</v>
      </c>
      <c r="J319">
        <v>2014</v>
      </c>
      <c r="K319">
        <v>11</v>
      </c>
      <c r="L319">
        <v>276</v>
      </c>
      <c r="M319" t="s">
        <v>14</v>
      </c>
    </row>
    <row r="320" spans="1:13" x14ac:dyDescent="0.3">
      <c r="A320" s="1">
        <v>41959</v>
      </c>
      <c r="B320">
        <v>2</v>
      </c>
      <c r="C320">
        <v>2.68</v>
      </c>
      <c r="D320">
        <v>6</v>
      </c>
      <c r="E320">
        <v>18.600000000000001</v>
      </c>
      <c r="F320">
        <v>13</v>
      </c>
      <c r="G320">
        <v>1</v>
      </c>
      <c r="H320">
        <v>0</v>
      </c>
      <c r="I320">
        <v>0</v>
      </c>
      <c r="J320">
        <v>2014</v>
      </c>
      <c r="K320">
        <v>11</v>
      </c>
      <c r="L320">
        <v>276</v>
      </c>
      <c r="M320" t="s">
        <v>15</v>
      </c>
    </row>
    <row r="321" spans="1:13" x14ac:dyDescent="0.3">
      <c r="A321" s="1">
        <v>41960</v>
      </c>
      <c r="B321">
        <v>9</v>
      </c>
      <c r="C321">
        <v>5.01</v>
      </c>
      <c r="D321">
        <v>5.5</v>
      </c>
      <c r="E321">
        <v>23</v>
      </c>
      <c r="F321">
        <v>23</v>
      </c>
      <c r="G321">
        <v>1</v>
      </c>
      <c r="H321">
        <v>10</v>
      </c>
      <c r="I321">
        <v>0.2</v>
      </c>
      <c r="J321">
        <v>2014</v>
      </c>
      <c r="K321">
        <v>11</v>
      </c>
      <c r="L321">
        <v>276</v>
      </c>
      <c r="M321" t="s">
        <v>16</v>
      </c>
    </row>
    <row r="322" spans="1:13" x14ac:dyDescent="0.3">
      <c r="A322" s="1">
        <v>41961</v>
      </c>
      <c r="B322">
        <v>2.67</v>
      </c>
      <c r="C322">
        <v>2</v>
      </c>
      <c r="D322">
        <v>5</v>
      </c>
      <c r="E322">
        <v>19.3</v>
      </c>
      <c r="F322">
        <v>10.5</v>
      </c>
      <c r="G322">
        <v>1</v>
      </c>
      <c r="H322">
        <v>0</v>
      </c>
      <c r="I322">
        <v>1</v>
      </c>
      <c r="J322">
        <v>2014</v>
      </c>
      <c r="K322">
        <v>11</v>
      </c>
      <c r="L322">
        <v>276</v>
      </c>
      <c r="M322" t="s">
        <v>17</v>
      </c>
    </row>
    <row r="323" spans="1:13" x14ac:dyDescent="0.3">
      <c r="A323" s="1">
        <v>41962</v>
      </c>
      <c r="B323">
        <v>1.34</v>
      </c>
      <c r="C323">
        <v>3.67</v>
      </c>
      <c r="D323">
        <v>10</v>
      </c>
      <c r="E323">
        <v>32</v>
      </c>
      <c r="F323">
        <v>17</v>
      </c>
      <c r="G323">
        <v>0</v>
      </c>
      <c r="H323">
        <v>10</v>
      </c>
      <c r="I323">
        <v>4</v>
      </c>
      <c r="J323">
        <v>2014</v>
      </c>
      <c r="K323">
        <v>11</v>
      </c>
      <c r="L323">
        <v>276</v>
      </c>
      <c r="M323" t="s">
        <v>18</v>
      </c>
    </row>
    <row r="324" spans="1:13" x14ac:dyDescent="0.3">
      <c r="A324" s="1">
        <v>41963</v>
      </c>
      <c r="B324">
        <v>4</v>
      </c>
      <c r="C324">
        <v>7</v>
      </c>
      <c r="D324">
        <v>5</v>
      </c>
      <c r="E324">
        <v>18.8</v>
      </c>
      <c r="F324">
        <v>13</v>
      </c>
      <c r="G324">
        <v>0</v>
      </c>
      <c r="H324">
        <v>8</v>
      </c>
      <c r="I324">
        <v>0</v>
      </c>
      <c r="J324">
        <v>2014</v>
      </c>
      <c r="K324">
        <v>11</v>
      </c>
      <c r="L324">
        <v>276</v>
      </c>
      <c r="M324" t="s">
        <v>12</v>
      </c>
    </row>
    <row r="325" spans="1:13" x14ac:dyDescent="0.3">
      <c r="A325" s="1">
        <v>41964</v>
      </c>
      <c r="B325">
        <v>1.34</v>
      </c>
      <c r="C325">
        <v>1.34</v>
      </c>
      <c r="D325">
        <v>3</v>
      </c>
      <c r="E325">
        <v>22.4</v>
      </c>
      <c r="F325">
        <v>16</v>
      </c>
      <c r="G325">
        <v>0</v>
      </c>
      <c r="H325">
        <v>2</v>
      </c>
      <c r="I325">
        <v>1</v>
      </c>
      <c r="J325">
        <v>2014</v>
      </c>
      <c r="K325">
        <v>11</v>
      </c>
      <c r="L325">
        <v>276</v>
      </c>
      <c r="M325" t="s">
        <v>13</v>
      </c>
    </row>
    <row r="326" spans="1:13" x14ac:dyDescent="0.3">
      <c r="A326" s="1">
        <v>41965</v>
      </c>
      <c r="B326">
        <v>6</v>
      </c>
      <c r="C326">
        <v>2.34</v>
      </c>
      <c r="D326">
        <v>3</v>
      </c>
      <c r="E326">
        <v>23.7</v>
      </c>
      <c r="F326">
        <v>15</v>
      </c>
      <c r="G326">
        <v>1</v>
      </c>
      <c r="H326">
        <v>8</v>
      </c>
      <c r="I326">
        <v>1.4</v>
      </c>
      <c r="J326">
        <v>2014</v>
      </c>
      <c r="K326">
        <v>11</v>
      </c>
      <c r="L326">
        <v>276</v>
      </c>
      <c r="M326" t="s">
        <v>14</v>
      </c>
    </row>
    <row r="327" spans="1:13" x14ac:dyDescent="0.3">
      <c r="A327" s="1">
        <v>41966</v>
      </c>
      <c r="B327">
        <v>4</v>
      </c>
      <c r="C327">
        <v>3.68</v>
      </c>
      <c r="D327">
        <v>6</v>
      </c>
      <c r="E327">
        <v>22.3</v>
      </c>
      <c r="F327">
        <v>11</v>
      </c>
      <c r="G327">
        <v>0</v>
      </c>
      <c r="H327">
        <v>0</v>
      </c>
      <c r="I327">
        <v>1.1000000000000001</v>
      </c>
      <c r="J327">
        <v>2014</v>
      </c>
      <c r="K327">
        <v>11</v>
      </c>
      <c r="L327">
        <v>276</v>
      </c>
      <c r="M327" t="s">
        <v>15</v>
      </c>
    </row>
    <row r="328" spans="1:13" x14ac:dyDescent="0.3">
      <c r="A328" s="1">
        <v>41967</v>
      </c>
      <c r="B328">
        <v>4</v>
      </c>
      <c r="C328">
        <v>3</v>
      </c>
      <c r="D328">
        <v>6</v>
      </c>
      <c r="E328">
        <v>30.6</v>
      </c>
      <c r="F328">
        <v>19</v>
      </c>
      <c r="G328">
        <v>1</v>
      </c>
      <c r="H328">
        <v>1</v>
      </c>
      <c r="I328">
        <v>2.1</v>
      </c>
      <c r="J328">
        <v>2014</v>
      </c>
      <c r="K328">
        <v>11</v>
      </c>
      <c r="L328">
        <v>276</v>
      </c>
      <c r="M328" t="s">
        <v>16</v>
      </c>
    </row>
    <row r="329" spans="1:13" x14ac:dyDescent="0.3">
      <c r="A329" s="1">
        <v>41968</v>
      </c>
      <c r="B329">
        <v>5.36</v>
      </c>
      <c r="C329">
        <v>1.68</v>
      </c>
      <c r="D329">
        <v>2</v>
      </c>
      <c r="E329">
        <v>19.2</v>
      </c>
      <c r="F329">
        <v>18</v>
      </c>
      <c r="G329">
        <v>0</v>
      </c>
      <c r="H329">
        <v>2</v>
      </c>
      <c r="I329">
        <v>3</v>
      </c>
      <c r="J329">
        <v>2014</v>
      </c>
      <c r="K329">
        <v>11</v>
      </c>
      <c r="L329">
        <v>276</v>
      </c>
      <c r="M329" t="s">
        <v>17</v>
      </c>
    </row>
    <row r="330" spans="1:13" x14ac:dyDescent="0.3">
      <c r="A330" s="1">
        <v>41969</v>
      </c>
      <c r="B330">
        <v>3</v>
      </c>
      <c r="C330">
        <v>5</v>
      </c>
      <c r="D330">
        <v>6</v>
      </c>
      <c r="E330">
        <v>21</v>
      </c>
      <c r="F330">
        <v>13</v>
      </c>
      <c r="G330">
        <v>3</v>
      </c>
      <c r="H330">
        <v>11</v>
      </c>
      <c r="I330">
        <v>2</v>
      </c>
      <c r="J330">
        <v>2014</v>
      </c>
      <c r="K330">
        <v>11</v>
      </c>
      <c r="L330">
        <v>276</v>
      </c>
      <c r="M330" t="s">
        <v>18</v>
      </c>
    </row>
    <row r="331" spans="1:13" x14ac:dyDescent="0.3">
      <c r="A331" s="1">
        <v>41970</v>
      </c>
      <c r="B331">
        <v>7</v>
      </c>
      <c r="C331">
        <v>3.67</v>
      </c>
      <c r="D331">
        <v>2.2999999999999998</v>
      </c>
      <c r="E331">
        <v>21.2</v>
      </c>
      <c r="F331">
        <v>9</v>
      </c>
      <c r="G331">
        <v>1</v>
      </c>
      <c r="H331">
        <v>4</v>
      </c>
      <c r="I331">
        <v>3</v>
      </c>
      <c r="J331">
        <v>2014</v>
      </c>
      <c r="K331">
        <v>11</v>
      </c>
      <c r="L331">
        <v>276</v>
      </c>
      <c r="M331" t="s">
        <v>12</v>
      </c>
    </row>
    <row r="332" spans="1:13" x14ac:dyDescent="0.3">
      <c r="A332" s="1">
        <v>41971</v>
      </c>
      <c r="B332">
        <v>3.02</v>
      </c>
      <c r="C332">
        <v>1.4</v>
      </c>
      <c r="D332">
        <v>15</v>
      </c>
      <c r="E332">
        <v>15.9</v>
      </c>
      <c r="F332">
        <v>12</v>
      </c>
      <c r="G332">
        <v>1</v>
      </c>
      <c r="H332">
        <v>2</v>
      </c>
      <c r="I332">
        <v>1</v>
      </c>
      <c r="J332">
        <v>2014</v>
      </c>
      <c r="K332">
        <v>11</v>
      </c>
      <c r="L332">
        <v>276</v>
      </c>
      <c r="M332" t="s">
        <v>13</v>
      </c>
    </row>
    <row r="333" spans="1:13" x14ac:dyDescent="0.3">
      <c r="A333" s="1">
        <v>41972</v>
      </c>
      <c r="B333">
        <v>3</v>
      </c>
      <c r="C333">
        <v>2.0099999999999998</v>
      </c>
      <c r="D333">
        <v>3.3</v>
      </c>
      <c r="E333">
        <v>31</v>
      </c>
      <c r="F333">
        <v>16</v>
      </c>
      <c r="G333">
        <v>0</v>
      </c>
      <c r="H333">
        <v>0</v>
      </c>
      <c r="I333">
        <v>5</v>
      </c>
      <c r="J333">
        <v>2014</v>
      </c>
      <c r="K333">
        <v>11</v>
      </c>
      <c r="L333">
        <v>276</v>
      </c>
      <c r="M333" t="s">
        <v>14</v>
      </c>
    </row>
    <row r="334" spans="1:13" x14ac:dyDescent="0.3">
      <c r="A334" s="1">
        <v>41973</v>
      </c>
      <c r="B334">
        <v>5.68</v>
      </c>
      <c r="C334">
        <v>1.33</v>
      </c>
      <c r="D334">
        <v>5</v>
      </c>
      <c r="E334">
        <v>22.6</v>
      </c>
      <c r="F334">
        <v>9</v>
      </c>
      <c r="G334">
        <v>1</v>
      </c>
      <c r="H334">
        <v>0</v>
      </c>
      <c r="I334">
        <v>2</v>
      </c>
      <c r="J334">
        <v>2014</v>
      </c>
      <c r="K334">
        <v>11</v>
      </c>
      <c r="L334">
        <v>276</v>
      </c>
      <c r="M334" t="s">
        <v>15</v>
      </c>
    </row>
    <row r="335" spans="1:13" x14ac:dyDescent="0.3">
      <c r="A335" s="1">
        <v>41974</v>
      </c>
      <c r="B335">
        <v>4.34</v>
      </c>
      <c r="C335">
        <v>4.01</v>
      </c>
      <c r="D335">
        <v>0</v>
      </c>
      <c r="E335">
        <v>36.4</v>
      </c>
      <c r="F335">
        <v>19</v>
      </c>
      <c r="G335">
        <v>0</v>
      </c>
      <c r="H335">
        <v>2</v>
      </c>
      <c r="I335">
        <v>2</v>
      </c>
      <c r="J335">
        <v>2014</v>
      </c>
      <c r="K335">
        <v>12</v>
      </c>
      <c r="L335">
        <v>276</v>
      </c>
      <c r="M335" t="s">
        <v>16</v>
      </c>
    </row>
    <row r="336" spans="1:13" x14ac:dyDescent="0.3">
      <c r="A336" s="1">
        <v>41975</v>
      </c>
      <c r="B336">
        <v>6.99</v>
      </c>
      <c r="C336">
        <v>4.33</v>
      </c>
      <c r="D336">
        <v>3.7</v>
      </c>
      <c r="E336">
        <v>7.8</v>
      </c>
      <c r="F336">
        <v>26</v>
      </c>
      <c r="G336">
        <v>0</v>
      </c>
      <c r="H336">
        <v>4</v>
      </c>
      <c r="I336">
        <v>1</v>
      </c>
      <c r="J336">
        <v>2014</v>
      </c>
      <c r="K336">
        <v>12</v>
      </c>
      <c r="L336">
        <v>276</v>
      </c>
      <c r="M336" t="s">
        <v>17</v>
      </c>
    </row>
    <row r="337" spans="1:13" x14ac:dyDescent="0.3">
      <c r="A337" s="1">
        <v>41976</v>
      </c>
      <c r="B337">
        <v>4</v>
      </c>
      <c r="C337">
        <v>3.33</v>
      </c>
      <c r="D337">
        <v>5</v>
      </c>
      <c r="E337">
        <v>16.600000000000001</v>
      </c>
      <c r="F337">
        <v>23</v>
      </c>
      <c r="G337">
        <v>2</v>
      </c>
      <c r="H337">
        <v>13</v>
      </c>
      <c r="I337">
        <v>3.2</v>
      </c>
      <c r="J337">
        <v>2014</v>
      </c>
      <c r="K337">
        <v>12</v>
      </c>
      <c r="L337">
        <v>276</v>
      </c>
      <c r="M337" t="s">
        <v>18</v>
      </c>
    </row>
    <row r="338" spans="1:13" x14ac:dyDescent="0.3">
      <c r="A338" s="1">
        <v>41977</v>
      </c>
      <c r="B338">
        <v>3</v>
      </c>
      <c r="C338">
        <v>4.34</v>
      </c>
      <c r="D338">
        <v>3.6</v>
      </c>
      <c r="E338">
        <v>28.7</v>
      </c>
      <c r="F338">
        <v>16</v>
      </c>
      <c r="G338">
        <v>1</v>
      </c>
      <c r="H338">
        <v>1</v>
      </c>
      <c r="I338">
        <v>0</v>
      </c>
      <c r="J338">
        <v>2014</v>
      </c>
      <c r="K338">
        <v>12</v>
      </c>
      <c r="L338">
        <v>276</v>
      </c>
      <c r="M338" t="s">
        <v>12</v>
      </c>
    </row>
    <row r="339" spans="1:13" x14ac:dyDescent="0.3">
      <c r="A339" s="1">
        <v>41978</v>
      </c>
      <c r="B339">
        <v>2.02</v>
      </c>
      <c r="C339">
        <v>5.68</v>
      </c>
      <c r="D339">
        <v>1</v>
      </c>
      <c r="E339">
        <v>28.1</v>
      </c>
      <c r="F339">
        <v>15</v>
      </c>
      <c r="G339">
        <v>1</v>
      </c>
      <c r="H339">
        <v>1</v>
      </c>
      <c r="I339">
        <v>2.2000000000000002</v>
      </c>
      <c r="J339">
        <v>2014</v>
      </c>
      <c r="K339">
        <v>12</v>
      </c>
      <c r="L339">
        <v>276</v>
      </c>
      <c r="M339" t="s">
        <v>13</v>
      </c>
    </row>
    <row r="340" spans="1:13" x14ac:dyDescent="0.3">
      <c r="A340" s="1">
        <v>41979</v>
      </c>
      <c r="B340">
        <v>3.34</v>
      </c>
      <c r="C340">
        <v>3.68</v>
      </c>
      <c r="D340">
        <v>1</v>
      </c>
      <c r="E340">
        <v>12.4</v>
      </c>
      <c r="F340">
        <v>9</v>
      </c>
      <c r="G340">
        <v>0</v>
      </c>
      <c r="H340">
        <v>7</v>
      </c>
      <c r="I340">
        <v>1</v>
      </c>
      <c r="J340">
        <v>2014</v>
      </c>
      <c r="K340">
        <v>12</v>
      </c>
      <c r="L340">
        <v>276</v>
      </c>
      <c r="M340" t="s">
        <v>14</v>
      </c>
    </row>
    <row r="341" spans="1:13" x14ac:dyDescent="0.3">
      <c r="A341" s="1">
        <v>41980</v>
      </c>
      <c r="B341">
        <v>5</v>
      </c>
      <c r="C341">
        <v>4.9109999999999996</v>
      </c>
      <c r="D341">
        <v>4</v>
      </c>
      <c r="E341">
        <v>45.7</v>
      </c>
      <c r="F341">
        <v>6</v>
      </c>
      <c r="G341">
        <v>0</v>
      </c>
      <c r="H341">
        <v>12</v>
      </c>
      <c r="I341">
        <v>0</v>
      </c>
      <c r="J341">
        <v>2014</v>
      </c>
      <c r="K341">
        <v>12</v>
      </c>
      <c r="L341">
        <v>276</v>
      </c>
      <c r="M341" t="s">
        <v>15</v>
      </c>
    </row>
    <row r="342" spans="1:13" x14ac:dyDescent="0.3">
      <c r="A342" s="1">
        <v>41981</v>
      </c>
      <c r="B342">
        <v>1</v>
      </c>
      <c r="C342">
        <v>3.33</v>
      </c>
      <c r="D342">
        <v>2</v>
      </c>
      <c r="E342">
        <v>20.3</v>
      </c>
      <c r="F342">
        <v>9</v>
      </c>
      <c r="G342">
        <v>0</v>
      </c>
      <c r="H342">
        <v>0</v>
      </c>
      <c r="I342">
        <v>0</v>
      </c>
      <c r="J342">
        <v>2014</v>
      </c>
      <c r="K342">
        <v>12</v>
      </c>
      <c r="L342">
        <v>276</v>
      </c>
      <c r="M342" t="s">
        <v>16</v>
      </c>
    </row>
    <row r="343" spans="1:13" x14ac:dyDescent="0.3">
      <c r="A343" s="1">
        <v>41982</v>
      </c>
      <c r="B343">
        <v>1</v>
      </c>
      <c r="C343">
        <v>2.34</v>
      </c>
      <c r="D343">
        <v>7</v>
      </c>
      <c r="E343">
        <v>27.28</v>
      </c>
      <c r="F343">
        <v>12</v>
      </c>
      <c r="G343">
        <v>1</v>
      </c>
      <c r="H343">
        <v>0</v>
      </c>
      <c r="I343">
        <v>2</v>
      </c>
      <c r="J343">
        <v>2014</v>
      </c>
      <c r="K343">
        <v>12</v>
      </c>
      <c r="L343">
        <v>276</v>
      </c>
      <c r="M343" t="s">
        <v>17</v>
      </c>
    </row>
    <row r="344" spans="1:13" x14ac:dyDescent="0.3">
      <c r="A344" s="1">
        <v>41983</v>
      </c>
      <c r="B344">
        <v>3.34</v>
      </c>
      <c r="C344">
        <v>3</v>
      </c>
      <c r="D344">
        <v>2</v>
      </c>
      <c r="E344">
        <v>51.2</v>
      </c>
      <c r="F344">
        <v>28</v>
      </c>
      <c r="G344">
        <v>3</v>
      </c>
      <c r="H344">
        <v>6</v>
      </c>
      <c r="I344">
        <v>0</v>
      </c>
      <c r="J344">
        <v>2014</v>
      </c>
      <c r="K344">
        <v>12</v>
      </c>
      <c r="L344">
        <v>276</v>
      </c>
      <c r="M344" t="s">
        <v>18</v>
      </c>
    </row>
    <row r="345" spans="1:13" x14ac:dyDescent="0.3">
      <c r="A345" s="1">
        <v>41984</v>
      </c>
      <c r="B345">
        <v>2.34</v>
      </c>
      <c r="C345">
        <v>5.33</v>
      </c>
      <c r="D345">
        <v>7</v>
      </c>
      <c r="E345">
        <v>16.3</v>
      </c>
      <c r="F345">
        <v>21</v>
      </c>
      <c r="G345">
        <v>2</v>
      </c>
      <c r="H345">
        <v>0</v>
      </c>
      <c r="I345">
        <v>0</v>
      </c>
      <c r="J345">
        <v>2014</v>
      </c>
      <c r="K345">
        <v>12</v>
      </c>
      <c r="L345">
        <v>276</v>
      </c>
      <c r="M345" t="s">
        <v>12</v>
      </c>
    </row>
    <row r="346" spans="1:13" x14ac:dyDescent="0.3">
      <c r="A346" s="1">
        <v>41985</v>
      </c>
      <c r="B346">
        <v>6.34</v>
      </c>
      <c r="C346">
        <v>2.34</v>
      </c>
      <c r="D346">
        <v>5.6</v>
      </c>
      <c r="E346">
        <v>41.4</v>
      </c>
      <c r="F346">
        <v>18</v>
      </c>
      <c r="G346">
        <v>0</v>
      </c>
      <c r="H346">
        <v>2</v>
      </c>
      <c r="I346">
        <v>0</v>
      </c>
      <c r="J346">
        <v>2014</v>
      </c>
      <c r="K346">
        <v>12</v>
      </c>
      <c r="L346">
        <v>276</v>
      </c>
      <c r="M346" t="s">
        <v>13</v>
      </c>
    </row>
    <row r="347" spans="1:13" x14ac:dyDescent="0.3">
      <c r="A347" s="1">
        <v>41986</v>
      </c>
      <c r="B347">
        <v>1</v>
      </c>
      <c r="C347">
        <v>3.34</v>
      </c>
      <c r="D347">
        <v>2.4</v>
      </c>
      <c r="E347">
        <v>25.1</v>
      </c>
      <c r="F347">
        <v>11</v>
      </c>
      <c r="G347">
        <v>1</v>
      </c>
      <c r="H347">
        <v>7</v>
      </c>
      <c r="I347">
        <v>0</v>
      </c>
      <c r="J347">
        <v>2014</v>
      </c>
      <c r="K347">
        <v>12</v>
      </c>
      <c r="L347">
        <v>276</v>
      </c>
      <c r="M347" t="s">
        <v>14</v>
      </c>
    </row>
    <row r="348" spans="1:13" x14ac:dyDescent="0.3">
      <c r="A348" s="1">
        <v>41987</v>
      </c>
      <c r="B348">
        <v>10</v>
      </c>
      <c r="C348">
        <v>2.34</v>
      </c>
      <c r="D348">
        <v>4.4000000000000004</v>
      </c>
      <c r="E348">
        <v>40</v>
      </c>
      <c r="F348">
        <v>10</v>
      </c>
      <c r="G348">
        <v>0</v>
      </c>
      <c r="H348">
        <v>6</v>
      </c>
      <c r="I348">
        <v>1</v>
      </c>
      <c r="J348">
        <v>2014</v>
      </c>
      <c r="K348">
        <v>12</v>
      </c>
      <c r="L348">
        <v>276</v>
      </c>
      <c r="M348" t="s">
        <v>15</v>
      </c>
    </row>
    <row r="349" spans="1:13" x14ac:dyDescent="0.3">
      <c r="A349" s="1">
        <v>41988</v>
      </c>
      <c r="B349">
        <v>5.34</v>
      </c>
      <c r="C349">
        <v>4.0199999999999996</v>
      </c>
      <c r="D349">
        <v>7.64</v>
      </c>
      <c r="E349">
        <v>42.2</v>
      </c>
      <c r="F349">
        <v>14</v>
      </c>
      <c r="G349">
        <v>1</v>
      </c>
      <c r="H349">
        <v>9</v>
      </c>
      <c r="I349">
        <v>1</v>
      </c>
      <c r="J349">
        <v>2014</v>
      </c>
      <c r="K349">
        <v>12</v>
      </c>
      <c r="L349">
        <v>276</v>
      </c>
      <c r="M349" t="s">
        <v>16</v>
      </c>
    </row>
    <row r="350" spans="1:13" x14ac:dyDescent="0.3">
      <c r="A350" s="1">
        <v>41989</v>
      </c>
      <c r="B350">
        <v>6.34</v>
      </c>
      <c r="C350">
        <v>1.34</v>
      </c>
      <c r="D350">
        <v>6.2</v>
      </c>
      <c r="E350">
        <v>23</v>
      </c>
      <c r="F350">
        <v>23</v>
      </c>
      <c r="G350">
        <v>3</v>
      </c>
      <c r="H350">
        <v>4</v>
      </c>
      <c r="I350">
        <v>1</v>
      </c>
      <c r="J350">
        <v>2014</v>
      </c>
      <c r="K350">
        <v>12</v>
      </c>
      <c r="L350">
        <v>276</v>
      </c>
      <c r="M350" t="s">
        <v>17</v>
      </c>
    </row>
    <row r="351" spans="1:13" x14ac:dyDescent="0.3">
      <c r="A351" s="1">
        <v>41990</v>
      </c>
      <c r="B351">
        <v>3</v>
      </c>
      <c r="C351">
        <v>3.67</v>
      </c>
      <c r="D351">
        <v>3.5</v>
      </c>
      <c r="E351">
        <v>28</v>
      </c>
      <c r="F351">
        <v>17</v>
      </c>
      <c r="G351">
        <v>2</v>
      </c>
      <c r="H351">
        <v>8</v>
      </c>
      <c r="I351">
        <v>0</v>
      </c>
      <c r="J351">
        <v>2014</v>
      </c>
      <c r="K351">
        <v>12</v>
      </c>
      <c r="L351">
        <v>276</v>
      </c>
      <c r="M351" t="s">
        <v>18</v>
      </c>
    </row>
    <row r="352" spans="1:13" x14ac:dyDescent="0.3">
      <c r="A352" s="1">
        <v>41991</v>
      </c>
      <c r="B352">
        <v>5</v>
      </c>
      <c r="C352">
        <v>3.67</v>
      </c>
      <c r="D352">
        <v>3</v>
      </c>
      <c r="E352">
        <v>26.6</v>
      </c>
      <c r="F352">
        <v>9</v>
      </c>
      <c r="G352">
        <v>0</v>
      </c>
      <c r="H352">
        <v>0</v>
      </c>
      <c r="I352">
        <v>0</v>
      </c>
      <c r="J352">
        <v>2014</v>
      </c>
      <c r="K352">
        <v>12</v>
      </c>
      <c r="L352">
        <v>276</v>
      </c>
      <c r="M352" t="s">
        <v>12</v>
      </c>
    </row>
    <row r="353" spans="1:13" x14ac:dyDescent="0.3">
      <c r="A353" s="1">
        <v>41992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2014</v>
      </c>
      <c r="K353">
        <v>12</v>
      </c>
      <c r="L353">
        <v>276</v>
      </c>
      <c r="M353" t="s">
        <v>13</v>
      </c>
    </row>
    <row r="354" spans="1:13" x14ac:dyDescent="0.3">
      <c r="A354" s="1">
        <v>41993</v>
      </c>
      <c r="B354">
        <v>1</v>
      </c>
      <c r="C354">
        <v>3.66</v>
      </c>
      <c r="D354">
        <v>2</v>
      </c>
      <c r="E354">
        <v>31.3</v>
      </c>
      <c r="F354">
        <v>9</v>
      </c>
      <c r="G354">
        <v>0</v>
      </c>
      <c r="H354">
        <v>0</v>
      </c>
      <c r="I354">
        <v>3</v>
      </c>
      <c r="J354">
        <v>2014</v>
      </c>
      <c r="K354">
        <v>12</v>
      </c>
      <c r="L354">
        <v>276</v>
      </c>
      <c r="M354" t="s">
        <v>14</v>
      </c>
    </row>
    <row r="355" spans="1:13" x14ac:dyDescent="0.3">
      <c r="A355" s="1">
        <v>41994</v>
      </c>
      <c r="B355">
        <v>4.33</v>
      </c>
      <c r="C355">
        <v>4.33</v>
      </c>
      <c r="D355">
        <v>2</v>
      </c>
      <c r="E355">
        <v>52.5</v>
      </c>
      <c r="F355">
        <v>6</v>
      </c>
      <c r="G355">
        <v>0</v>
      </c>
      <c r="H355">
        <v>10</v>
      </c>
      <c r="I355">
        <v>1</v>
      </c>
      <c r="J355">
        <v>2014</v>
      </c>
      <c r="K355">
        <v>12</v>
      </c>
      <c r="L355">
        <v>276</v>
      </c>
      <c r="M355" t="s">
        <v>15</v>
      </c>
    </row>
    <row r="356" spans="1:13" x14ac:dyDescent="0.3">
      <c r="A356" s="1">
        <v>41995</v>
      </c>
      <c r="B356">
        <v>3.34</v>
      </c>
      <c r="C356">
        <v>4.68</v>
      </c>
      <c r="D356">
        <v>2.2839999999999998</v>
      </c>
      <c r="E356">
        <v>19.600000000000001</v>
      </c>
      <c r="F356">
        <v>43</v>
      </c>
      <c r="G356">
        <v>1</v>
      </c>
      <c r="H356">
        <v>13</v>
      </c>
      <c r="I356">
        <v>4</v>
      </c>
      <c r="J356">
        <v>2014</v>
      </c>
      <c r="K356">
        <v>12</v>
      </c>
      <c r="L356">
        <v>276</v>
      </c>
      <c r="M356" t="s">
        <v>16</v>
      </c>
    </row>
    <row r="357" spans="1:13" x14ac:dyDescent="0.3">
      <c r="A357" s="1">
        <v>41996</v>
      </c>
      <c r="B357">
        <v>10.5</v>
      </c>
      <c r="C357">
        <v>3</v>
      </c>
      <c r="D357">
        <v>4.5999999999999996</v>
      </c>
      <c r="E357">
        <v>40.4</v>
      </c>
      <c r="F357">
        <v>13</v>
      </c>
      <c r="G357">
        <v>2</v>
      </c>
      <c r="H357">
        <v>15</v>
      </c>
      <c r="I357">
        <v>0</v>
      </c>
      <c r="J357">
        <v>2014</v>
      </c>
      <c r="K357">
        <v>12</v>
      </c>
      <c r="L357">
        <v>276</v>
      </c>
      <c r="M357" t="s">
        <v>17</v>
      </c>
    </row>
    <row r="358" spans="1:13" x14ac:dyDescent="0.3">
      <c r="A358" s="1">
        <v>41997</v>
      </c>
      <c r="B358">
        <v>1</v>
      </c>
      <c r="C358">
        <v>3</v>
      </c>
      <c r="D358">
        <v>1</v>
      </c>
      <c r="E358">
        <v>41.6</v>
      </c>
      <c r="F358">
        <v>16</v>
      </c>
      <c r="G358">
        <v>0</v>
      </c>
      <c r="H358">
        <v>2</v>
      </c>
      <c r="I358">
        <v>2</v>
      </c>
      <c r="J358">
        <v>2014</v>
      </c>
      <c r="K358">
        <v>12</v>
      </c>
      <c r="L358">
        <v>276</v>
      </c>
      <c r="M358" t="s">
        <v>18</v>
      </c>
    </row>
    <row r="359" spans="1:13" x14ac:dyDescent="0.3">
      <c r="A359" s="1">
        <v>41998</v>
      </c>
      <c r="B359">
        <v>8.34</v>
      </c>
      <c r="C359">
        <v>2</v>
      </c>
      <c r="D359">
        <v>9.5</v>
      </c>
      <c r="E359">
        <v>31</v>
      </c>
      <c r="F359">
        <v>16</v>
      </c>
      <c r="G359">
        <v>0</v>
      </c>
      <c r="H359">
        <v>2</v>
      </c>
      <c r="I359">
        <v>2</v>
      </c>
      <c r="J359">
        <v>2014</v>
      </c>
      <c r="K359">
        <v>12</v>
      </c>
      <c r="L359">
        <v>276</v>
      </c>
      <c r="M359" t="s">
        <v>12</v>
      </c>
    </row>
    <row r="360" spans="1:13" x14ac:dyDescent="0.3">
      <c r="A360" s="1">
        <v>41999</v>
      </c>
      <c r="B360">
        <v>3.33</v>
      </c>
      <c r="C360">
        <v>4.01</v>
      </c>
      <c r="D360">
        <v>3</v>
      </c>
      <c r="E360">
        <v>30.7</v>
      </c>
      <c r="F360">
        <v>25</v>
      </c>
      <c r="G360">
        <v>1</v>
      </c>
      <c r="H360">
        <v>0</v>
      </c>
      <c r="I360">
        <v>0</v>
      </c>
      <c r="J360">
        <v>2014</v>
      </c>
      <c r="K360">
        <v>12</v>
      </c>
      <c r="L360">
        <v>276</v>
      </c>
      <c r="M360" t="s">
        <v>13</v>
      </c>
    </row>
    <row r="361" spans="1:13" x14ac:dyDescent="0.3">
      <c r="A361" s="1">
        <v>42000</v>
      </c>
      <c r="B361">
        <v>7.33</v>
      </c>
      <c r="C361">
        <v>5.34</v>
      </c>
      <c r="D361">
        <v>4.4000000000000004</v>
      </c>
      <c r="E361">
        <v>39</v>
      </c>
      <c r="F361">
        <v>26</v>
      </c>
      <c r="G361">
        <v>0</v>
      </c>
      <c r="H361">
        <v>9</v>
      </c>
      <c r="I361">
        <v>3</v>
      </c>
      <c r="J361">
        <v>2014</v>
      </c>
      <c r="K361">
        <v>12</v>
      </c>
      <c r="L361">
        <v>276</v>
      </c>
      <c r="M361" t="s">
        <v>14</v>
      </c>
    </row>
    <row r="362" spans="1:13" x14ac:dyDescent="0.3">
      <c r="A362" s="1">
        <v>42001</v>
      </c>
      <c r="B362">
        <v>2.34</v>
      </c>
      <c r="C362">
        <v>10.76</v>
      </c>
      <c r="D362">
        <v>3</v>
      </c>
      <c r="E362">
        <v>80.400000000000006</v>
      </c>
      <c r="F362">
        <v>15</v>
      </c>
      <c r="G362">
        <v>0</v>
      </c>
      <c r="H362">
        <v>13</v>
      </c>
      <c r="I362">
        <v>1</v>
      </c>
      <c r="J362">
        <v>2014</v>
      </c>
      <c r="K362">
        <v>12</v>
      </c>
      <c r="L362">
        <v>276</v>
      </c>
      <c r="M362" t="s">
        <v>15</v>
      </c>
    </row>
    <row r="363" spans="1:13" x14ac:dyDescent="0.3">
      <c r="A363" s="1">
        <v>42002</v>
      </c>
      <c r="B363">
        <v>2.33</v>
      </c>
      <c r="C363">
        <v>3.66</v>
      </c>
      <c r="D363">
        <v>4</v>
      </c>
      <c r="E363">
        <v>40</v>
      </c>
      <c r="F363">
        <v>5</v>
      </c>
      <c r="G363">
        <v>1</v>
      </c>
      <c r="H363">
        <v>2</v>
      </c>
      <c r="I363">
        <v>0</v>
      </c>
      <c r="J363">
        <v>2014</v>
      </c>
      <c r="K363">
        <v>12</v>
      </c>
      <c r="L363">
        <v>276</v>
      </c>
      <c r="M363" t="s">
        <v>16</v>
      </c>
    </row>
    <row r="364" spans="1:13" x14ac:dyDescent="0.3">
      <c r="A364" s="1">
        <v>42003</v>
      </c>
      <c r="B364">
        <v>9</v>
      </c>
      <c r="C364">
        <v>5.63</v>
      </c>
      <c r="D364">
        <v>3.8</v>
      </c>
      <c r="E364">
        <v>51</v>
      </c>
      <c r="F364">
        <v>18</v>
      </c>
      <c r="G364">
        <v>0</v>
      </c>
      <c r="H364">
        <v>5</v>
      </c>
      <c r="I364">
        <v>2</v>
      </c>
      <c r="J364">
        <v>2014</v>
      </c>
      <c r="K364">
        <v>12</v>
      </c>
      <c r="L364">
        <v>276</v>
      </c>
      <c r="M364" t="s">
        <v>17</v>
      </c>
    </row>
    <row r="365" spans="1:13" x14ac:dyDescent="0.3">
      <c r="A365" s="1">
        <v>42004</v>
      </c>
      <c r="B365">
        <v>5.67</v>
      </c>
      <c r="C365">
        <v>6.33</v>
      </c>
      <c r="D365">
        <v>2.5</v>
      </c>
      <c r="E365">
        <v>41.08</v>
      </c>
      <c r="F365">
        <v>14</v>
      </c>
      <c r="G365">
        <v>3</v>
      </c>
      <c r="H365">
        <v>10</v>
      </c>
      <c r="I365">
        <v>1</v>
      </c>
      <c r="J365">
        <v>2014</v>
      </c>
      <c r="K365">
        <v>12</v>
      </c>
      <c r="L365">
        <v>276</v>
      </c>
      <c r="M365" t="s">
        <v>18</v>
      </c>
    </row>
    <row r="366" spans="1:13" x14ac:dyDescent="0.3">
      <c r="A366" s="1">
        <v>42005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2015</v>
      </c>
      <c r="K366">
        <v>1</v>
      </c>
      <c r="L366">
        <v>276</v>
      </c>
      <c r="M366" t="s">
        <v>12</v>
      </c>
    </row>
    <row r="367" spans="1:13" x14ac:dyDescent="0.3">
      <c r="A367" s="1">
        <v>42006</v>
      </c>
      <c r="B367">
        <v>6</v>
      </c>
      <c r="C367">
        <v>5.33</v>
      </c>
      <c r="D367">
        <v>4.9000000000000004</v>
      </c>
      <c r="E367">
        <v>50.8</v>
      </c>
      <c r="F367">
        <v>13</v>
      </c>
      <c r="G367">
        <v>0</v>
      </c>
      <c r="H367">
        <v>6.25</v>
      </c>
      <c r="I367">
        <v>2</v>
      </c>
      <c r="J367">
        <v>2015</v>
      </c>
      <c r="K367">
        <v>1</v>
      </c>
      <c r="L367">
        <v>276</v>
      </c>
      <c r="M367" t="s">
        <v>13</v>
      </c>
    </row>
    <row r="368" spans="1:13" x14ac:dyDescent="0.3">
      <c r="A368" s="1">
        <v>42007</v>
      </c>
      <c r="B368">
        <v>9</v>
      </c>
      <c r="C368">
        <v>4.67</v>
      </c>
      <c r="D368">
        <v>6</v>
      </c>
      <c r="E368">
        <v>57.24</v>
      </c>
      <c r="F368">
        <v>11</v>
      </c>
      <c r="G368">
        <v>3</v>
      </c>
      <c r="H368">
        <v>0</v>
      </c>
      <c r="I368">
        <v>4</v>
      </c>
      <c r="J368">
        <v>2015</v>
      </c>
      <c r="K368">
        <v>1</v>
      </c>
      <c r="L368">
        <v>276</v>
      </c>
      <c r="M368" t="s">
        <v>14</v>
      </c>
    </row>
    <row r="369" spans="1:13" x14ac:dyDescent="0.3">
      <c r="A369" s="1">
        <v>42008</v>
      </c>
      <c r="B369">
        <v>4.68</v>
      </c>
      <c r="C369">
        <v>8.92</v>
      </c>
      <c r="D369">
        <v>3.5</v>
      </c>
      <c r="E369">
        <v>60.1</v>
      </c>
      <c r="F369">
        <v>4</v>
      </c>
      <c r="G369">
        <v>0</v>
      </c>
      <c r="H369">
        <v>2</v>
      </c>
      <c r="I369">
        <v>1</v>
      </c>
      <c r="J369">
        <v>2015</v>
      </c>
      <c r="K369">
        <v>1</v>
      </c>
      <c r="L369">
        <v>276</v>
      </c>
      <c r="M369" t="s">
        <v>15</v>
      </c>
    </row>
    <row r="370" spans="1:13" x14ac:dyDescent="0.3">
      <c r="A370" s="1">
        <v>42009</v>
      </c>
      <c r="B370">
        <v>2.34</v>
      </c>
      <c r="C370">
        <v>3.32</v>
      </c>
      <c r="D370">
        <v>1</v>
      </c>
      <c r="E370">
        <v>33.6</v>
      </c>
      <c r="F370">
        <v>14</v>
      </c>
      <c r="G370">
        <v>0</v>
      </c>
      <c r="H370">
        <v>16</v>
      </c>
      <c r="I370">
        <v>3</v>
      </c>
      <c r="J370">
        <v>2015</v>
      </c>
      <c r="K370">
        <v>1</v>
      </c>
      <c r="L370">
        <v>276</v>
      </c>
      <c r="M370" t="s">
        <v>16</v>
      </c>
    </row>
    <row r="371" spans="1:13" x14ac:dyDescent="0.3">
      <c r="A371" s="1">
        <v>42010</v>
      </c>
      <c r="B371">
        <v>3</v>
      </c>
      <c r="C371">
        <v>9.3699999999999992</v>
      </c>
      <c r="D371">
        <v>7.3</v>
      </c>
      <c r="E371">
        <v>42</v>
      </c>
      <c r="F371">
        <v>13</v>
      </c>
      <c r="G371">
        <v>0</v>
      </c>
      <c r="H371">
        <v>3</v>
      </c>
      <c r="I371">
        <v>0</v>
      </c>
      <c r="J371">
        <v>2015</v>
      </c>
      <c r="K371">
        <v>1</v>
      </c>
      <c r="L371">
        <v>276</v>
      </c>
      <c r="M371" t="s">
        <v>17</v>
      </c>
    </row>
    <row r="372" spans="1:13" x14ac:dyDescent="0.3">
      <c r="A372" s="1">
        <v>42011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2015</v>
      </c>
      <c r="K372">
        <v>1</v>
      </c>
      <c r="L372">
        <v>276</v>
      </c>
      <c r="M372" t="s">
        <v>18</v>
      </c>
    </row>
    <row r="373" spans="1:13" x14ac:dyDescent="0.3">
      <c r="A373" s="1">
        <v>42012</v>
      </c>
      <c r="B373">
        <v>2</v>
      </c>
      <c r="C373">
        <v>7.077</v>
      </c>
      <c r="D373">
        <v>1.2</v>
      </c>
      <c r="E373">
        <v>46.4</v>
      </c>
      <c r="F373">
        <v>13</v>
      </c>
      <c r="G373">
        <v>1</v>
      </c>
      <c r="H373">
        <v>1</v>
      </c>
      <c r="I373">
        <v>2</v>
      </c>
      <c r="J373">
        <v>2015</v>
      </c>
      <c r="K373">
        <v>1</v>
      </c>
      <c r="L373">
        <v>276</v>
      </c>
      <c r="M373" t="s">
        <v>12</v>
      </c>
    </row>
    <row r="374" spans="1:13" x14ac:dyDescent="0.3">
      <c r="A374" s="1">
        <v>42013</v>
      </c>
      <c r="B374">
        <v>3</v>
      </c>
      <c r="C374">
        <v>4.34</v>
      </c>
      <c r="D374">
        <v>9.4</v>
      </c>
      <c r="E374">
        <v>36.200000000000003</v>
      </c>
      <c r="F374">
        <v>33</v>
      </c>
      <c r="G374">
        <v>2</v>
      </c>
      <c r="H374">
        <v>7</v>
      </c>
      <c r="I374">
        <v>2</v>
      </c>
      <c r="J374">
        <v>2015</v>
      </c>
      <c r="K374">
        <v>1</v>
      </c>
      <c r="L374">
        <v>276</v>
      </c>
      <c r="M374" t="s">
        <v>13</v>
      </c>
    </row>
    <row r="375" spans="1:13" x14ac:dyDescent="0.3">
      <c r="A375" s="1">
        <v>42014</v>
      </c>
      <c r="B375">
        <v>6</v>
      </c>
      <c r="C375">
        <v>5.8639999999999999</v>
      </c>
      <c r="D375">
        <v>7</v>
      </c>
      <c r="E375">
        <v>32.6</v>
      </c>
      <c r="F375">
        <v>14</v>
      </c>
      <c r="G375">
        <v>3</v>
      </c>
      <c r="H375">
        <v>1</v>
      </c>
      <c r="I375">
        <v>1</v>
      </c>
      <c r="J375">
        <v>2015</v>
      </c>
      <c r="K375">
        <v>1</v>
      </c>
      <c r="L375">
        <v>276</v>
      </c>
      <c r="M375" t="s">
        <v>14</v>
      </c>
    </row>
    <row r="376" spans="1:13" x14ac:dyDescent="0.3">
      <c r="A376" s="1">
        <v>42015</v>
      </c>
      <c r="B376">
        <v>3</v>
      </c>
      <c r="C376">
        <v>7.34</v>
      </c>
      <c r="D376">
        <v>7</v>
      </c>
      <c r="E376">
        <v>43.6</v>
      </c>
      <c r="F376">
        <v>11</v>
      </c>
      <c r="G376">
        <v>1</v>
      </c>
      <c r="H376">
        <v>11</v>
      </c>
      <c r="I376">
        <v>2</v>
      </c>
      <c r="J376">
        <v>2015</v>
      </c>
      <c r="K376">
        <v>1</v>
      </c>
      <c r="L376">
        <v>276</v>
      </c>
      <c r="M376" t="s">
        <v>15</v>
      </c>
    </row>
    <row r="377" spans="1:13" x14ac:dyDescent="0.3">
      <c r="A377" s="1">
        <v>42016</v>
      </c>
      <c r="B377">
        <v>2.33</v>
      </c>
      <c r="C377">
        <v>3.34</v>
      </c>
      <c r="D377">
        <v>7.5</v>
      </c>
      <c r="E377">
        <v>36.6</v>
      </c>
      <c r="F377">
        <v>18</v>
      </c>
      <c r="G377">
        <v>0</v>
      </c>
      <c r="H377">
        <v>6</v>
      </c>
      <c r="I377">
        <v>1</v>
      </c>
      <c r="J377">
        <v>2015</v>
      </c>
      <c r="K377">
        <v>1</v>
      </c>
      <c r="L377">
        <v>276</v>
      </c>
      <c r="M377" t="s">
        <v>16</v>
      </c>
    </row>
    <row r="378" spans="1:13" x14ac:dyDescent="0.3">
      <c r="A378" s="1">
        <v>42017</v>
      </c>
      <c r="B378">
        <v>10.34</v>
      </c>
      <c r="C378">
        <v>4.66</v>
      </c>
      <c r="D378">
        <v>10</v>
      </c>
      <c r="E378">
        <v>34</v>
      </c>
      <c r="F378">
        <v>14</v>
      </c>
      <c r="G378">
        <v>2</v>
      </c>
      <c r="H378">
        <v>4</v>
      </c>
      <c r="I378">
        <v>2</v>
      </c>
      <c r="J378">
        <v>2015</v>
      </c>
      <c r="K378">
        <v>1</v>
      </c>
      <c r="L378">
        <v>276</v>
      </c>
      <c r="M378" t="s">
        <v>17</v>
      </c>
    </row>
    <row r="379" spans="1:13" x14ac:dyDescent="0.3">
      <c r="A379" s="1">
        <v>42018</v>
      </c>
      <c r="B379">
        <v>3</v>
      </c>
      <c r="C379">
        <v>3.34</v>
      </c>
      <c r="D379">
        <v>5</v>
      </c>
      <c r="E379">
        <v>23</v>
      </c>
      <c r="F379">
        <v>20</v>
      </c>
      <c r="G379">
        <v>0</v>
      </c>
      <c r="H379">
        <v>1</v>
      </c>
      <c r="I379">
        <v>0</v>
      </c>
      <c r="J379">
        <v>2015</v>
      </c>
      <c r="K379">
        <v>1</v>
      </c>
      <c r="L379">
        <v>276</v>
      </c>
      <c r="M379" t="s">
        <v>18</v>
      </c>
    </row>
    <row r="380" spans="1:13" x14ac:dyDescent="0.3">
      <c r="A380" s="1">
        <v>42019</v>
      </c>
      <c r="B380">
        <v>6.67</v>
      </c>
      <c r="C380">
        <v>3</v>
      </c>
      <c r="D380">
        <v>1</v>
      </c>
      <c r="E380">
        <v>55.25</v>
      </c>
      <c r="F380">
        <v>13</v>
      </c>
      <c r="G380">
        <v>0</v>
      </c>
      <c r="H380">
        <v>15</v>
      </c>
      <c r="I380">
        <v>2</v>
      </c>
      <c r="J380">
        <v>2015</v>
      </c>
      <c r="K380">
        <v>1</v>
      </c>
      <c r="L380">
        <v>276</v>
      </c>
      <c r="M380" t="s">
        <v>12</v>
      </c>
    </row>
    <row r="381" spans="1:13" x14ac:dyDescent="0.3">
      <c r="A381" s="1">
        <v>42020</v>
      </c>
      <c r="B381">
        <v>6.33</v>
      </c>
      <c r="C381">
        <v>5.99</v>
      </c>
      <c r="D381">
        <v>3.8</v>
      </c>
      <c r="E381">
        <v>43</v>
      </c>
      <c r="F381">
        <v>16</v>
      </c>
      <c r="G381">
        <v>2</v>
      </c>
      <c r="H381">
        <v>6</v>
      </c>
      <c r="I381">
        <v>2</v>
      </c>
      <c r="J381">
        <v>2015</v>
      </c>
      <c r="K381">
        <v>1</v>
      </c>
      <c r="L381">
        <v>276</v>
      </c>
      <c r="M381" t="s">
        <v>13</v>
      </c>
    </row>
    <row r="382" spans="1:13" x14ac:dyDescent="0.3">
      <c r="A382" s="1">
        <v>42021</v>
      </c>
      <c r="B382">
        <v>6.68</v>
      </c>
      <c r="C382">
        <v>5.68</v>
      </c>
      <c r="D382">
        <v>7</v>
      </c>
      <c r="E382">
        <v>19.2</v>
      </c>
      <c r="F382">
        <v>18</v>
      </c>
      <c r="G382">
        <v>0</v>
      </c>
      <c r="H382">
        <v>0</v>
      </c>
      <c r="I382">
        <v>0</v>
      </c>
      <c r="J382">
        <v>2015</v>
      </c>
      <c r="K382">
        <v>1</v>
      </c>
      <c r="L382">
        <v>276</v>
      </c>
      <c r="M382" t="s">
        <v>14</v>
      </c>
    </row>
    <row r="383" spans="1:13" x14ac:dyDescent="0.3">
      <c r="A383" s="1">
        <v>42022</v>
      </c>
      <c r="B383">
        <v>4</v>
      </c>
      <c r="C383">
        <v>4.34</v>
      </c>
      <c r="D383">
        <v>4.5</v>
      </c>
      <c r="E383">
        <v>20.399999999999999</v>
      </c>
      <c r="F383">
        <v>16</v>
      </c>
      <c r="G383">
        <v>0</v>
      </c>
      <c r="H383">
        <v>0</v>
      </c>
      <c r="I383">
        <v>2</v>
      </c>
      <c r="J383">
        <v>2015</v>
      </c>
      <c r="K383">
        <v>1</v>
      </c>
      <c r="L383">
        <v>276</v>
      </c>
      <c r="M383" t="s">
        <v>15</v>
      </c>
    </row>
    <row r="384" spans="1:13" x14ac:dyDescent="0.3">
      <c r="A384" s="1">
        <v>42023</v>
      </c>
      <c r="B384">
        <v>5.34</v>
      </c>
      <c r="C384">
        <v>2.68</v>
      </c>
      <c r="D384">
        <v>1.1000000000000001</v>
      </c>
      <c r="E384">
        <v>32</v>
      </c>
      <c r="F384">
        <v>12</v>
      </c>
      <c r="G384">
        <v>0</v>
      </c>
      <c r="H384">
        <v>20</v>
      </c>
      <c r="I384">
        <v>2</v>
      </c>
      <c r="J384">
        <v>2015</v>
      </c>
      <c r="K384">
        <v>1</v>
      </c>
      <c r="L384">
        <v>276</v>
      </c>
      <c r="M384" t="s">
        <v>16</v>
      </c>
    </row>
    <row r="385" spans="1:13" x14ac:dyDescent="0.3">
      <c r="A385" s="1">
        <v>42024</v>
      </c>
      <c r="B385">
        <v>4.34</v>
      </c>
      <c r="C385">
        <v>0.33</v>
      </c>
      <c r="D385">
        <v>6</v>
      </c>
      <c r="E385">
        <v>38</v>
      </c>
      <c r="F385">
        <v>24</v>
      </c>
      <c r="G385">
        <v>1</v>
      </c>
      <c r="H385">
        <v>4</v>
      </c>
      <c r="I385">
        <v>1</v>
      </c>
      <c r="J385">
        <v>2015</v>
      </c>
      <c r="K385">
        <v>1</v>
      </c>
      <c r="L385">
        <v>276</v>
      </c>
      <c r="M385" t="s">
        <v>17</v>
      </c>
    </row>
    <row r="386" spans="1:13" x14ac:dyDescent="0.3">
      <c r="A386" s="1">
        <v>42025</v>
      </c>
      <c r="B386">
        <v>4</v>
      </c>
      <c r="C386">
        <v>1</v>
      </c>
      <c r="D386">
        <v>2</v>
      </c>
      <c r="E386">
        <v>37.450000000000003</v>
      </c>
      <c r="F386">
        <v>17</v>
      </c>
      <c r="G386">
        <v>1</v>
      </c>
      <c r="H386">
        <v>0</v>
      </c>
      <c r="I386">
        <v>1</v>
      </c>
      <c r="J386">
        <v>2015</v>
      </c>
      <c r="K386">
        <v>1</v>
      </c>
      <c r="L386">
        <v>276</v>
      </c>
      <c r="M386" t="s">
        <v>18</v>
      </c>
    </row>
    <row r="387" spans="1:13" x14ac:dyDescent="0.3">
      <c r="A387" s="1">
        <v>42026</v>
      </c>
      <c r="B387">
        <v>4</v>
      </c>
      <c r="C387">
        <v>1.34</v>
      </c>
      <c r="D387">
        <v>4</v>
      </c>
      <c r="E387">
        <v>21.4</v>
      </c>
      <c r="F387">
        <v>19</v>
      </c>
      <c r="G387">
        <v>0</v>
      </c>
      <c r="H387">
        <v>0</v>
      </c>
      <c r="I387">
        <v>1</v>
      </c>
      <c r="J387">
        <v>2015</v>
      </c>
      <c r="K387">
        <v>1</v>
      </c>
      <c r="L387">
        <v>276</v>
      </c>
      <c r="M387" t="s">
        <v>12</v>
      </c>
    </row>
    <row r="388" spans="1:13" x14ac:dyDescent="0.3">
      <c r="A388" s="1">
        <v>42027</v>
      </c>
      <c r="B388">
        <v>3.67</v>
      </c>
      <c r="C388">
        <v>4.7279999999999998</v>
      </c>
      <c r="D388">
        <v>8</v>
      </c>
      <c r="E388">
        <v>30</v>
      </c>
      <c r="F388">
        <v>14</v>
      </c>
      <c r="G388">
        <v>0</v>
      </c>
      <c r="H388">
        <v>7</v>
      </c>
      <c r="I388">
        <v>2</v>
      </c>
      <c r="J388">
        <v>2015</v>
      </c>
      <c r="K388">
        <v>1</v>
      </c>
      <c r="L388">
        <v>276</v>
      </c>
      <c r="M388" t="s">
        <v>13</v>
      </c>
    </row>
    <row r="389" spans="1:13" x14ac:dyDescent="0.3">
      <c r="A389" s="1">
        <v>42028</v>
      </c>
      <c r="B389">
        <v>4.34</v>
      </c>
      <c r="C389">
        <v>3.33</v>
      </c>
      <c r="D389">
        <v>9.1999999999999993</v>
      </c>
      <c r="E389">
        <v>49.7</v>
      </c>
      <c r="F389">
        <v>31</v>
      </c>
      <c r="G389">
        <v>0</v>
      </c>
      <c r="H389">
        <v>22</v>
      </c>
      <c r="I389">
        <v>1</v>
      </c>
      <c r="J389">
        <v>2015</v>
      </c>
      <c r="K389">
        <v>1</v>
      </c>
      <c r="L389">
        <v>276</v>
      </c>
      <c r="M389" t="s">
        <v>14</v>
      </c>
    </row>
    <row r="390" spans="1:13" x14ac:dyDescent="0.3">
      <c r="A390" s="1">
        <v>42029</v>
      </c>
      <c r="B390">
        <v>4</v>
      </c>
      <c r="C390">
        <v>1.1299999999999999</v>
      </c>
      <c r="D390">
        <v>1.9</v>
      </c>
      <c r="E390">
        <v>38</v>
      </c>
      <c r="F390">
        <v>11</v>
      </c>
      <c r="G390">
        <v>1</v>
      </c>
      <c r="H390">
        <v>5</v>
      </c>
      <c r="I390">
        <v>0</v>
      </c>
      <c r="J390">
        <v>2015</v>
      </c>
      <c r="K390">
        <v>1</v>
      </c>
      <c r="L390">
        <v>276</v>
      </c>
      <c r="M390" t="s">
        <v>15</v>
      </c>
    </row>
    <row r="391" spans="1:13" x14ac:dyDescent="0.3">
      <c r="A391" s="1">
        <v>42030</v>
      </c>
      <c r="B391">
        <v>8.5</v>
      </c>
      <c r="C391">
        <v>4.67</v>
      </c>
      <c r="D391">
        <v>4</v>
      </c>
      <c r="E391">
        <v>34.4</v>
      </c>
      <c r="F391">
        <v>15</v>
      </c>
      <c r="G391">
        <v>0</v>
      </c>
      <c r="H391">
        <v>13</v>
      </c>
      <c r="I391">
        <v>0</v>
      </c>
      <c r="J391">
        <v>2015</v>
      </c>
      <c r="K391">
        <v>1</v>
      </c>
      <c r="L391">
        <v>276</v>
      </c>
      <c r="M391" t="s">
        <v>16</v>
      </c>
    </row>
    <row r="392" spans="1:13" x14ac:dyDescent="0.3">
      <c r="A392" s="1">
        <v>42031</v>
      </c>
      <c r="B392">
        <v>2.67</v>
      </c>
      <c r="C392">
        <v>6.33</v>
      </c>
      <c r="D392">
        <v>1</v>
      </c>
      <c r="E392">
        <v>20</v>
      </c>
      <c r="F392">
        <v>14</v>
      </c>
      <c r="G392">
        <v>0</v>
      </c>
      <c r="H392">
        <v>0</v>
      </c>
      <c r="I392">
        <v>0</v>
      </c>
      <c r="J392">
        <v>2015</v>
      </c>
      <c r="K392">
        <v>1</v>
      </c>
      <c r="L392">
        <v>276</v>
      </c>
      <c r="M392" t="s">
        <v>17</v>
      </c>
    </row>
    <row r="393" spans="1:13" x14ac:dyDescent="0.3">
      <c r="A393" s="1">
        <v>42032</v>
      </c>
      <c r="B393">
        <v>3</v>
      </c>
      <c r="C393">
        <v>5.34</v>
      </c>
      <c r="D393">
        <v>3</v>
      </c>
      <c r="E393">
        <v>32</v>
      </c>
      <c r="F393">
        <v>18</v>
      </c>
      <c r="G393">
        <v>3</v>
      </c>
      <c r="H393">
        <v>5</v>
      </c>
      <c r="I393">
        <v>3</v>
      </c>
      <c r="J393">
        <v>2015</v>
      </c>
      <c r="K393">
        <v>1</v>
      </c>
      <c r="L393">
        <v>276</v>
      </c>
      <c r="M393" t="s">
        <v>18</v>
      </c>
    </row>
    <row r="394" spans="1:13" x14ac:dyDescent="0.3">
      <c r="A394" s="1">
        <v>42033</v>
      </c>
      <c r="B394">
        <v>4.34</v>
      </c>
      <c r="C394">
        <v>5.71</v>
      </c>
      <c r="D394">
        <v>8.6999999999999993</v>
      </c>
      <c r="E394">
        <v>24.4</v>
      </c>
      <c r="F394">
        <v>16</v>
      </c>
      <c r="G394">
        <v>3</v>
      </c>
      <c r="H394">
        <v>11</v>
      </c>
      <c r="I394">
        <v>3</v>
      </c>
      <c r="J394">
        <v>2015</v>
      </c>
      <c r="K394">
        <v>1</v>
      </c>
      <c r="L394">
        <v>276</v>
      </c>
      <c r="M394" t="s">
        <v>12</v>
      </c>
    </row>
    <row r="395" spans="1:13" x14ac:dyDescent="0.3">
      <c r="A395" s="1">
        <v>42034</v>
      </c>
      <c r="B395">
        <v>1</v>
      </c>
      <c r="C395">
        <v>1.0680000000000001</v>
      </c>
      <c r="D395">
        <v>1</v>
      </c>
      <c r="E395">
        <v>20.5</v>
      </c>
      <c r="F395">
        <v>19</v>
      </c>
      <c r="G395">
        <v>1</v>
      </c>
      <c r="H395">
        <v>0</v>
      </c>
      <c r="I395">
        <v>0</v>
      </c>
      <c r="J395">
        <v>2015</v>
      </c>
      <c r="K395">
        <v>1</v>
      </c>
      <c r="L395">
        <v>276</v>
      </c>
      <c r="M395" t="s">
        <v>13</v>
      </c>
    </row>
    <row r="396" spans="1:13" x14ac:dyDescent="0.3">
      <c r="A396" s="1">
        <v>42035</v>
      </c>
      <c r="B396">
        <v>8.34</v>
      </c>
      <c r="C396">
        <v>6.1120000000000001</v>
      </c>
      <c r="D396">
        <v>5</v>
      </c>
      <c r="E396">
        <v>32.4</v>
      </c>
      <c r="F396">
        <v>12</v>
      </c>
      <c r="G396">
        <v>0</v>
      </c>
      <c r="H396">
        <v>11</v>
      </c>
      <c r="I396">
        <v>2</v>
      </c>
      <c r="J396">
        <v>2015</v>
      </c>
      <c r="K396">
        <v>1</v>
      </c>
      <c r="L396">
        <v>276</v>
      </c>
      <c r="M396" t="s">
        <v>14</v>
      </c>
    </row>
    <row r="397" spans="1:13" x14ac:dyDescent="0.3">
      <c r="A397" s="1">
        <v>42036</v>
      </c>
      <c r="B397">
        <v>4.34</v>
      </c>
      <c r="C397">
        <v>7.35</v>
      </c>
      <c r="D397">
        <v>7</v>
      </c>
      <c r="E397">
        <v>35.6</v>
      </c>
      <c r="F397">
        <v>7</v>
      </c>
      <c r="G397">
        <v>1</v>
      </c>
      <c r="H397">
        <v>0</v>
      </c>
      <c r="I397">
        <v>1</v>
      </c>
      <c r="J397">
        <v>2015</v>
      </c>
      <c r="K397">
        <v>2</v>
      </c>
      <c r="L397">
        <v>276</v>
      </c>
      <c r="M397" t="s">
        <v>15</v>
      </c>
    </row>
    <row r="398" spans="1:13" x14ac:dyDescent="0.3">
      <c r="A398" s="1">
        <v>42037</v>
      </c>
      <c r="B398">
        <v>6</v>
      </c>
      <c r="C398">
        <v>4</v>
      </c>
      <c r="D398">
        <v>5.0999999999999996</v>
      </c>
      <c r="E398">
        <v>20.9</v>
      </c>
      <c r="F398">
        <v>14</v>
      </c>
      <c r="G398">
        <v>0</v>
      </c>
      <c r="H398">
        <v>3</v>
      </c>
      <c r="I398">
        <v>2</v>
      </c>
      <c r="J398">
        <v>2015</v>
      </c>
      <c r="K398">
        <v>2</v>
      </c>
      <c r="L398">
        <v>276</v>
      </c>
      <c r="M398" t="s">
        <v>16</v>
      </c>
    </row>
    <row r="399" spans="1:13" x14ac:dyDescent="0.3">
      <c r="A399" s="1">
        <v>42038</v>
      </c>
      <c r="B399">
        <v>3.33</v>
      </c>
      <c r="C399">
        <v>3</v>
      </c>
      <c r="D399">
        <v>6.2</v>
      </c>
      <c r="E399">
        <v>24.2</v>
      </c>
      <c r="F399">
        <v>18</v>
      </c>
      <c r="G399">
        <v>0</v>
      </c>
      <c r="H399">
        <v>6</v>
      </c>
      <c r="I399">
        <v>5</v>
      </c>
      <c r="J399">
        <v>2015</v>
      </c>
      <c r="K399">
        <v>2</v>
      </c>
      <c r="L399">
        <v>276</v>
      </c>
      <c r="M399" t="s">
        <v>17</v>
      </c>
    </row>
    <row r="400" spans="1:13" x14ac:dyDescent="0.3">
      <c r="A400" s="1">
        <v>42039</v>
      </c>
      <c r="B400">
        <v>2.34</v>
      </c>
      <c r="C400">
        <v>2.67</v>
      </c>
      <c r="D400">
        <v>2.4</v>
      </c>
      <c r="E400">
        <v>38.799999999999997</v>
      </c>
      <c r="F400">
        <v>6</v>
      </c>
      <c r="G400">
        <v>0</v>
      </c>
      <c r="H400">
        <v>12</v>
      </c>
      <c r="I400">
        <v>0</v>
      </c>
      <c r="J400">
        <v>2015</v>
      </c>
      <c r="K400">
        <v>2</v>
      </c>
      <c r="L400">
        <v>276</v>
      </c>
      <c r="M400" t="s">
        <v>18</v>
      </c>
    </row>
    <row r="401" spans="1:13" x14ac:dyDescent="0.3">
      <c r="A401" s="1">
        <v>42040</v>
      </c>
      <c r="B401">
        <v>2</v>
      </c>
      <c r="C401">
        <v>5.57</v>
      </c>
      <c r="D401">
        <v>3</v>
      </c>
      <c r="E401">
        <v>24.85</v>
      </c>
      <c r="F401">
        <v>12</v>
      </c>
      <c r="G401">
        <v>0</v>
      </c>
      <c r="H401">
        <v>2</v>
      </c>
      <c r="I401">
        <v>1</v>
      </c>
      <c r="J401">
        <v>2015</v>
      </c>
      <c r="K401">
        <v>2</v>
      </c>
      <c r="L401">
        <v>276</v>
      </c>
      <c r="M401" t="s">
        <v>12</v>
      </c>
    </row>
    <row r="402" spans="1:13" x14ac:dyDescent="0.3">
      <c r="A402" s="1">
        <v>42041</v>
      </c>
      <c r="B402">
        <v>3.33</v>
      </c>
      <c r="C402">
        <v>3.33</v>
      </c>
      <c r="D402">
        <v>7.3</v>
      </c>
      <c r="E402">
        <v>23</v>
      </c>
      <c r="F402">
        <v>7</v>
      </c>
      <c r="G402">
        <v>1</v>
      </c>
      <c r="H402">
        <v>13</v>
      </c>
      <c r="I402">
        <v>1</v>
      </c>
      <c r="J402">
        <v>2015</v>
      </c>
      <c r="K402">
        <v>2</v>
      </c>
      <c r="L402">
        <v>276</v>
      </c>
      <c r="M402" t="s">
        <v>13</v>
      </c>
    </row>
    <row r="403" spans="1:13" x14ac:dyDescent="0.3">
      <c r="A403" s="1">
        <v>42042</v>
      </c>
      <c r="B403">
        <v>2</v>
      </c>
      <c r="C403">
        <v>5</v>
      </c>
      <c r="D403">
        <v>1.9</v>
      </c>
      <c r="E403">
        <v>33.6</v>
      </c>
      <c r="F403">
        <v>9</v>
      </c>
      <c r="G403">
        <v>0</v>
      </c>
      <c r="H403">
        <v>0</v>
      </c>
      <c r="I403">
        <v>2</v>
      </c>
      <c r="J403">
        <v>2015</v>
      </c>
      <c r="K403">
        <v>2</v>
      </c>
      <c r="L403">
        <v>276</v>
      </c>
      <c r="M403" t="s">
        <v>14</v>
      </c>
    </row>
    <row r="404" spans="1:13" x14ac:dyDescent="0.3">
      <c r="A404" s="1">
        <v>42043</v>
      </c>
      <c r="B404">
        <v>1.34</v>
      </c>
      <c r="C404">
        <v>7.7590000000000003</v>
      </c>
      <c r="D404">
        <v>5.7</v>
      </c>
      <c r="E404">
        <v>29.9</v>
      </c>
      <c r="F404">
        <v>8</v>
      </c>
      <c r="G404">
        <v>0</v>
      </c>
      <c r="H404">
        <v>0</v>
      </c>
      <c r="I404">
        <v>0</v>
      </c>
      <c r="J404">
        <v>2015</v>
      </c>
      <c r="K404">
        <v>2</v>
      </c>
      <c r="L404">
        <v>276</v>
      </c>
      <c r="M404" t="s">
        <v>15</v>
      </c>
    </row>
    <row r="405" spans="1:13" x14ac:dyDescent="0.3">
      <c r="A405" s="1">
        <v>42044</v>
      </c>
      <c r="B405">
        <v>3.33</v>
      </c>
      <c r="C405">
        <v>3.54</v>
      </c>
      <c r="D405">
        <v>9.6</v>
      </c>
      <c r="E405">
        <v>20.7</v>
      </c>
      <c r="F405">
        <v>8</v>
      </c>
      <c r="G405">
        <v>1</v>
      </c>
      <c r="H405">
        <v>0</v>
      </c>
      <c r="I405">
        <v>1</v>
      </c>
      <c r="J405">
        <v>2015</v>
      </c>
      <c r="K405">
        <v>2</v>
      </c>
      <c r="L405">
        <v>276</v>
      </c>
      <c r="M405" t="s">
        <v>16</v>
      </c>
    </row>
    <row r="406" spans="1:13" x14ac:dyDescent="0.3">
      <c r="A406" s="1">
        <v>42045</v>
      </c>
      <c r="B406">
        <v>3.66</v>
      </c>
      <c r="C406">
        <v>8.67</v>
      </c>
      <c r="D406">
        <v>7</v>
      </c>
      <c r="E406">
        <v>33</v>
      </c>
      <c r="F406">
        <v>11</v>
      </c>
      <c r="G406">
        <v>0</v>
      </c>
      <c r="H406">
        <v>6</v>
      </c>
      <c r="I406">
        <v>3</v>
      </c>
      <c r="J406">
        <v>2015</v>
      </c>
      <c r="K406">
        <v>2</v>
      </c>
      <c r="L406">
        <v>276</v>
      </c>
      <c r="M406" t="s">
        <v>17</v>
      </c>
    </row>
    <row r="407" spans="1:13" x14ac:dyDescent="0.3">
      <c r="A407" s="1">
        <v>42046</v>
      </c>
      <c r="B407">
        <v>3</v>
      </c>
      <c r="C407">
        <v>5.14</v>
      </c>
      <c r="D407">
        <v>3.6</v>
      </c>
      <c r="E407">
        <v>48.5</v>
      </c>
      <c r="F407">
        <v>16</v>
      </c>
      <c r="G407">
        <v>0</v>
      </c>
      <c r="H407">
        <v>20</v>
      </c>
      <c r="I407">
        <v>2</v>
      </c>
      <c r="J407">
        <v>2015</v>
      </c>
      <c r="K407">
        <v>2</v>
      </c>
      <c r="L407">
        <v>276</v>
      </c>
      <c r="M407" t="s">
        <v>18</v>
      </c>
    </row>
    <row r="408" spans="1:13" x14ac:dyDescent="0.3">
      <c r="A408" s="1">
        <v>42047</v>
      </c>
      <c r="B408">
        <v>3</v>
      </c>
      <c r="C408">
        <v>4</v>
      </c>
      <c r="D408">
        <v>6</v>
      </c>
      <c r="E408">
        <v>23.82</v>
      </c>
      <c r="F408">
        <v>11</v>
      </c>
      <c r="G408">
        <v>1</v>
      </c>
      <c r="H408">
        <v>5</v>
      </c>
      <c r="I408">
        <v>0</v>
      </c>
      <c r="J408">
        <v>2015</v>
      </c>
      <c r="K408">
        <v>2</v>
      </c>
      <c r="L408">
        <v>276</v>
      </c>
      <c r="M408" t="s">
        <v>12</v>
      </c>
    </row>
    <row r="409" spans="1:13" x14ac:dyDescent="0.3">
      <c r="A409" s="1">
        <v>42048</v>
      </c>
      <c r="B409">
        <v>6.01</v>
      </c>
      <c r="C409">
        <v>4.2300000000000004</v>
      </c>
      <c r="D409">
        <v>7</v>
      </c>
      <c r="E409">
        <v>29.6</v>
      </c>
      <c r="F409">
        <v>11</v>
      </c>
      <c r="G409">
        <v>1</v>
      </c>
      <c r="H409">
        <v>22</v>
      </c>
      <c r="I409">
        <v>1</v>
      </c>
      <c r="J409">
        <v>2015</v>
      </c>
      <c r="K409">
        <v>2</v>
      </c>
      <c r="L409">
        <v>276</v>
      </c>
      <c r="M409" t="s">
        <v>13</v>
      </c>
    </row>
    <row r="410" spans="1:13" x14ac:dyDescent="0.3">
      <c r="A410" s="1">
        <v>42049</v>
      </c>
      <c r="B410">
        <v>4.33</v>
      </c>
      <c r="C410">
        <v>1.736</v>
      </c>
      <c r="D410">
        <v>6.7</v>
      </c>
      <c r="E410">
        <v>29.2</v>
      </c>
      <c r="F410">
        <v>13</v>
      </c>
      <c r="G410">
        <v>1</v>
      </c>
      <c r="H410">
        <v>5</v>
      </c>
      <c r="I410">
        <v>4</v>
      </c>
      <c r="J410">
        <v>2015</v>
      </c>
      <c r="K410">
        <v>2</v>
      </c>
      <c r="L410">
        <v>276</v>
      </c>
      <c r="M410" t="s">
        <v>14</v>
      </c>
    </row>
    <row r="411" spans="1:13" x14ac:dyDescent="0.3">
      <c r="A411" s="1">
        <v>42050</v>
      </c>
      <c r="B411">
        <v>11.68</v>
      </c>
      <c r="C411">
        <v>2.33</v>
      </c>
      <c r="D411">
        <v>4.3</v>
      </c>
      <c r="E411">
        <v>38</v>
      </c>
      <c r="F411">
        <v>7</v>
      </c>
      <c r="G411">
        <v>0</v>
      </c>
      <c r="H411">
        <v>7</v>
      </c>
      <c r="I411">
        <v>2</v>
      </c>
      <c r="J411">
        <v>2015</v>
      </c>
      <c r="K411">
        <v>2</v>
      </c>
      <c r="L411">
        <v>276</v>
      </c>
      <c r="M411" t="s">
        <v>15</v>
      </c>
    </row>
    <row r="412" spans="1:13" x14ac:dyDescent="0.3">
      <c r="A412" s="1">
        <v>42051</v>
      </c>
      <c r="B412">
        <v>3.01</v>
      </c>
      <c r="C412">
        <v>3.75</v>
      </c>
      <c r="D412">
        <v>4</v>
      </c>
      <c r="E412">
        <v>40.1</v>
      </c>
      <c r="F412">
        <v>4</v>
      </c>
      <c r="G412">
        <v>0</v>
      </c>
      <c r="H412">
        <v>10</v>
      </c>
      <c r="I412">
        <v>0</v>
      </c>
      <c r="J412">
        <v>2015</v>
      </c>
      <c r="K412">
        <v>2</v>
      </c>
      <c r="L412">
        <v>276</v>
      </c>
      <c r="M412" t="s">
        <v>16</v>
      </c>
    </row>
    <row r="413" spans="1:13" x14ac:dyDescent="0.3">
      <c r="A413" s="1">
        <v>42052</v>
      </c>
      <c r="B413">
        <v>5.33</v>
      </c>
      <c r="C413">
        <v>8.6929999999999996</v>
      </c>
      <c r="D413">
        <v>4</v>
      </c>
      <c r="E413">
        <v>36.200000000000003</v>
      </c>
      <c r="F413">
        <v>3</v>
      </c>
      <c r="G413">
        <v>0</v>
      </c>
      <c r="H413">
        <v>6</v>
      </c>
      <c r="I413">
        <v>1</v>
      </c>
      <c r="J413">
        <v>2015</v>
      </c>
      <c r="K413">
        <v>2</v>
      </c>
      <c r="L413">
        <v>276</v>
      </c>
      <c r="M413" t="s">
        <v>17</v>
      </c>
    </row>
    <row r="414" spans="1:13" x14ac:dyDescent="0.3">
      <c r="A414" s="1">
        <v>42053</v>
      </c>
      <c r="B414">
        <v>1</v>
      </c>
      <c r="C414">
        <v>2.66</v>
      </c>
      <c r="D414">
        <v>1.33</v>
      </c>
      <c r="E414">
        <v>36.212000000000003</v>
      </c>
      <c r="F414">
        <v>4</v>
      </c>
      <c r="G414">
        <v>0</v>
      </c>
      <c r="H414">
        <v>11</v>
      </c>
      <c r="I414">
        <v>0</v>
      </c>
      <c r="J414">
        <v>2015</v>
      </c>
      <c r="K414">
        <v>2</v>
      </c>
      <c r="L414">
        <v>276</v>
      </c>
      <c r="M414" t="s">
        <v>18</v>
      </c>
    </row>
    <row r="415" spans="1:13" x14ac:dyDescent="0.3">
      <c r="A415" s="1">
        <v>42054</v>
      </c>
      <c r="B415">
        <v>2</v>
      </c>
      <c r="C415">
        <v>3.3319999999999999</v>
      </c>
      <c r="D415">
        <v>4</v>
      </c>
      <c r="E415">
        <v>36.700000000000003</v>
      </c>
      <c r="F415">
        <v>2</v>
      </c>
      <c r="G415">
        <v>2</v>
      </c>
      <c r="H415">
        <v>6</v>
      </c>
      <c r="I415">
        <v>3</v>
      </c>
      <c r="J415">
        <v>2015</v>
      </c>
      <c r="K415">
        <v>2</v>
      </c>
      <c r="L415">
        <v>276</v>
      </c>
      <c r="M415" t="s">
        <v>12</v>
      </c>
    </row>
    <row r="416" spans="1:13" x14ac:dyDescent="0.3">
      <c r="A416" s="1">
        <v>42055</v>
      </c>
      <c r="B416">
        <v>5.33</v>
      </c>
      <c r="C416">
        <v>4.66</v>
      </c>
      <c r="D416">
        <v>0.5</v>
      </c>
      <c r="E416">
        <v>27</v>
      </c>
      <c r="F416">
        <v>5</v>
      </c>
      <c r="G416">
        <v>0</v>
      </c>
      <c r="H416">
        <v>25</v>
      </c>
      <c r="I416">
        <v>6</v>
      </c>
      <c r="J416">
        <v>2015</v>
      </c>
      <c r="K416">
        <v>2</v>
      </c>
      <c r="L416">
        <v>276</v>
      </c>
      <c r="M416" t="s">
        <v>13</v>
      </c>
    </row>
    <row r="417" spans="1:13" x14ac:dyDescent="0.3">
      <c r="A417" s="1">
        <v>42056</v>
      </c>
      <c r="B417">
        <v>3</v>
      </c>
      <c r="C417">
        <v>5.3470000000000004</v>
      </c>
      <c r="D417">
        <v>4.8</v>
      </c>
      <c r="E417">
        <v>57</v>
      </c>
      <c r="F417">
        <v>9</v>
      </c>
      <c r="G417">
        <v>0</v>
      </c>
      <c r="H417">
        <v>0</v>
      </c>
      <c r="I417">
        <v>3</v>
      </c>
      <c r="J417">
        <v>2015</v>
      </c>
      <c r="K417">
        <v>2</v>
      </c>
      <c r="L417">
        <v>276</v>
      </c>
      <c r="M417" t="s">
        <v>14</v>
      </c>
    </row>
    <row r="418" spans="1:13" x14ac:dyDescent="0.3">
      <c r="A418" s="1">
        <v>42057</v>
      </c>
      <c r="B418">
        <v>2</v>
      </c>
      <c r="C418">
        <v>4.34</v>
      </c>
      <c r="D418">
        <v>2</v>
      </c>
      <c r="E418">
        <v>50.6</v>
      </c>
      <c r="F418">
        <v>7</v>
      </c>
      <c r="G418">
        <v>0</v>
      </c>
      <c r="H418">
        <v>11</v>
      </c>
      <c r="I418">
        <v>1</v>
      </c>
      <c r="J418">
        <v>2015</v>
      </c>
      <c r="K418">
        <v>2</v>
      </c>
      <c r="L418">
        <v>276</v>
      </c>
      <c r="M418" t="s">
        <v>15</v>
      </c>
    </row>
    <row r="419" spans="1:13" x14ac:dyDescent="0.3">
      <c r="A419" s="1">
        <v>42058</v>
      </c>
      <c r="B419">
        <v>5</v>
      </c>
      <c r="C419">
        <v>3.16</v>
      </c>
      <c r="D419">
        <v>7.5</v>
      </c>
      <c r="E419">
        <v>55.4</v>
      </c>
      <c r="F419">
        <v>9</v>
      </c>
      <c r="G419">
        <v>0</v>
      </c>
      <c r="H419">
        <v>20</v>
      </c>
      <c r="I419">
        <v>0</v>
      </c>
      <c r="J419">
        <v>2015</v>
      </c>
      <c r="K419">
        <v>2</v>
      </c>
      <c r="L419">
        <v>276</v>
      </c>
      <c r="M419" t="s">
        <v>16</v>
      </c>
    </row>
    <row r="420" spans="1:13" x14ac:dyDescent="0.3">
      <c r="A420" s="1">
        <v>42059</v>
      </c>
      <c r="B420">
        <v>3.68</v>
      </c>
      <c r="C420">
        <v>3.34</v>
      </c>
      <c r="D420">
        <v>6.2</v>
      </c>
      <c r="E420">
        <v>22.07</v>
      </c>
      <c r="F420">
        <v>11</v>
      </c>
      <c r="G420">
        <v>0</v>
      </c>
      <c r="H420">
        <v>11</v>
      </c>
      <c r="I420">
        <v>2</v>
      </c>
      <c r="J420">
        <v>2015</v>
      </c>
      <c r="K420">
        <v>2</v>
      </c>
      <c r="L420">
        <v>276</v>
      </c>
      <c r="M420" t="s">
        <v>17</v>
      </c>
    </row>
    <row r="421" spans="1:13" x14ac:dyDescent="0.3">
      <c r="A421" s="1">
        <v>42060</v>
      </c>
      <c r="B421">
        <v>7</v>
      </c>
      <c r="C421">
        <v>6.33</v>
      </c>
      <c r="D421">
        <v>6.1</v>
      </c>
      <c r="E421">
        <v>24</v>
      </c>
      <c r="F421">
        <v>8</v>
      </c>
      <c r="G421">
        <v>0</v>
      </c>
      <c r="H421">
        <v>2</v>
      </c>
      <c r="I421">
        <v>2</v>
      </c>
      <c r="J421">
        <v>2015</v>
      </c>
      <c r="K421">
        <v>2</v>
      </c>
      <c r="L421">
        <v>276</v>
      </c>
      <c r="M421" t="s">
        <v>18</v>
      </c>
    </row>
    <row r="422" spans="1:13" x14ac:dyDescent="0.3">
      <c r="A422" s="1">
        <v>42061</v>
      </c>
      <c r="B422">
        <v>6</v>
      </c>
      <c r="C422">
        <v>2</v>
      </c>
      <c r="D422">
        <v>2</v>
      </c>
      <c r="E422">
        <v>36.700000000000003</v>
      </c>
      <c r="F422">
        <v>13</v>
      </c>
      <c r="G422">
        <v>0</v>
      </c>
      <c r="H422">
        <v>1</v>
      </c>
      <c r="I422">
        <v>1</v>
      </c>
      <c r="J422">
        <v>2015</v>
      </c>
      <c r="K422">
        <v>2</v>
      </c>
      <c r="L422">
        <v>276</v>
      </c>
      <c r="M422" t="s">
        <v>12</v>
      </c>
    </row>
    <row r="423" spans="1:13" x14ac:dyDescent="0.3">
      <c r="A423" s="1">
        <v>42062</v>
      </c>
      <c r="B423">
        <v>6.33</v>
      </c>
      <c r="C423">
        <v>4.4729999999999999</v>
      </c>
      <c r="D423">
        <v>5</v>
      </c>
      <c r="E423">
        <v>51</v>
      </c>
      <c r="F423">
        <v>1</v>
      </c>
      <c r="G423">
        <v>1</v>
      </c>
      <c r="H423">
        <v>0</v>
      </c>
      <c r="I423">
        <v>0</v>
      </c>
      <c r="J423">
        <v>2015</v>
      </c>
      <c r="K423">
        <v>2</v>
      </c>
      <c r="L423">
        <v>276</v>
      </c>
      <c r="M423" t="s">
        <v>13</v>
      </c>
    </row>
    <row r="424" spans="1:13" x14ac:dyDescent="0.3">
      <c r="A424" s="1">
        <v>42063</v>
      </c>
      <c r="B424">
        <v>6.34</v>
      </c>
      <c r="C424">
        <v>3.33</v>
      </c>
      <c r="D424">
        <v>1.6</v>
      </c>
      <c r="E424">
        <v>26.6</v>
      </c>
      <c r="F424">
        <v>9</v>
      </c>
      <c r="G424">
        <v>0</v>
      </c>
      <c r="H424">
        <v>4</v>
      </c>
      <c r="I424">
        <v>3</v>
      </c>
      <c r="J424">
        <v>2015</v>
      </c>
      <c r="K424">
        <v>2</v>
      </c>
      <c r="L424">
        <v>276</v>
      </c>
      <c r="M424" t="s">
        <v>14</v>
      </c>
    </row>
    <row r="425" spans="1:13" x14ac:dyDescent="0.3">
      <c r="A425" s="1">
        <v>42064</v>
      </c>
      <c r="B425">
        <v>9</v>
      </c>
      <c r="C425">
        <v>7.8929999999999998</v>
      </c>
      <c r="D425">
        <v>2.7</v>
      </c>
      <c r="E425">
        <v>25.9</v>
      </c>
      <c r="F425">
        <v>3</v>
      </c>
      <c r="G425">
        <v>4</v>
      </c>
      <c r="H425">
        <v>0</v>
      </c>
      <c r="I425">
        <v>4</v>
      </c>
      <c r="J425">
        <v>2015</v>
      </c>
      <c r="K425">
        <v>3</v>
      </c>
      <c r="L425">
        <v>276</v>
      </c>
      <c r="M425" t="s">
        <v>15</v>
      </c>
    </row>
    <row r="426" spans="1:13" x14ac:dyDescent="0.3">
      <c r="A426" s="1">
        <v>42065</v>
      </c>
      <c r="B426">
        <v>6.67</v>
      </c>
      <c r="C426">
        <v>4.68</v>
      </c>
      <c r="D426">
        <v>3.5</v>
      </c>
      <c r="E426">
        <v>40.700000000000003</v>
      </c>
      <c r="F426">
        <v>6</v>
      </c>
      <c r="G426">
        <v>1</v>
      </c>
      <c r="H426">
        <v>2</v>
      </c>
      <c r="I426">
        <v>3</v>
      </c>
      <c r="J426">
        <v>2015</v>
      </c>
      <c r="K426">
        <v>3</v>
      </c>
      <c r="L426">
        <v>276</v>
      </c>
      <c r="M426" t="s">
        <v>16</v>
      </c>
    </row>
    <row r="427" spans="1:13" x14ac:dyDescent="0.3">
      <c r="A427" s="1">
        <v>42066</v>
      </c>
      <c r="B427">
        <v>8</v>
      </c>
      <c r="C427">
        <v>6.03</v>
      </c>
      <c r="D427">
        <v>4.5</v>
      </c>
      <c r="E427">
        <v>45.6</v>
      </c>
      <c r="F427">
        <v>14</v>
      </c>
      <c r="G427">
        <v>0</v>
      </c>
      <c r="H427">
        <v>1</v>
      </c>
      <c r="I427">
        <v>4</v>
      </c>
      <c r="J427">
        <v>2015</v>
      </c>
      <c r="K427">
        <v>3</v>
      </c>
      <c r="L427">
        <v>276</v>
      </c>
      <c r="M427" t="s">
        <v>17</v>
      </c>
    </row>
    <row r="428" spans="1:13" x14ac:dyDescent="0.3">
      <c r="A428" s="1">
        <v>42067</v>
      </c>
      <c r="B428">
        <v>9.68</v>
      </c>
      <c r="C428">
        <v>5.67</v>
      </c>
      <c r="D428">
        <v>3.3</v>
      </c>
      <c r="E428">
        <v>46.85</v>
      </c>
      <c r="F428">
        <v>4</v>
      </c>
      <c r="G428">
        <v>0</v>
      </c>
      <c r="H428">
        <v>11</v>
      </c>
      <c r="I428">
        <v>1</v>
      </c>
      <c r="J428">
        <v>2015</v>
      </c>
      <c r="K428">
        <v>3</v>
      </c>
      <c r="L428">
        <v>276</v>
      </c>
      <c r="M428" t="s">
        <v>18</v>
      </c>
    </row>
    <row r="429" spans="1:13" x14ac:dyDescent="0.3">
      <c r="A429" s="1">
        <v>42068</v>
      </c>
      <c r="B429">
        <v>6</v>
      </c>
      <c r="C429">
        <v>2.33</v>
      </c>
      <c r="D429">
        <v>3</v>
      </c>
      <c r="E429">
        <v>35</v>
      </c>
      <c r="F429">
        <v>2</v>
      </c>
      <c r="G429">
        <v>0</v>
      </c>
      <c r="H429">
        <v>0</v>
      </c>
      <c r="I429">
        <v>0</v>
      </c>
      <c r="J429">
        <v>2015</v>
      </c>
      <c r="K429">
        <v>3</v>
      </c>
      <c r="L429">
        <v>276</v>
      </c>
      <c r="M429" t="s">
        <v>12</v>
      </c>
    </row>
    <row r="430" spans="1:13" x14ac:dyDescent="0.3">
      <c r="A430" s="1">
        <v>42069</v>
      </c>
      <c r="B430">
        <v>2</v>
      </c>
      <c r="C430">
        <v>2.67</v>
      </c>
      <c r="D430">
        <v>6</v>
      </c>
      <c r="E430">
        <v>19.8</v>
      </c>
      <c r="F430">
        <v>4</v>
      </c>
      <c r="G430">
        <v>0</v>
      </c>
      <c r="H430">
        <v>1</v>
      </c>
      <c r="I430">
        <v>1</v>
      </c>
      <c r="J430">
        <v>2015</v>
      </c>
      <c r="K430">
        <v>3</v>
      </c>
      <c r="L430">
        <v>276</v>
      </c>
      <c r="M430" t="s">
        <v>13</v>
      </c>
    </row>
    <row r="431" spans="1:13" x14ac:dyDescent="0.3">
      <c r="A431" s="1">
        <v>42070</v>
      </c>
      <c r="B431">
        <v>3.33</v>
      </c>
      <c r="C431">
        <v>1</v>
      </c>
      <c r="D431">
        <v>1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2015</v>
      </c>
      <c r="K431">
        <v>3</v>
      </c>
      <c r="L431">
        <v>276</v>
      </c>
      <c r="M431" t="s">
        <v>14</v>
      </c>
    </row>
    <row r="432" spans="1:13" x14ac:dyDescent="0.3">
      <c r="A432" s="1">
        <v>42071</v>
      </c>
      <c r="B432">
        <v>6</v>
      </c>
      <c r="C432">
        <v>3.3969999999999998</v>
      </c>
      <c r="D432">
        <v>2.4</v>
      </c>
      <c r="E432">
        <v>55.4</v>
      </c>
      <c r="F432">
        <v>9</v>
      </c>
      <c r="G432">
        <v>0</v>
      </c>
      <c r="H432">
        <v>2</v>
      </c>
      <c r="I432">
        <v>1</v>
      </c>
      <c r="J432">
        <v>2015</v>
      </c>
      <c r="K432">
        <v>3</v>
      </c>
      <c r="L432">
        <v>276</v>
      </c>
      <c r="M432" t="s">
        <v>15</v>
      </c>
    </row>
    <row r="433" spans="1:13" x14ac:dyDescent="0.3">
      <c r="A433" s="1">
        <v>42072</v>
      </c>
      <c r="B433">
        <v>2</v>
      </c>
      <c r="C433">
        <v>3</v>
      </c>
      <c r="D433">
        <v>5</v>
      </c>
      <c r="E433">
        <v>32.700000000000003</v>
      </c>
      <c r="F433">
        <v>10</v>
      </c>
      <c r="G433">
        <v>0</v>
      </c>
      <c r="H433">
        <v>1</v>
      </c>
      <c r="I433">
        <v>1</v>
      </c>
      <c r="J433">
        <v>2015</v>
      </c>
      <c r="K433">
        <v>3</v>
      </c>
      <c r="L433">
        <v>276</v>
      </c>
      <c r="M433" t="s">
        <v>16</v>
      </c>
    </row>
    <row r="434" spans="1:13" x14ac:dyDescent="0.3">
      <c r="A434" s="1">
        <v>42073</v>
      </c>
      <c r="B434">
        <v>1.34</v>
      </c>
      <c r="C434">
        <v>3.66</v>
      </c>
      <c r="D434">
        <v>5</v>
      </c>
      <c r="E434">
        <v>40.4</v>
      </c>
      <c r="F434">
        <v>6</v>
      </c>
      <c r="G434">
        <v>0</v>
      </c>
      <c r="H434">
        <v>6</v>
      </c>
      <c r="I434">
        <v>3</v>
      </c>
      <c r="J434">
        <v>2015</v>
      </c>
      <c r="K434">
        <v>3</v>
      </c>
      <c r="L434">
        <v>276</v>
      </c>
      <c r="M434" t="s">
        <v>17</v>
      </c>
    </row>
    <row r="435" spans="1:13" x14ac:dyDescent="0.3">
      <c r="A435" s="1">
        <v>42074</v>
      </c>
      <c r="B435">
        <v>11</v>
      </c>
      <c r="C435">
        <v>5</v>
      </c>
      <c r="D435">
        <v>3.2</v>
      </c>
      <c r="E435">
        <v>32</v>
      </c>
      <c r="F435">
        <v>9</v>
      </c>
      <c r="G435">
        <v>0</v>
      </c>
      <c r="H435">
        <v>4</v>
      </c>
      <c r="I435">
        <v>0</v>
      </c>
      <c r="J435">
        <v>2015</v>
      </c>
      <c r="K435">
        <v>3</v>
      </c>
      <c r="L435">
        <v>276</v>
      </c>
      <c r="M435" t="s">
        <v>18</v>
      </c>
    </row>
    <row r="436" spans="1:13" x14ac:dyDescent="0.3">
      <c r="A436" s="1">
        <v>42075</v>
      </c>
      <c r="B436">
        <v>2.68</v>
      </c>
      <c r="C436">
        <v>6.3869999999999996</v>
      </c>
      <c r="D436">
        <v>6.1</v>
      </c>
      <c r="E436">
        <v>19</v>
      </c>
      <c r="F436">
        <v>5</v>
      </c>
      <c r="G436">
        <v>0</v>
      </c>
      <c r="H436">
        <v>2</v>
      </c>
      <c r="I436">
        <v>3</v>
      </c>
      <c r="J436">
        <v>2015</v>
      </c>
      <c r="K436">
        <v>3</v>
      </c>
      <c r="L436">
        <v>276</v>
      </c>
      <c r="M436" t="s">
        <v>12</v>
      </c>
    </row>
    <row r="437" spans="1:13" x14ac:dyDescent="0.3">
      <c r="A437" s="1">
        <v>42076</v>
      </c>
      <c r="B437">
        <v>4</v>
      </c>
      <c r="C437">
        <v>3.33</v>
      </c>
      <c r="D437">
        <v>6.7</v>
      </c>
      <c r="E437">
        <v>63.4</v>
      </c>
      <c r="F437">
        <v>11</v>
      </c>
      <c r="G437">
        <v>2</v>
      </c>
      <c r="H437">
        <v>1</v>
      </c>
      <c r="I437">
        <v>0</v>
      </c>
      <c r="J437">
        <v>2015</v>
      </c>
      <c r="K437">
        <v>3</v>
      </c>
      <c r="L437">
        <v>276</v>
      </c>
      <c r="M437" t="s">
        <v>13</v>
      </c>
    </row>
    <row r="438" spans="1:13" x14ac:dyDescent="0.3">
      <c r="A438" s="1">
        <v>42077</v>
      </c>
      <c r="B438">
        <v>2.66</v>
      </c>
      <c r="C438">
        <v>4.33</v>
      </c>
      <c r="D438">
        <v>4</v>
      </c>
      <c r="E438">
        <v>39.1</v>
      </c>
      <c r="F438">
        <v>9</v>
      </c>
      <c r="G438">
        <v>0</v>
      </c>
      <c r="H438">
        <v>9</v>
      </c>
      <c r="I438">
        <v>3</v>
      </c>
      <c r="J438">
        <v>2015</v>
      </c>
      <c r="K438">
        <v>3</v>
      </c>
      <c r="L438">
        <v>276</v>
      </c>
      <c r="M438" t="s">
        <v>14</v>
      </c>
    </row>
    <row r="439" spans="1:13" x14ac:dyDescent="0.3">
      <c r="A439" s="1">
        <v>42078</v>
      </c>
      <c r="B439">
        <v>3.34</v>
      </c>
      <c r="C439">
        <v>4.16</v>
      </c>
      <c r="D439">
        <v>3</v>
      </c>
      <c r="E439">
        <v>41</v>
      </c>
      <c r="F439">
        <v>3</v>
      </c>
      <c r="G439">
        <v>0</v>
      </c>
      <c r="H439">
        <v>12</v>
      </c>
      <c r="I439">
        <v>3</v>
      </c>
      <c r="J439">
        <v>2015</v>
      </c>
      <c r="K439">
        <v>3</v>
      </c>
      <c r="L439">
        <v>276</v>
      </c>
      <c r="M439" t="s">
        <v>15</v>
      </c>
    </row>
    <row r="440" spans="1:13" x14ac:dyDescent="0.3">
      <c r="A440" s="1">
        <v>42079</v>
      </c>
      <c r="B440">
        <v>8</v>
      </c>
      <c r="C440">
        <v>3.01</v>
      </c>
      <c r="D440">
        <v>4.9000000000000004</v>
      </c>
      <c r="E440">
        <v>46.8</v>
      </c>
      <c r="F440">
        <v>8</v>
      </c>
      <c r="G440">
        <v>0</v>
      </c>
      <c r="H440">
        <v>0</v>
      </c>
      <c r="I440">
        <v>1</v>
      </c>
      <c r="J440">
        <v>2015</v>
      </c>
      <c r="K440">
        <v>3</v>
      </c>
      <c r="L440">
        <v>276</v>
      </c>
      <c r="M440" t="s">
        <v>16</v>
      </c>
    </row>
    <row r="441" spans="1:13" x14ac:dyDescent="0.3">
      <c r="A441" s="1">
        <v>42080</v>
      </c>
      <c r="B441">
        <v>5</v>
      </c>
      <c r="C441">
        <v>3</v>
      </c>
      <c r="D441">
        <v>4.5999999999999996</v>
      </c>
      <c r="E441">
        <v>28.8</v>
      </c>
      <c r="F441">
        <v>9</v>
      </c>
      <c r="G441">
        <v>1</v>
      </c>
      <c r="H441">
        <v>2</v>
      </c>
      <c r="I441">
        <v>0</v>
      </c>
      <c r="J441">
        <v>2015</v>
      </c>
      <c r="K441">
        <v>3</v>
      </c>
      <c r="L441">
        <v>276</v>
      </c>
      <c r="M441" t="s">
        <v>17</v>
      </c>
    </row>
    <row r="442" spans="1:13" x14ac:dyDescent="0.3">
      <c r="A442" s="1">
        <v>42081</v>
      </c>
      <c r="B442">
        <v>7.33</v>
      </c>
      <c r="C442">
        <v>2</v>
      </c>
      <c r="D442">
        <v>5.3</v>
      </c>
      <c r="E442">
        <v>24.4</v>
      </c>
      <c r="F442">
        <v>5</v>
      </c>
      <c r="G442">
        <v>0</v>
      </c>
      <c r="H442">
        <v>20</v>
      </c>
      <c r="I442">
        <v>2</v>
      </c>
      <c r="J442">
        <v>2015</v>
      </c>
      <c r="K442">
        <v>3</v>
      </c>
      <c r="L442">
        <v>276</v>
      </c>
      <c r="M442" t="s">
        <v>18</v>
      </c>
    </row>
    <row r="443" spans="1:13" x14ac:dyDescent="0.3">
      <c r="A443" s="1">
        <v>42082</v>
      </c>
      <c r="B443">
        <v>2</v>
      </c>
      <c r="C443">
        <v>2.33</v>
      </c>
      <c r="D443">
        <v>1.5</v>
      </c>
      <c r="E443">
        <v>31</v>
      </c>
      <c r="F443">
        <v>7</v>
      </c>
      <c r="G443">
        <v>0</v>
      </c>
      <c r="H443">
        <v>15</v>
      </c>
      <c r="I443">
        <v>0</v>
      </c>
      <c r="J443">
        <v>2015</v>
      </c>
      <c r="K443">
        <v>3</v>
      </c>
      <c r="L443">
        <v>276</v>
      </c>
      <c r="M443" t="s">
        <v>12</v>
      </c>
    </row>
    <row r="444" spans="1:13" x14ac:dyDescent="0.3">
      <c r="A444" s="1">
        <v>42083</v>
      </c>
      <c r="B444">
        <v>1</v>
      </c>
      <c r="C444">
        <v>7</v>
      </c>
      <c r="D444">
        <v>3</v>
      </c>
      <c r="E444">
        <v>38.6</v>
      </c>
      <c r="F444">
        <v>13</v>
      </c>
      <c r="G444">
        <v>1</v>
      </c>
      <c r="H444">
        <v>5</v>
      </c>
      <c r="I444">
        <v>1</v>
      </c>
      <c r="J444">
        <v>2015</v>
      </c>
      <c r="K444">
        <v>3</v>
      </c>
      <c r="L444">
        <v>276</v>
      </c>
      <c r="M444" t="s">
        <v>13</v>
      </c>
    </row>
    <row r="445" spans="1:13" x14ac:dyDescent="0.3">
      <c r="A445" s="1">
        <v>42084</v>
      </c>
      <c r="B445">
        <v>10.33</v>
      </c>
      <c r="C445">
        <v>3.34</v>
      </c>
      <c r="D445">
        <v>3</v>
      </c>
      <c r="E445">
        <v>41.6</v>
      </c>
      <c r="F445">
        <v>4</v>
      </c>
      <c r="G445">
        <v>0</v>
      </c>
      <c r="H445">
        <v>6</v>
      </c>
      <c r="I445">
        <v>2</v>
      </c>
      <c r="J445">
        <v>2015</v>
      </c>
      <c r="K445">
        <v>3</v>
      </c>
      <c r="L445">
        <v>276</v>
      </c>
      <c r="M445" t="s">
        <v>14</v>
      </c>
    </row>
    <row r="446" spans="1:13" x14ac:dyDescent="0.3">
      <c r="A446" s="1">
        <v>42085</v>
      </c>
      <c r="B446">
        <v>8.34</v>
      </c>
      <c r="C446">
        <v>6.67</v>
      </c>
      <c r="D446">
        <v>2</v>
      </c>
      <c r="E446">
        <v>43.2</v>
      </c>
      <c r="F446">
        <v>9</v>
      </c>
      <c r="G446">
        <v>0</v>
      </c>
      <c r="H446">
        <v>10</v>
      </c>
      <c r="I446">
        <v>0</v>
      </c>
      <c r="J446">
        <v>2015</v>
      </c>
      <c r="K446">
        <v>3</v>
      </c>
      <c r="L446">
        <v>276</v>
      </c>
      <c r="M446" t="s">
        <v>15</v>
      </c>
    </row>
    <row r="447" spans="1:13" x14ac:dyDescent="0.3">
      <c r="A447" s="1">
        <v>42086</v>
      </c>
      <c r="B447">
        <v>2</v>
      </c>
      <c r="C447">
        <v>4.34</v>
      </c>
      <c r="D447">
        <v>7</v>
      </c>
      <c r="E447">
        <v>28</v>
      </c>
      <c r="F447">
        <v>5</v>
      </c>
      <c r="G447">
        <v>0</v>
      </c>
      <c r="H447">
        <v>0</v>
      </c>
      <c r="I447">
        <v>2</v>
      </c>
      <c r="J447">
        <v>2015</v>
      </c>
      <c r="K447">
        <v>3</v>
      </c>
      <c r="L447">
        <v>276</v>
      </c>
      <c r="M447" t="s">
        <v>16</v>
      </c>
    </row>
    <row r="448" spans="1:13" x14ac:dyDescent="0.3">
      <c r="A448" s="1">
        <v>42087</v>
      </c>
      <c r="B448">
        <v>4</v>
      </c>
      <c r="C448">
        <v>5.4720000000000004</v>
      </c>
      <c r="D448">
        <v>5.2</v>
      </c>
      <c r="E448">
        <v>22.4</v>
      </c>
      <c r="F448">
        <v>8</v>
      </c>
      <c r="G448">
        <v>2</v>
      </c>
      <c r="H448">
        <v>9</v>
      </c>
      <c r="I448">
        <v>4</v>
      </c>
      <c r="J448">
        <v>2015</v>
      </c>
      <c r="K448">
        <v>3</v>
      </c>
      <c r="L448">
        <v>276</v>
      </c>
      <c r="M448" t="s">
        <v>17</v>
      </c>
    </row>
    <row r="449" spans="1:13" x14ac:dyDescent="0.3">
      <c r="A449" s="1">
        <v>42088</v>
      </c>
      <c r="B449">
        <v>3.68</v>
      </c>
      <c r="C449">
        <v>8.66</v>
      </c>
      <c r="D449">
        <v>6.4</v>
      </c>
      <c r="E449">
        <v>17.600000000000001</v>
      </c>
      <c r="F449">
        <v>10</v>
      </c>
      <c r="G449">
        <v>2</v>
      </c>
      <c r="H449">
        <v>13</v>
      </c>
      <c r="I449">
        <v>1</v>
      </c>
      <c r="J449">
        <v>2015</v>
      </c>
      <c r="K449">
        <v>3</v>
      </c>
      <c r="L449">
        <v>276</v>
      </c>
      <c r="M449" t="s">
        <v>18</v>
      </c>
    </row>
    <row r="450" spans="1:13" x14ac:dyDescent="0.3">
      <c r="A450" s="1">
        <v>42089</v>
      </c>
      <c r="B450">
        <v>5</v>
      </c>
      <c r="C450">
        <v>1.7470000000000001</v>
      </c>
      <c r="D450">
        <v>3</v>
      </c>
      <c r="E450">
        <v>51.4</v>
      </c>
      <c r="F450">
        <v>10</v>
      </c>
      <c r="G450">
        <v>0</v>
      </c>
      <c r="H450">
        <v>6</v>
      </c>
      <c r="I450">
        <v>5</v>
      </c>
      <c r="J450">
        <v>2015</v>
      </c>
      <c r="K450">
        <v>3</v>
      </c>
      <c r="L450">
        <v>276</v>
      </c>
      <c r="M450" t="s">
        <v>12</v>
      </c>
    </row>
    <row r="451" spans="1:13" x14ac:dyDescent="0.3">
      <c r="A451" s="1">
        <v>42090</v>
      </c>
      <c r="B451">
        <v>3</v>
      </c>
      <c r="C451">
        <v>2.67</v>
      </c>
      <c r="D451">
        <v>2</v>
      </c>
      <c r="E451">
        <v>27</v>
      </c>
      <c r="F451">
        <v>3</v>
      </c>
      <c r="G451">
        <v>0</v>
      </c>
      <c r="H451">
        <v>22</v>
      </c>
      <c r="I451">
        <v>1</v>
      </c>
      <c r="J451">
        <v>2015</v>
      </c>
      <c r="K451">
        <v>3</v>
      </c>
      <c r="L451">
        <v>276</v>
      </c>
      <c r="M451" t="s">
        <v>13</v>
      </c>
    </row>
    <row r="452" spans="1:13" x14ac:dyDescent="0.3">
      <c r="A452" s="1">
        <v>42091</v>
      </c>
      <c r="B452">
        <v>1.33</v>
      </c>
      <c r="C452">
        <v>3.056</v>
      </c>
      <c r="D452">
        <v>3</v>
      </c>
      <c r="E452">
        <v>50.5</v>
      </c>
      <c r="F452">
        <v>6</v>
      </c>
      <c r="G452">
        <v>0</v>
      </c>
      <c r="H452">
        <v>0</v>
      </c>
      <c r="I452">
        <v>2</v>
      </c>
      <c r="J452">
        <v>2015</v>
      </c>
      <c r="K452">
        <v>3</v>
      </c>
      <c r="L452">
        <v>276</v>
      </c>
      <c r="M452" t="s">
        <v>14</v>
      </c>
    </row>
    <row r="453" spans="1:13" x14ac:dyDescent="0.3">
      <c r="A453" s="1">
        <v>42092</v>
      </c>
      <c r="B453">
        <v>6</v>
      </c>
      <c r="C453">
        <v>5.7270000000000003</v>
      </c>
      <c r="D453">
        <v>2.2999999999999998</v>
      </c>
      <c r="E453">
        <v>35.5</v>
      </c>
      <c r="F453">
        <v>7</v>
      </c>
      <c r="G453">
        <v>0</v>
      </c>
      <c r="H453">
        <v>8</v>
      </c>
      <c r="I453">
        <v>2</v>
      </c>
      <c r="J453">
        <v>2015</v>
      </c>
      <c r="K453">
        <v>3</v>
      </c>
      <c r="L453">
        <v>276</v>
      </c>
      <c r="M453" t="s">
        <v>15</v>
      </c>
    </row>
    <row r="454" spans="1:13" x14ac:dyDescent="0.3">
      <c r="A454" s="1">
        <v>42093</v>
      </c>
      <c r="B454">
        <v>6.33</v>
      </c>
      <c r="C454">
        <v>4.827</v>
      </c>
      <c r="D454">
        <v>10</v>
      </c>
      <c r="E454">
        <v>25.7</v>
      </c>
      <c r="F454">
        <v>4</v>
      </c>
      <c r="G454">
        <v>0</v>
      </c>
      <c r="H454">
        <v>0</v>
      </c>
      <c r="I454">
        <v>0</v>
      </c>
      <c r="J454">
        <v>2015</v>
      </c>
      <c r="K454">
        <v>3</v>
      </c>
      <c r="L454">
        <v>276</v>
      </c>
      <c r="M454" t="s">
        <v>16</v>
      </c>
    </row>
    <row r="455" spans="1:13" x14ac:dyDescent="0.3">
      <c r="A455" s="1">
        <v>42094</v>
      </c>
      <c r="B455">
        <v>5</v>
      </c>
      <c r="C455">
        <v>2</v>
      </c>
      <c r="D455">
        <v>11.2</v>
      </c>
      <c r="E455">
        <v>33.5</v>
      </c>
      <c r="F455">
        <v>5</v>
      </c>
      <c r="G455">
        <v>0</v>
      </c>
      <c r="H455">
        <v>2</v>
      </c>
      <c r="I455">
        <v>4</v>
      </c>
      <c r="J455">
        <v>2015</v>
      </c>
      <c r="K455">
        <v>3</v>
      </c>
      <c r="L455">
        <v>276</v>
      </c>
      <c r="M455" t="s">
        <v>17</v>
      </c>
    </row>
    <row r="456" spans="1:13" x14ac:dyDescent="0.3">
      <c r="A456" s="1">
        <v>42095</v>
      </c>
      <c r="B456">
        <v>6.34</v>
      </c>
      <c r="C456">
        <v>1.33</v>
      </c>
      <c r="D456">
        <v>1</v>
      </c>
      <c r="E456">
        <v>24.8</v>
      </c>
      <c r="F456">
        <v>7</v>
      </c>
      <c r="G456">
        <v>2</v>
      </c>
      <c r="H456">
        <v>5</v>
      </c>
      <c r="I456">
        <v>1</v>
      </c>
      <c r="J456">
        <v>2015</v>
      </c>
      <c r="K456">
        <v>4</v>
      </c>
      <c r="L456">
        <v>276</v>
      </c>
      <c r="M456" t="s">
        <v>18</v>
      </c>
    </row>
    <row r="457" spans="1:13" x14ac:dyDescent="0.3">
      <c r="A457" s="1">
        <v>42096</v>
      </c>
      <c r="B457">
        <v>5</v>
      </c>
      <c r="C457">
        <v>3.99</v>
      </c>
      <c r="D457">
        <v>5.4</v>
      </c>
      <c r="E457">
        <v>35.07</v>
      </c>
      <c r="F457">
        <v>3</v>
      </c>
      <c r="G457">
        <v>0</v>
      </c>
      <c r="H457">
        <v>3</v>
      </c>
      <c r="I457">
        <v>5</v>
      </c>
      <c r="J457">
        <v>2015</v>
      </c>
      <c r="K457">
        <v>4</v>
      </c>
      <c r="L457">
        <v>276</v>
      </c>
      <c r="M457" t="s">
        <v>12</v>
      </c>
    </row>
    <row r="458" spans="1:13" x14ac:dyDescent="0.3">
      <c r="A458" s="1">
        <v>42097</v>
      </c>
      <c r="B458">
        <v>5.33</v>
      </c>
      <c r="C458">
        <v>2.3199999999999998</v>
      </c>
      <c r="D458">
        <v>4</v>
      </c>
      <c r="E458">
        <v>34.200000000000003</v>
      </c>
      <c r="F458">
        <v>12</v>
      </c>
      <c r="G458">
        <v>0</v>
      </c>
      <c r="H458">
        <v>0</v>
      </c>
      <c r="I458">
        <v>4</v>
      </c>
      <c r="J458">
        <v>2015</v>
      </c>
      <c r="K458">
        <v>4</v>
      </c>
      <c r="L458">
        <v>276</v>
      </c>
      <c r="M458" t="s">
        <v>13</v>
      </c>
    </row>
    <row r="459" spans="1:13" x14ac:dyDescent="0.3">
      <c r="A459" s="1">
        <v>42098</v>
      </c>
      <c r="B459">
        <v>3.67</v>
      </c>
      <c r="C459">
        <v>4.33</v>
      </c>
      <c r="D459">
        <v>6</v>
      </c>
      <c r="E459">
        <v>43</v>
      </c>
      <c r="F459">
        <v>7</v>
      </c>
      <c r="G459">
        <v>1</v>
      </c>
      <c r="H459">
        <v>5</v>
      </c>
      <c r="I459">
        <v>6</v>
      </c>
      <c r="J459">
        <v>2015</v>
      </c>
      <c r="K459">
        <v>4</v>
      </c>
      <c r="L459">
        <v>276</v>
      </c>
      <c r="M459" t="s">
        <v>14</v>
      </c>
    </row>
    <row r="460" spans="1:13" x14ac:dyDescent="0.3">
      <c r="A460" s="1">
        <v>42099</v>
      </c>
      <c r="B460">
        <v>3.34</v>
      </c>
      <c r="C460">
        <v>5.01</v>
      </c>
      <c r="D460">
        <v>4.5</v>
      </c>
      <c r="E460">
        <v>31.6</v>
      </c>
      <c r="F460">
        <v>4</v>
      </c>
      <c r="G460">
        <v>0</v>
      </c>
      <c r="H460">
        <v>0</v>
      </c>
      <c r="I460">
        <v>1</v>
      </c>
      <c r="J460">
        <v>2015</v>
      </c>
      <c r="K460">
        <v>4</v>
      </c>
      <c r="L460">
        <v>276</v>
      </c>
      <c r="M460" t="s">
        <v>15</v>
      </c>
    </row>
    <row r="461" spans="1:13" x14ac:dyDescent="0.3">
      <c r="A461" s="1">
        <v>42100</v>
      </c>
      <c r="B461">
        <v>7.33</v>
      </c>
      <c r="C461">
        <v>3.33</v>
      </c>
      <c r="D461">
        <v>5.3</v>
      </c>
      <c r="E461">
        <v>32.9</v>
      </c>
      <c r="F461">
        <v>4</v>
      </c>
      <c r="G461">
        <v>0</v>
      </c>
      <c r="H461">
        <v>3</v>
      </c>
      <c r="I461">
        <v>2</v>
      </c>
      <c r="J461">
        <v>2015</v>
      </c>
      <c r="K461">
        <v>4</v>
      </c>
      <c r="L461">
        <v>276</v>
      </c>
      <c r="M461" t="s">
        <v>16</v>
      </c>
    </row>
    <row r="462" spans="1:13" x14ac:dyDescent="0.3">
      <c r="A462" s="1">
        <v>42101</v>
      </c>
      <c r="B462">
        <v>6</v>
      </c>
      <c r="C462">
        <v>3.66</v>
      </c>
      <c r="D462">
        <v>6.7</v>
      </c>
      <c r="E462">
        <v>25</v>
      </c>
      <c r="F462">
        <v>8</v>
      </c>
      <c r="G462">
        <v>0</v>
      </c>
      <c r="H462">
        <v>8</v>
      </c>
      <c r="I462">
        <v>1</v>
      </c>
      <c r="J462">
        <v>2015</v>
      </c>
      <c r="K462">
        <v>4</v>
      </c>
      <c r="L462">
        <v>276</v>
      </c>
      <c r="M462" t="s">
        <v>17</v>
      </c>
    </row>
    <row r="463" spans="1:13" x14ac:dyDescent="0.3">
      <c r="A463" s="1">
        <v>42102</v>
      </c>
      <c r="B463">
        <v>4</v>
      </c>
      <c r="C463">
        <v>2.33</v>
      </c>
      <c r="D463">
        <v>3</v>
      </c>
      <c r="E463">
        <v>18</v>
      </c>
      <c r="F463">
        <v>11</v>
      </c>
      <c r="G463">
        <v>0</v>
      </c>
      <c r="H463">
        <v>10</v>
      </c>
      <c r="I463">
        <v>4</v>
      </c>
      <c r="J463">
        <v>2015</v>
      </c>
      <c r="K463">
        <v>4</v>
      </c>
      <c r="L463">
        <v>276</v>
      </c>
      <c r="M463" t="s">
        <v>18</v>
      </c>
    </row>
    <row r="464" spans="1:13" x14ac:dyDescent="0.3">
      <c r="A464" s="1">
        <v>42103</v>
      </c>
      <c r="B464">
        <v>1.33</v>
      </c>
      <c r="C464">
        <v>6</v>
      </c>
      <c r="D464">
        <v>8</v>
      </c>
      <c r="E464">
        <v>22.2</v>
      </c>
      <c r="F464">
        <v>8</v>
      </c>
      <c r="G464">
        <v>0</v>
      </c>
      <c r="H464">
        <v>6</v>
      </c>
      <c r="I464">
        <v>1</v>
      </c>
      <c r="J464">
        <v>2015</v>
      </c>
      <c r="K464">
        <v>4</v>
      </c>
      <c r="L464">
        <v>276</v>
      </c>
      <c r="M464" t="s">
        <v>12</v>
      </c>
    </row>
    <row r="465" spans="1:13" x14ac:dyDescent="0.3">
      <c r="A465" s="1">
        <v>42104</v>
      </c>
      <c r="B465">
        <v>9.84</v>
      </c>
      <c r="C465">
        <v>6.5049999999999999</v>
      </c>
      <c r="D465">
        <v>4</v>
      </c>
      <c r="E465">
        <v>65.599999999999994</v>
      </c>
      <c r="F465">
        <v>5</v>
      </c>
      <c r="G465">
        <v>2</v>
      </c>
      <c r="H465">
        <v>8</v>
      </c>
      <c r="I465">
        <v>5</v>
      </c>
      <c r="J465">
        <v>2015</v>
      </c>
      <c r="K465">
        <v>4</v>
      </c>
      <c r="L465">
        <v>276</v>
      </c>
      <c r="M465" t="s">
        <v>13</v>
      </c>
    </row>
    <row r="466" spans="1:13" x14ac:dyDescent="0.3">
      <c r="A466" s="1">
        <v>42105</v>
      </c>
      <c r="B466">
        <v>11.68</v>
      </c>
      <c r="C466">
        <v>3</v>
      </c>
      <c r="D466">
        <v>3.4</v>
      </c>
      <c r="E466">
        <v>26</v>
      </c>
      <c r="F466">
        <v>9</v>
      </c>
      <c r="G466">
        <v>0</v>
      </c>
      <c r="H466">
        <v>5</v>
      </c>
      <c r="I466">
        <v>6</v>
      </c>
      <c r="J466">
        <v>2015</v>
      </c>
      <c r="K466">
        <v>4</v>
      </c>
      <c r="L466">
        <v>276</v>
      </c>
      <c r="M466" t="s">
        <v>14</v>
      </c>
    </row>
    <row r="467" spans="1:13" x14ac:dyDescent="0.3">
      <c r="A467" s="1">
        <v>42106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2015</v>
      </c>
      <c r="K467">
        <v>4</v>
      </c>
      <c r="L467">
        <v>276</v>
      </c>
      <c r="M467" t="s">
        <v>15</v>
      </c>
    </row>
    <row r="468" spans="1:13" x14ac:dyDescent="0.3">
      <c r="A468" s="1">
        <v>42107</v>
      </c>
      <c r="B468">
        <v>6.67</v>
      </c>
      <c r="C468">
        <v>1.34</v>
      </c>
      <c r="D468">
        <v>7</v>
      </c>
      <c r="E468">
        <v>25.2</v>
      </c>
      <c r="F468">
        <v>5</v>
      </c>
      <c r="G468">
        <v>0</v>
      </c>
      <c r="H468">
        <v>3</v>
      </c>
      <c r="I468">
        <v>7</v>
      </c>
      <c r="J468">
        <v>2015</v>
      </c>
      <c r="K468">
        <v>4</v>
      </c>
      <c r="L468">
        <v>276</v>
      </c>
      <c r="M468" t="s">
        <v>16</v>
      </c>
    </row>
    <row r="469" spans="1:13" x14ac:dyDescent="0.3">
      <c r="A469" s="1">
        <v>42108</v>
      </c>
      <c r="B469">
        <v>4.66</v>
      </c>
      <c r="C469">
        <v>6.01</v>
      </c>
      <c r="D469">
        <v>7</v>
      </c>
      <c r="E469">
        <v>41.8</v>
      </c>
      <c r="F469">
        <v>5</v>
      </c>
      <c r="G469">
        <v>0</v>
      </c>
      <c r="H469">
        <v>5</v>
      </c>
      <c r="I469">
        <v>2</v>
      </c>
      <c r="J469">
        <v>2015</v>
      </c>
      <c r="K469">
        <v>4</v>
      </c>
      <c r="L469">
        <v>276</v>
      </c>
      <c r="M469" t="s">
        <v>17</v>
      </c>
    </row>
    <row r="470" spans="1:13" x14ac:dyDescent="0.3">
      <c r="A470" s="1">
        <v>42109</v>
      </c>
      <c r="B470">
        <v>2</v>
      </c>
      <c r="C470">
        <v>2.33</v>
      </c>
      <c r="D470">
        <v>3</v>
      </c>
      <c r="E470">
        <v>29.25</v>
      </c>
      <c r="F470">
        <v>15</v>
      </c>
      <c r="G470">
        <v>0</v>
      </c>
      <c r="H470">
        <v>0</v>
      </c>
      <c r="I470">
        <v>2</v>
      </c>
      <c r="J470">
        <v>2015</v>
      </c>
      <c r="K470">
        <v>4</v>
      </c>
      <c r="L470">
        <v>276</v>
      </c>
      <c r="M470" t="s">
        <v>18</v>
      </c>
    </row>
    <row r="471" spans="1:13" x14ac:dyDescent="0.3">
      <c r="A471" s="1">
        <v>42110</v>
      </c>
      <c r="B471">
        <v>2.34</v>
      </c>
      <c r="C471">
        <v>1</v>
      </c>
      <c r="D471">
        <v>7.2</v>
      </c>
      <c r="E471">
        <v>30.6</v>
      </c>
      <c r="F471">
        <v>7</v>
      </c>
      <c r="G471">
        <v>0</v>
      </c>
      <c r="H471">
        <v>9</v>
      </c>
      <c r="I471">
        <v>4</v>
      </c>
      <c r="J471">
        <v>2015</v>
      </c>
      <c r="K471">
        <v>4</v>
      </c>
      <c r="L471">
        <v>276</v>
      </c>
      <c r="M471" t="s">
        <v>12</v>
      </c>
    </row>
    <row r="472" spans="1:13" x14ac:dyDescent="0.3">
      <c r="A472" s="1">
        <v>42111</v>
      </c>
      <c r="B472">
        <v>9.33</v>
      </c>
      <c r="C472">
        <v>3.66</v>
      </c>
      <c r="D472">
        <v>3</v>
      </c>
      <c r="E472">
        <v>29.65</v>
      </c>
      <c r="F472">
        <v>6</v>
      </c>
      <c r="G472">
        <v>0</v>
      </c>
      <c r="H472">
        <v>1</v>
      </c>
      <c r="I472">
        <v>5</v>
      </c>
      <c r="J472">
        <v>2015</v>
      </c>
      <c r="K472">
        <v>4</v>
      </c>
      <c r="L472">
        <v>276</v>
      </c>
      <c r="M472" t="s">
        <v>13</v>
      </c>
    </row>
    <row r="473" spans="1:13" x14ac:dyDescent="0.3">
      <c r="A473" s="1">
        <v>42112</v>
      </c>
      <c r="B473">
        <v>7.33</v>
      </c>
      <c r="C473">
        <v>3</v>
      </c>
      <c r="D473">
        <v>1</v>
      </c>
      <c r="E473">
        <v>31.3</v>
      </c>
      <c r="F473">
        <v>1</v>
      </c>
      <c r="G473">
        <v>0</v>
      </c>
      <c r="H473">
        <v>1</v>
      </c>
      <c r="I473">
        <v>4</v>
      </c>
      <c r="J473">
        <v>2015</v>
      </c>
      <c r="K473">
        <v>4</v>
      </c>
      <c r="L473">
        <v>276</v>
      </c>
      <c r="M473" t="s">
        <v>14</v>
      </c>
    </row>
    <row r="474" spans="1:13" x14ac:dyDescent="0.3">
      <c r="A474" s="1">
        <v>42113</v>
      </c>
      <c r="B474">
        <v>9.32</v>
      </c>
      <c r="C474">
        <v>5.5279999999999996</v>
      </c>
      <c r="D474">
        <v>3.8</v>
      </c>
      <c r="E474">
        <v>36.5</v>
      </c>
      <c r="F474">
        <v>3</v>
      </c>
      <c r="G474">
        <v>0</v>
      </c>
      <c r="H474">
        <v>0</v>
      </c>
      <c r="I474">
        <v>2</v>
      </c>
      <c r="J474">
        <v>2015</v>
      </c>
      <c r="K474">
        <v>4</v>
      </c>
      <c r="L474">
        <v>276</v>
      </c>
      <c r="M474" t="s">
        <v>15</v>
      </c>
    </row>
    <row r="475" spans="1:13" x14ac:dyDescent="0.3">
      <c r="A475" s="1">
        <v>42114</v>
      </c>
      <c r="B475">
        <v>3</v>
      </c>
      <c r="C475">
        <v>5.0430000000000001</v>
      </c>
      <c r="D475">
        <v>3.7</v>
      </c>
      <c r="E475">
        <v>38</v>
      </c>
      <c r="F475">
        <v>13</v>
      </c>
      <c r="G475">
        <v>0</v>
      </c>
      <c r="H475">
        <v>1</v>
      </c>
      <c r="I475">
        <v>3</v>
      </c>
      <c r="J475">
        <v>2015</v>
      </c>
      <c r="K475">
        <v>4</v>
      </c>
      <c r="L475">
        <v>276</v>
      </c>
      <c r="M475" t="s">
        <v>16</v>
      </c>
    </row>
    <row r="476" spans="1:13" x14ac:dyDescent="0.3">
      <c r="A476" s="1">
        <v>42115</v>
      </c>
      <c r="B476">
        <v>6.33</v>
      </c>
      <c r="C476">
        <v>1</v>
      </c>
      <c r="D476">
        <v>2</v>
      </c>
      <c r="E476">
        <v>35.200000000000003</v>
      </c>
      <c r="F476">
        <v>9</v>
      </c>
      <c r="G476">
        <v>0</v>
      </c>
      <c r="H476">
        <v>0</v>
      </c>
      <c r="I476">
        <v>6</v>
      </c>
      <c r="J476">
        <v>2015</v>
      </c>
      <c r="K476">
        <v>4</v>
      </c>
      <c r="L476">
        <v>276</v>
      </c>
      <c r="M476" t="s">
        <v>17</v>
      </c>
    </row>
    <row r="477" spans="1:13" x14ac:dyDescent="0.3">
      <c r="A477" s="1">
        <v>42116</v>
      </c>
      <c r="B477">
        <v>1.33</v>
      </c>
      <c r="C477">
        <v>4.6269999999999998</v>
      </c>
      <c r="D477">
        <v>3.2</v>
      </c>
      <c r="E477">
        <v>32</v>
      </c>
      <c r="F477">
        <v>3</v>
      </c>
      <c r="G477">
        <v>0</v>
      </c>
      <c r="H477">
        <v>1</v>
      </c>
      <c r="I477">
        <v>2</v>
      </c>
      <c r="J477">
        <v>2015</v>
      </c>
      <c r="K477">
        <v>4</v>
      </c>
      <c r="L477">
        <v>276</v>
      </c>
      <c r="M477" t="s">
        <v>18</v>
      </c>
    </row>
    <row r="478" spans="1:13" x14ac:dyDescent="0.3">
      <c r="A478" s="1">
        <v>42117</v>
      </c>
      <c r="B478">
        <v>4</v>
      </c>
      <c r="C478">
        <v>1</v>
      </c>
      <c r="D478">
        <v>1</v>
      </c>
      <c r="E478">
        <v>28.2</v>
      </c>
      <c r="F478">
        <v>8</v>
      </c>
      <c r="G478">
        <v>0</v>
      </c>
      <c r="H478">
        <v>1</v>
      </c>
      <c r="I478">
        <v>4</v>
      </c>
      <c r="J478">
        <v>2015</v>
      </c>
      <c r="K478">
        <v>4</v>
      </c>
      <c r="L478">
        <v>276</v>
      </c>
      <c r="M478" t="s">
        <v>12</v>
      </c>
    </row>
    <row r="479" spans="1:13" x14ac:dyDescent="0.3">
      <c r="A479" s="1">
        <v>42118</v>
      </c>
      <c r="B479">
        <v>10</v>
      </c>
      <c r="C479">
        <v>1</v>
      </c>
      <c r="D479">
        <v>4</v>
      </c>
      <c r="E479">
        <v>30</v>
      </c>
      <c r="F479">
        <v>5</v>
      </c>
      <c r="G479">
        <v>0</v>
      </c>
      <c r="H479">
        <v>1</v>
      </c>
      <c r="I479">
        <v>5</v>
      </c>
      <c r="J479">
        <v>2015</v>
      </c>
      <c r="K479">
        <v>4</v>
      </c>
      <c r="L479">
        <v>276</v>
      </c>
      <c r="M479" t="s">
        <v>13</v>
      </c>
    </row>
    <row r="480" spans="1:13" x14ac:dyDescent="0.3">
      <c r="A480" s="1">
        <v>42119</v>
      </c>
      <c r="B480">
        <v>5</v>
      </c>
      <c r="C480">
        <v>3.165</v>
      </c>
      <c r="D480">
        <v>8</v>
      </c>
      <c r="E480">
        <v>38.1</v>
      </c>
      <c r="F480">
        <v>3</v>
      </c>
      <c r="G480">
        <v>0</v>
      </c>
      <c r="H480">
        <v>1</v>
      </c>
      <c r="I480">
        <v>3</v>
      </c>
      <c r="J480">
        <v>2015</v>
      </c>
      <c r="K480">
        <v>4</v>
      </c>
      <c r="L480">
        <v>276</v>
      </c>
      <c r="M480" t="s">
        <v>14</v>
      </c>
    </row>
    <row r="481" spans="1:13" x14ac:dyDescent="0.3">
      <c r="A481" s="1">
        <v>42120</v>
      </c>
      <c r="B481">
        <v>7</v>
      </c>
      <c r="C481">
        <v>6</v>
      </c>
      <c r="D481">
        <v>3</v>
      </c>
      <c r="E481">
        <v>37.6</v>
      </c>
      <c r="F481">
        <v>5</v>
      </c>
      <c r="G481">
        <v>0</v>
      </c>
      <c r="H481">
        <v>1</v>
      </c>
      <c r="I481">
        <v>1</v>
      </c>
      <c r="J481">
        <v>2015</v>
      </c>
      <c r="K481">
        <v>4</v>
      </c>
      <c r="L481">
        <v>276</v>
      </c>
      <c r="M481" t="s">
        <v>15</v>
      </c>
    </row>
    <row r="482" spans="1:13" x14ac:dyDescent="0.3">
      <c r="A482" s="1">
        <v>42121</v>
      </c>
      <c r="B482">
        <v>3</v>
      </c>
      <c r="C482">
        <v>0.78</v>
      </c>
      <c r="D482">
        <v>4</v>
      </c>
      <c r="E482">
        <v>43</v>
      </c>
      <c r="F482">
        <v>10</v>
      </c>
      <c r="G482">
        <v>0</v>
      </c>
      <c r="H482">
        <v>0</v>
      </c>
      <c r="I482">
        <v>10</v>
      </c>
      <c r="J482">
        <v>2015</v>
      </c>
      <c r="K482">
        <v>4</v>
      </c>
      <c r="L482">
        <v>276</v>
      </c>
      <c r="M482" t="s">
        <v>16</v>
      </c>
    </row>
    <row r="483" spans="1:13" x14ac:dyDescent="0.3">
      <c r="A483" s="1">
        <v>42122</v>
      </c>
      <c r="B483">
        <v>4.33</v>
      </c>
      <c r="C483">
        <v>4.67</v>
      </c>
      <c r="D483">
        <v>3.1</v>
      </c>
      <c r="E483">
        <v>15.2</v>
      </c>
      <c r="F483">
        <v>7</v>
      </c>
      <c r="G483">
        <v>0</v>
      </c>
      <c r="H483">
        <v>5</v>
      </c>
      <c r="I483">
        <v>6</v>
      </c>
      <c r="J483">
        <v>2015</v>
      </c>
      <c r="K483">
        <v>4</v>
      </c>
      <c r="L483">
        <v>276</v>
      </c>
      <c r="M483" t="s">
        <v>17</v>
      </c>
    </row>
    <row r="484" spans="1:13" x14ac:dyDescent="0.3">
      <c r="A484" s="1">
        <v>42123</v>
      </c>
      <c r="B484">
        <v>2</v>
      </c>
      <c r="C484">
        <v>0.43</v>
      </c>
      <c r="D484">
        <v>4.2</v>
      </c>
      <c r="E484">
        <v>27.6</v>
      </c>
      <c r="F484">
        <v>2</v>
      </c>
      <c r="G484">
        <v>0</v>
      </c>
      <c r="H484">
        <v>11</v>
      </c>
      <c r="I484">
        <v>3</v>
      </c>
      <c r="J484">
        <v>2015</v>
      </c>
      <c r="K484">
        <v>4</v>
      </c>
      <c r="L484">
        <v>276</v>
      </c>
      <c r="M484" t="s">
        <v>18</v>
      </c>
    </row>
    <row r="485" spans="1:13" x14ac:dyDescent="0.3">
      <c r="A485" s="1">
        <v>42124</v>
      </c>
      <c r="B485">
        <v>3</v>
      </c>
      <c r="C485">
        <v>8.7270000000000003</v>
      </c>
      <c r="D485">
        <v>2.6</v>
      </c>
      <c r="E485">
        <v>32.6</v>
      </c>
      <c r="F485">
        <v>7</v>
      </c>
      <c r="G485">
        <v>0</v>
      </c>
      <c r="H485">
        <v>3</v>
      </c>
      <c r="I485">
        <v>7</v>
      </c>
      <c r="J485">
        <v>2015</v>
      </c>
      <c r="K485">
        <v>4</v>
      </c>
      <c r="L485">
        <v>276</v>
      </c>
      <c r="M485" t="s">
        <v>12</v>
      </c>
    </row>
    <row r="486" spans="1:13" x14ac:dyDescent="0.3">
      <c r="A486" s="1">
        <v>42125</v>
      </c>
      <c r="B486">
        <v>5.34</v>
      </c>
      <c r="C486">
        <v>1.68</v>
      </c>
      <c r="D486">
        <v>4.9400000000000004</v>
      </c>
      <c r="E486">
        <v>11.4</v>
      </c>
      <c r="F486">
        <v>4</v>
      </c>
      <c r="G486">
        <v>0</v>
      </c>
      <c r="H486">
        <v>0</v>
      </c>
      <c r="I486">
        <v>4.7</v>
      </c>
      <c r="J486">
        <v>2015</v>
      </c>
      <c r="K486">
        <v>5</v>
      </c>
      <c r="L486">
        <v>276</v>
      </c>
      <c r="M486" t="s">
        <v>13</v>
      </c>
    </row>
    <row r="487" spans="1:13" x14ac:dyDescent="0.3">
      <c r="A487" s="1">
        <v>42126</v>
      </c>
      <c r="B487">
        <v>5</v>
      </c>
      <c r="C487">
        <v>3.66</v>
      </c>
      <c r="D487">
        <v>3</v>
      </c>
      <c r="E487">
        <v>47.8</v>
      </c>
      <c r="F487">
        <v>6</v>
      </c>
      <c r="G487">
        <v>2</v>
      </c>
      <c r="H487">
        <v>0</v>
      </c>
      <c r="I487">
        <v>5</v>
      </c>
      <c r="J487">
        <v>2015</v>
      </c>
      <c r="K487">
        <v>5</v>
      </c>
      <c r="L487">
        <v>276</v>
      </c>
      <c r="M487" t="s">
        <v>14</v>
      </c>
    </row>
    <row r="488" spans="1:13" x14ac:dyDescent="0.3">
      <c r="A488" s="1">
        <v>42127</v>
      </c>
      <c r="B488">
        <v>6.67</v>
      </c>
      <c r="C488">
        <v>1.0660000000000001</v>
      </c>
      <c r="D488">
        <v>2.1</v>
      </c>
      <c r="E488">
        <v>19.2</v>
      </c>
      <c r="F488">
        <v>4</v>
      </c>
      <c r="G488">
        <v>0</v>
      </c>
      <c r="H488">
        <v>1</v>
      </c>
      <c r="I488">
        <v>6</v>
      </c>
      <c r="J488">
        <v>2015</v>
      </c>
      <c r="K488">
        <v>5</v>
      </c>
      <c r="L488">
        <v>276</v>
      </c>
      <c r="M488" t="s">
        <v>15</v>
      </c>
    </row>
    <row r="489" spans="1:13" x14ac:dyDescent="0.3">
      <c r="A489" s="1">
        <v>42128</v>
      </c>
      <c r="B489">
        <v>4</v>
      </c>
      <c r="C489">
        <v>4.7229999999999999</v>
      </c>
      <c r="D489">
        <v>8.6</v>
      </c>
      <c r="E489">
        <v>36</v>
      </c>
      <c r="F489">
        <v>5</v>
      </c>
      <c r="G489">
        <v>1</v>
      </c>
      <c r="H489">
        <v>10</v>
      </c>
      <c r="I489">
        <v>3.3</v>
      </c>
      <c r="J489">
        <v>2015</v>
      </c>
      <c r="K489">
        <v>5</v>
      </c>
      <c r="L489">
        <v>276</v>
      </c>
      <c r="M489" t="s">
        <v>16</v>
      </c>
    </row>
    <row r="490" spans="1:13" x14ac:dyDescent="0.3">
      <c r="A490" s="1">
        <v>42129</v>
      </c>
      <c r="B490">
        <v>3.34</v>
      </c>
      <c r="C490">
        <v>3.4620000000000002</v>
      </c>
      <c r="D490">
        <v>2</v>
      </c>
      <c r="E490">
        <v>19</v>
      </c>
      <c r="F490">
        <v>6</v>
      </c>
      <c r="G490">
        <v>0</v>
      </c>
      <c r="H490">
        <v>5</v>
      </c>
      <c r="I490">
        <v>2.5</v>
      </c>
      <c r="J490">
        <v>2015</v>
      </c>
      <c r="K490">
        <v>5</v>
      </c>
      <c r="L490">
        <v>276</v>
      </c>
      <c r="M490" t="s">
        <v>17</v>
      </c>
    </row>
    <row r="491" spans="1:13" x14ac:dyDescent="0.3">
      <c r="A491" s="1">
        <v>42130</v>
      </c>
      <c r="B491">
        <v>4.66</v>
      </c>
      <c r="C491">
        <v>6.4969999999999999</v>
      </c>
      <c r="D491">
        <v>2</v>
      </c>
      <c r="E491">
        <v>40.200000000000003</v>
      </c>
      <c r="F491">
        <v>11</v>
      </c>
      <c r="G491">
        <v>0</v>
      </c>
      <c r="H491">
        <v>0</v>
      </c>
      <c r="I491">
        <v>6</v>
      </c>
      <c r="J491">
        <v>2015</v>
      </c>
      <c r="K491">
        <v>5</v>
      </c>
      <c r="L491">
        <v>276</v>
      </c>
      <c r="M491" t="s">
        <v>18</v>
      </c>
    </row>
    <row r="492" spans="1:13" x14ac:dyDescent="0.3">
      <c r="A492" s="1">
        <v>42131</v>
      </c>
      <c r="B492">
        <v>2</v>
      </c>
      <c r="C492">
        <v>3.34</v>
      </c>
      <c r="D492">
        <v>2</v>
      </c>
      <c r="E492">
        <v>21</v>
      </c>
      <c r="F492">
        <v>4</v>
      </c>
      <c r="G492">
        <v>1</v>
      </c>
      <c r="H492">
        <v>5</v>
      </c>
      <c r="I492">
        <v>10</v>
      </c>
      <c r="J492">
        <v>2015</v>
      </c>
      <c r="K492">
        <v>5</v>
      </c>
      <c r="L492">
        <v>276</v>
      </c>
      <c r="M492" t="s">
        <v>12</v>
      </c>
    </row>
    <row r="493" spans="1:13" x14ac:dyDescent="0.3">
      <c r="A493" s="1">
        <v>42132</v>
      </c>
      <c r="B493">
        <v>1</v>
      </c>
      <c r="C493">
        <v>6.34</v>
      </c>
      <c r="D493">
        <v>5</v>
      </c>
      <c r="E493">
        <v>16</v>
      </c>
      <c r="F493">
        <v>8</v>
      </c>
      <c r="G493">
        <v>0</v>
      </c>
      <c r="H493">
        <v>4</v>
      </c>
      <c r="I493">
        <v>1</v>
      </c>
      <c r="J493">
        <v>2015</v>
      </c>
      <c r="K493">
        <v>5</v>
      </c>
      <c r="L493">
        <v>276</v>
      </c>
      <c r="M493" t="s">
        <v>13</v>
      </c>
    </row>
    <row r="494" spans="1:13" x14ac:dyDescent="0.3">
      <c r="A494" s="1">
        <v>42133</v>
      </c>
      <c r="B494">
        <v>3.66</v>
      </c>
      <c r="C494">
        <v>4.34</v>
      </c>
      <c r="D494">
        <v>7.4</v>
      </c>
      <c r="E494">
        <v>21</v>
      </c>
      <c r="F494">
        <v>11</v>
      </c>
      <c r="G494">
        <v>1</v>
      </c>
      <c r="H494">
        <v>1</v>
      </c>
      <c r="I494">
        <v>6</v>
      </c>
      <c r="J494">
        <v>2015</v>
      </c>
      <c r="K494">
        <v>5</v>
      </c>
      <c r="L494">
        <v>276</v>
      </c>
      <c r="M494" t="s">
        <v>14</v>
      </c>
    </row>
    <row r="495" spans="1:13" x14ac:dyDescent="0.3">
      <c r="A495" s="1">
        <v>42134</v>
      </c>
      <c r="B495">
        <v>3.34</v>
      </c>
      <c r="C495">
        <v>5.4269999999999996</v>
      </c>
      <c r="D495">
        <v>3.8</v>
      </c>
      <c r="E495">
        <v>13</v>
      </c>
      <c r="F495">
        <v>3</v>
      </c>
      <c r="G495">
        <v>0</v>
      </c>
      <c r="H495">
        <v>1</v>
      </c>
      <c r="I495">
        <v>10</v>
      </c>
      <c r="J495">
        <v>2015</v>
      </c>
      <c r="K495">
        <v>5</v>
      </c>
      <c r="L495">
        <v>276</v>
      </c>
      <c r="M495" t="s">
        <v>15</v>
      </c>
    </row>
    <row r="496" spans="1:13" x14ac:dyDescent="0.3">
      <c r="A496" s="1">
        <v>42135</v>
      </c>
      <c r="B496">
        <v>3.33</v>
      </c>
      <c r="C496">
        <v>6.66</v>
      </c>
      <c r="D496">
        <v>5.9</v>
      </c>
      <c r="E496">
        <v>21</v>
      </c>
      <c r="F496">
        <v>3</v>
      </c>
      <c r="G496">
        <v>0</v>
      </c>
      <c r="H496">
        <v>6</v>
      </c>
      <c r="I496">
        <v>4</v>
      </c>
      <c r="J496">
        <v>2015</v>
      </c>
      <c r="K496">
        <v>5</v>
      </c>
      <c r="L496">
        <v>276</v>
      </c>
      <c r="M496" t="s">
        <v>16</v>
      </c>
    </row>
    <row r="497" spans="1:13" x14ac:dyDescent="0.3">
      <c r="A497" s="1">
        <v>42136</v>
      </c>
      <c r="B497">
        <v>7.33</v>
      </c>
      <c r="C497">
        <v>1.99</v>
      </c>
      <c r="D497">
        <v>8.1999999999999993</v>
      </c>
      <c r="E497">
        <v>22.95</v>
      </c>
      <c r="F497">
        <v>13</v>
      </c>
      <c r="G497">
        <v>0</v>
      </c>
      <c r="H497">
        <v>0</v>
      </c>
      <c r="I497">
        <v>8</v>
      </c>
      <c r="J497">
        <v>2015</v>
      </c>
      <c r="K497">
        <v>5</v>
      </c>
      <c r="L497">
        <v>276</v>
      </c>
      <c r="M497" t="s">
        <v>17</v>
      </c>
    </row>
    <row r="498" spans="1:13" x14ac:dyDescent="0.3">
      <c r="A498" s="1">
        <v>42137</v>
      </c>
      <c r="B498">
        <v>8</v>
      </c>
      <c r="C498">
        <v>3.44</v>
      </c>
      <c r="D498">
        <v>9</v>
      </c>
      <c r="E498">
        <v>28.4</v>
      </c>
      <c r="F498">
        <v>5</v>
      </c>
      <c r="G498">
        <v>0</v>
      </c>
      <c r="H498">
        <v>2</v>
      </c>
      <c r="I498">
        <v>4.5</v>
      </c>
      <c r="J498">
        <v>2015</v>
      </c>
      <c r="K498">
        <v>5</v>
      </c>
      <c r="L498">
        <v>276</v>
      </c>
      <c r="M498" t="s">
        <v>18</v>
      </c>
    </row>
    <row r="499" spans="1:13" x14ac:dyDescent="0.3">
      <c r="A499" s="1">
        <v>42138</v>
      </c>
      <c r="B499">
        <v>3</v>
      </c>
      <c r="C499">
        <v>5.0670000000000002</v>
      </c>
      <c r="D499">
        <v>3</v>
      </c>
      <c r="E499">
        <v>14</v>
      </c>
      <c r="F499">
        <v>1</v>
      </c>
      <c r="G499">
        <v>0</v>
      </c>
      <c r="H499">
        <v>0</v>
      </c>
      <c r="I499">
        <v>5</v>
      </c>
      <c r="J499">
        <v>2015</v>
      </c>
      <c r="K499">
        <v>5</v>
      </c>
      <c r="L499">
        <v>276</v>
      </c>
      <c r="M499" t="s">
        <v>12</v>
      </c>
    </row>
    <row r="500" spans="1:13" x14ac:dyDescent="0.3">
      <c r="A500" s="1">
        <v>42139</v>
      </c>
      <c r="B500">
        <v>3.34</v>
      </c>
      <c r="C500">
        <v>6.53</v>
      </c>
      <c r="D500">
        <v>4.3</v>
      </c>
      <c r="E500">
        <v>48.4</v>
      </c>
      <c r="F500">
        <v>8</v>
      </c>
      <c r="G500">
        <v>0</v>
      </c>
      <c r="H500">
        <v>4</v>
      </c>
      <c r="I500">
        <v>3.2</v>
      </c>
      <c r="J500">
        <v>2015</v>
      </c>
      <c r="K500">
        <v>5</v>
      </c>
      <c r="L500">
        <v>276</v>
      </c>
      <c r="M500" t="s">
        <v>13</v>
      </c>
    </row>
    <row r="501" spans="1:13" x14ac:dyDescent="0.3">
      <c r="A501" s="1">
        <v>42140</v>
      </c>
      <c r="B501">
        <v>5</v>
      </c>
      <c r="C501">
        <v>4.0659999999999998</v>
      </c>
      <c r="D501">
        <v>4.0999999999999996</v>
      </c>
      <c r="E501">
        <v>40.4</v>
      </c>
      <c r="F501">
        <v>4</v>
      </c>
      <c r="G501">
        <v>0</v>
      </c>
      <c r="H501">
        <v>0</v>
      </c>
      <c r="I501">
        <v>4</v>
      </c>
      <c r="J501">
        <v>2015</v>
      </c>
      <c r="K501">
        <v>5</v>
      </c>
      <c r="L501">
        <v>276</v>
      </c>
      <c r="M501" t="s">
        <v>14</v>
      </c>
    </row>
    <row r="502" spans="1:13" x14ac:dyDescent="0.3">
      <c r="A502" s="1">
        <v>42141</v>
      </c>
      <c r="B502">
        <v>5</v>
      </c>
      <c r="C502">
        <v>3.33</v>
      </c>
      <c r="D502">
        <v>5</v>
      </c>
      <c r="E502">
        <v>23.2</v>
      </c>
      <c r="F502">
        <v>0</v>
      </c>
      <c r="G502">
        <v>0</v>
      </c>
      <c r="H502">
        <v>0</v>
      </c>
      <c r="I502">
        <v>8</v>
      </c>
      <c r="J502">
        <v>2015</v>
      </c>
      <c r="K502">
        <v>5</v>
      </c>
      <c r="L502">
        <v>276</v>
      </c>
      <c r="M502" t="s">
        <v>15</v>
      </c>
    </row>
    <row r="503" spans="1:13" x14ac:dyDescent="0.3">
      <c r="A503" s="1">
        <v>42142</v>
      </c>
      <c r="B503">
        <v>7</v>
      </c>
      <c r="C503">
        <v>2.7130000000000001</v>
      </c>
      <c r="D503">
        <v>5.2</v>
      </c>
      <c r="E503">
        <v>21.4</v>
      </c>
      <c r="F503">
        <v>6</v>
      </c>
      <c r="G503">
        <v>1</v>
      </c>
      <c r="H503">
        <v>2</v>
      </c>
      <c r="I503">
        <v>2.2000000000000002</v>
      </c>
      <c r="J503">
        <v>2015</v>
      </c>
      <c r="K503">
        <v>5</v>
      </c>
      <c r="L503">
        <v>276</v>
      </c>
      <c r="M503" t="s">
        <v>16</v>
      </c>
    </row>
    <row r="504" spans="1:13" x14ac:dyDescent="0.3">
      <c r="A504" s="1">
        <v>42143</v>
      </c>
      <c r="B504">
        <v>3</v>
      </c>
      <c r="C504">
        <v>1.66</v>
      </c>
      <c r="D504">
        <v>3</v>
      </c>
      <c r="E504">
        <v>20</v>
      </c>
      <c r="F504">
        <v>8</v>
      </c>
      <c r="G504">
        <v>0</v>
      </c>
      <c r="H504">
        <v>0</v>
      </c>
      <c r="I504">
        <v>3</v>
      </c>
      <c r="J504">
        <v>2015</v>
      </c>
      <c r="K504">
        <v>5</v>
      </c>
      <c r="L504">
        <v>276</v>
      </c>
      <c r="M504" t="s">
        <v>17</v>
      </c>
    </row>
    <row r="505" spans="1:13" x14ac:dyDescent="0.3">
      <c r="A505" s="1">
        <v>42144</v>
      </c>
      <c r="B505">
        <v>5.67</v>
      </c>
      <c r="C505">
        <v>6.4649999999999999</v>
      </c>
      <c r="D505">
        <v>2</v>
      </c>
      <c r="E505">
        <v>17</v>
      </c>
      <c r="F505">
        <v>12</v>
      </c>
      <c r="G505">
        <v>1</v>
      </c>
      <c r="H505">
        <v>5</v>
      </c>
      <c r="I505">
        <v>6</v>
      </c>
      <c r="J505">
        <v>2015</v>
      </c>
      <c r="K505">
        <v>5</v>
      </c>
      <c r="L505">
        <v>276</v>
      </c>
      <c r="M505" t="s">
        <v>18</v>
      </c>
    </row>
    <row r="506" spans="1:13" x14ac:dyDescent="0.3">
      <c r="A506" s="1">
        <v>42145</v>
      </c>
      <c r="B506">
        <v>6</v>
      </c>
      <c r="C506">
        <v>1.9570000000000001</v>
      </c>
      <c r="D506">
        <v>3</v>
      </c>
      <c r="E506">
        <v>10</v>
      </c>
      <c r="F506">
        <v>5</v>
      </c>
      <c r="G506">
        <v>0</v>
      </c>
      <c r="H506">
        <v>1</v>
      </c>
      <c r="I506">
        <v>3.3</v>
      </c>
      <c r="J506">
        <v>2015</v>
      </c>
      <c r="K506">
        <v>5</v>
      </c>
      <c r="L506">
        <v>276</v>
      </c>
      <c r="M506" t="s">
        <v>12</v>
      </c>
    </row>
    <row r="507" spans="1:13" x14ac:dyDescent="0.3">
      <c r="A507" s="1">
        <v>42146</v>
      </c>
      <c r="B507">
        <v>3</v>
      </c>
      <c r="C507">
        <v>0.19800000000000001</v>
      </c>
      <c r="D507">
        <v>2</v>
      </c>
      <c r="E507">
        <v>15</v>
      </c>
      <c r="F507">
        <v>8</v>
      </c>
      <c r="G507">
        <v>0</v>
      </c>
      <c r="H507">
        <v>0</v>
      </c>
      <c r="I507">
        <v>7</v>
      </c>
      <c r="J507">
        <v>2015</v>
      </c>
      <c r="K507">
        <v>5</v>
      </c>
      <c r="L507">
        <v>276</v>
      </c>
      <c r="M507" t="s">
        <v>13</v>
      </c>
    </row>
    <row r="508" spans="1:13" x14ac:dyDescent="0.3">
      <c r="A508" s="1">
        <v>42147</v>
      </c>
      <c r="B508">
        <v>5.68</v>
      </c>
      <c r="C508">
        <v>2.69</v>
      </c>
      <c r="D508">
        <v>5</v>
      </c>
      <c r="E508">
        <v>23.45</v>
      </c>
      <c r="F508">
        <v>10</v>
      </c>
      <c r="G508">
        <v>0</v>
      </c>
      <c r="H508">
        <v>2</v>
      </c>
      <c r="I508">
        <v>7</v>
      </c>
      <c r="J508">
        <v>2015</v>
      </c>
      <c r="K508">
        <v>5</v>
      </c>
      <c r="L508">
        <v>276</v>
      </c>
      <c r="M508" t="s">
        <v>14</v>
      </c>
    </row>
    <row r="509" spans="1:13" x14ac:dyDescent="0.3">
      <c r="A509" s="1">
        <v>42148</v>
      </c>
      <c r="B509">
        <v>5.33</v>
      </c>
      <c r="C509">
        <v>7.7690000000000001</v>
      </c>
      <c r="D509">
        <v>3</v>
      </c>
      <c r="E509">
        <v>20</v>
      </c>
      <c r="F509">
        <v>5</v>
      </c>
      <c r="G509">
        <v>0</v>
      </c>
      <c r="H509">
        <v>0</v>
      </c>
      <c r="I509">
        <v>1.3</v>
      </c>
      <c r="J509">
        <v>2015</v>
      </c>
      <c r="K509">
        <v>5</v>
      </c>
      <c r="L509">
        <v>276</v>
      </c>
      <c r="M509" t="s">
        <v>15</v>
      </c>
    </row>
    <row r="510" spans="1:13" x14ac:dyDescent="0.3">
      <c r="A510" s="1">
        <v>42149</v>
      </c>
      <c r="B510">
        <v>9.66</v>
      </c>
      <c r="C510">
        <v>3.33</v>
      </c>
      <c r="D510">
        <v>4</v>
      </c>
      <c r="E510">
        <v>30</v>
      </c>
      <c r="F510">
        <v>11</v>
      </c>
      <c r="G510">
        <v>3</v>
      </c>
      <c r="H510">
        <v>0</v>
      </c>
      <c r="I510">
        <v>3</v>
      </c>
      <c r="J510">
        <v>2015</v>
      </c>
      <c r="K510">
        <v>5</v>
      </c>
      <c r="L510">
        <v>276</v>
      </c>
      <c r="M510" t="s">
        <v>16</v>
      </c>
    </row>
    <row r="511" spans="1:13" x14ac:dyDescent="0.3">
      <c r="A511" s="1">
        <v>42150</v>
      </c>
      <c r="B511">
        <v>7.34</v>
      </c>
      <c r="C511">
        <v>3.34</v>
      </c>
      <c r="D511">
        <v>4.5</v>
      </c>
      <c r="E511">
        <v>27</v>
      </c>
      <c r="F511">
        <v>11</v>
      </c>
      <c r="G511">
        <v>0</v>
      </c>
      <c r="H511">
        <v>22</v>
      </c>
      <c r="I511">
        <v>10</v>
      </c>
      <c r="J511">
        <v>2015</v>
      </c>
      <c r="K511">
        <v>5</v>
      </c>
      <c r="L511">
        <v>276</v>
      </c>
      <c r="M511" t="s">
        <v>17</v>
      </c>
    </row>
    <row r="512" spans="1:13" x14ac:dyDescent="0.3">
      <c r="A512" s="1">
        <v>42151</v>
      </c>
      <c r="B512">
        <v>4</v>
      </c>
      <c r="C512">
        <v>2.66</v>
      </c>
      <c r="D512">
        <v>2</v>
      </c>
      <c r="E512">
        <v>24.2</v>
      </c>
      <c r="F512">
        <v>7</v>
      </c>
      <c r="G512">
        <v>0</v>
      </c>
      <c r="H512">
        <v>0</v>
      </c>
      <c r="I512">
        <v>1</v>
      </c>
      <c r="J512">
        <v>2015</v>
      </c>
      <c r="K512">
        <v>5</v>
      </c>
      <c r="L512">
        <v>276</v>
      </c>
      <c r="M512" t="s">
        <v>18</v>
      </c>
    </row>
    <row r="513" spans="1:13" x14ac:dyDescent="0.3">
      <c r="A513" s="1">
        <v>42152</v>
      </c>
      <c r="B513">
        <v>6</v>
      </c>
      <c r="C513">
        <v>2.33</v>
      </c>
      <c r="D513">
        <v>6.7</v>
      </c>
      <c r="E513">
        <v>17.100000000000001</v>
      </c>
      <c r="F513">
        <v>3</v>
      </c>
      <c r="G513">
        <v>0</v>
      </c>
      <c r="H513">
        <v>20</v>
      </c>
      <c r="I513">
        <v>3</v>
      </c>
      <c r="J513">
        <v>2015</v>
      </c>
      <c r="K513">
        <v>5</v>
      </c>
      <c r="L513">
        <v>276</v>
      </c>
      <c r="M513" t="s">
        <v>12</v>
      </c>
    </row>
    <row r="514" spans="1:13" x14ac:dyDescent="0.3">
      <c r="A514" s="1">
        <v>42153</v>
      </c>
      <c r="B514">
        <v>6.33</v>
      </c>
      <c r="C514">
        <v>5.01</v>
      </c>
      <c r="D514">
        <v>3</v>
      </c>
      <c r="E514">
        <v>41.8</v>
      </c>
      <c r="F514">
        <v>6</v>
      </c>
      <c r="G514">
        <v>0</v>
      </c>
      <c r="H514">
        <v>5</v>
      </c>
      <c r="I514">
        <v>3</v>
      </c>
      <c r="J514">
        <v>2015</v>
      </c>
      <c r="K514">
        <v>5</v>
      </c>
      <c r="L514">
        <v>276</v>
      </c>
      <c r="M514" t="s">
        <v>13</v>
      </c>
    </row>
    <row r="515" spans="1:13" x14ac:dyDescent="0.3">
      <c r="A515" s="1">
        <v>42154</v>
      </c>
      <c r="B515">
        <v>14</v>
      </c>
      <c r="C515">
        <v>2.68</v>
      </c>
      <c r="D515">
        <v>6</v>
      </c>
      <c r="E515">
        <v>24.5</v>
      </c>
      <c r="F515">
        <v>4</v>
      </c>
      <c r="G515">
        <v>0</v>
      </c>
      <c r="H515">
        <v>4</v>
      </c>
      <c r="I515">
        <v>8</v>
      </c>
      <c r="J515">
        <v>2015</v>
      </c>
      <c r="K515">
        <v>5</v>
      </c>
      <c r="L515">
        <v>276</v>
      </c>
      <c r="M515" t="s">
        <v>14</v>
      </c>
    </row>
    <row r="516" spans="1:13" x14ac:dyDescent="0.3">
      <c r="A516" s="1">
        <v>42155</v>
      </c>
      <c r="B516">
        <v>3</v>
      </c>
      <c r="C516">
        <v>4.6970000000000001</v>
      </c>
      <c r="D516">
        <v>6.3</v>
      </c>
      <c r="E516">
        <v>31.5</v>
      </c>
      <c r="F516">
        <v>2</v>
      </c>
      <c r="G516">
        <v>0</v>
      </c>
      <c r="H516">
        <v>0</v>
      </c>
      <c r="I516">
        <v>10.5</v>
      </c>
      <c r="J516">
        <v>2015</v>
      </c>
      <c r="K516">
        <v>5</v>
      </c>
      <c r="L516">
        <v>276</v>
      </c>
      <c r="M516" t="s">
        <v>15</v>
      </c>
    </row>
    <row r="517" spans="1:13" x14ac:dyDescent="0.3">
      <c r="A517" s="1">
        <v>42156</v>
      </c>
      <c r="B517">
        <v>4.66</v>
      </c>
      <c r="C517">
        <v>5</v>
      </c>
      <c r="D517">
        <v>2.5</v>
      </c>
      <c r="E517">
        <v>23.55</v>
      </c>
      <c r="F517">
        <v>12</v>
      </c>
      <c r="G517">
        <v>0</v>
      </c>
      <c r="H517">
        <v>2</v>
      </c>
      <c r="I517">
        <v>3</v>
      </c>
      <c r="J517">
        <v>2015</v>
      </c>
      <c r="K517">
        <v>6</v>
      </c>
      <c r="L517">
        <v>276</v>
      </c>
      <c r="M517" t="s">
        <v>16</v>
      </c>
    </row>
    <row r="518" spans="1:13" x14ac:dyDescent="0.3">
      <c r="A518" s="1">
        <v>42157</v>
      </c>
      <c r="B518">
        <v>8.33</v>
      </c>
      <c r="C518">
        <v>8</v>
      </c>
      <c r="D518">
        <v>7.9</v>
      </c>
      <c r="E518">
        <v>24</v>
      </c>
      <c r="F518">
        <v>10</v>
      </c>
      <c r="G518">
        <v>4</v>
      </c>
      <c r="H518">
        <v>3</v>
      </c>
      <c r="I518">
        <v>6</v>
      </c>
      <c r="J518">
        <v>2015</v>
      </c>
      <c r="K518">
        <v>6</v>
      </c>
      <c r="L518">
        <v>276</v>
      </c>
      <c r="M518" t="s">
        <v>17</v>
      </c>
    </row>
    <row r="519" spans="1:13" x14ac:dyDescent="0.3">
      <c r="A519" s="1">
        <v>42158</v>
      </c>
      <c r="B519">
        <v>5</v>
      </c>
      <c r="C519">
        <v>1.66</v>
      </c>
      <c r="D519">
        <v>5.3</v>
      </c>
      <c r="E519">
        <v>30</v>
      </c>
      <c r="F519">
        <v>9</v>
      </c>
      <c r="G519">
        <v>0</v>
      </c>
      <c r="H519">
        <v>6</v>
      </c>
      <c r="I519">
        <v>2</v>
      </c>
      <c r="J519">
        <v>2015</v>
      </c>
      <c r="K519">
        <v>6</v>
      </c>
      <c r="L519">
        <v>276</v>
      </c>
      <c r="M519" t="s">
        <v>18</v>
      </c>
    </row>
    <row r="520" spans="1:13" x14ac:dyDescent="0.3">
      <c r="A520" s="1">
        <v>42159</v>
      </c>
      <c r="B520">
        <v>2.33</v>
      </c>
      <c r="C520">
        <v>4</v>
      </c>
      <c r="D520">
        <v>3</v>
      </c>
      <c r="E520">
        <v>20</v>
      </c>
      <c r="F520">
        <v>5</v>
      </c>
      <c r="G520">
        <v>0</v>
      </c>
      <c r="H520">
        <v>2</v>
      </c>
      <c r="I520">
        <v>2</v>
      </c>
      <c r="J520">
        <v>2015</v>
      </c>
      <c r="K520">
        <v>6</v>
      </c>
      <c r="L520">
        <v>276</v>
      </c>
      <c r="M520" t="s">
        <v>12</v>
      </c>
    </row>
    <row r="521" spans="1:13" x14ac:dyDescent="0.3">
      <c r="A521" s="1">
        <v>42160</v>
      </c>
      <c r="B521">
        <v>5</v>
      </c>
      <c r="C521">
        <v>0.67</v>
      </c>
      <c r="D521">
        <v>5</v>
      </c>
      <c r="E521">
        <v>13</v>
      </c>
      <c r="F521">
        <v>6</v>
      </c>
      <c r="G521">
        <v>0</v>
      </c>
      <c r="H521">
        <v>1</v>
      </c>
      <c r="I521">
        <v>7</v>
      </c>
      <c r="J521">
        <v>2015</v>
      </c>
      <c r="K521">
        <v>6</v>
      </c>
      <c r="L521">
        <v>276</v>
      </c>
      <c r="M521" t="s">
        <v>13</v>
      </c>
    </row>
    <row r="522" spans="1:13" x14ac:dyDescent="0.3">
      <c r="A522" s="1">
        <v>42161</v>
      </c>
      <c r="B522">
        <v>3.68</v>
      </c>
      <c r="C522">
        <v>3.68</v>
      </c>
      <c r="D522">
        <v>2</v>
      </c>
      <c r="E522">
        <v>16</v>
      </c>
      <c r="F522">
        <v>6</v>
      </c>
      <c r="G522">
        <v>0</v>
      </c>
      <c r="H522">
        <v>17</v>
      </c>
      <c r="I522">
        <v>2</v>
      </c>
      <c r="J522">
        <v>2015</v>
      </c>
      <c r="K522">
        <v>6</v>
      </c>
      <c r="L522">
        <v>276</v>
      </c>
      <c r="M522" t="s">
        <v>14</v>
      </c>
    </row>
    <row r="523" spans="1:13" x14ac:dyDescent="0.3">
      <c r="A523" s="1">
        <v>42162</v>
      </c>
      <c r="B523">
        <v>6.34</v>
      </c>
      <c r="C523">
        <v>5.01</v>
      </c>
      <c r="D523">
        <v>2</v>
      </c>
      <c r="E523">
        <v>17</v>
      </c>
      <c r="F523">
        <v>6</v>
      </c>
      <c r="G523">
        <v>1</v>
      </c>
      <c r="H523">
        <v>22</v>
      </c>
      <c r="I523">
        <v>6</v>
      </c>
      <c r="J523">
        <v>2015</v>
      </c>
      <c r="K523">
        <v>6</v>
      </c>
      <c r="L523">
        <v>276</v>
      </c>
      <c r="M523" t="s">
        <v>15</v>
      </c>
    </row>
    <row r="524" spans="1:13" x14ac:dyDescent="0.3">
      <c r="A524" s="1">
        <v>42163</v>
      </c>
      <c r="B524">
        <v>6</v>
      </c>
      <c r="C524">
        <v>5.66</v>
      </c>
      <c r="D524">
        <v>2.5</v>
      </c>
      <c r="E524">
        <v>31</v>
      </c>
      <c r="F524">
        <v>10</v>
      </c>
      <c r="G524">
        <v>1</v>
      </c>
      <c r="H524">
        <v>3</v>
      </c>
      <c r="I524">
        <v>7</v>
      </c>
      <c r="J524">
        <v>2015</v>
      </c>
      <c r="K524">
        <v>6</v>
      </c>
      <c r="L524">
        <v>276</v>
      </c>
      <c r="M524" t="s">
        <v>16</v>
      </c>
    </row>
    <row r="525" spans="1:13" x14ac:dyDescent="0.3">
      <c r="A525" s="1">
        <v>42164</v>
      </c>
      <c r="B525">
        <v>3</v>
      </c>
      <c r="C525">
        <v>4</v>
      </c>
      <c r="D525">
        <v>4</v>
      </c>
      <c r="E525">
        <v>26.6</v>
      </c>
      <c r="F525">
        <v>14</v>
      </c>
      <c r="G525">
        <v>0</v>
      </c>
      <c r="H525">
        <v>0</v>
      </c>
      <c r="I525">
        <v>4.5999999999999996</v>
      </c>
      <c r="J525">
        <v>2015</v>
      </c>
      <c r="K525">
        <v>6</v>
      </c>
      <c r="L525">
        <v>276</v>
      </c>
      <c r="M525" t="s">
        <v>17</v>
      </c>
    </row>
    <row r="526" spans="1:13" x14ac:dyDescent="0.3">
      <c r="A526" s="1">
        <v>42165</v>
      </c>
      <c r="B526">
        <v>4.34</v>
      </c>
      <c r="C526">
        <v>3.01</v>
      </c>
      <c r="D526">
        <v>8</v>
      </c>
      <c r="E526">
        <v>18.675999999999998</v>
      </c>
      <c r="F526">
        <v>6</v>
      </c>
      <c r="G526">
        <v>0</v>
      </c>
      <c r="H526">
        <v>7</v>
      </c>
      <c r="I526">
        <v>2</v>
      </c>
      <c r="J526">
        <v>2015</v>
      </c>
      <c r="K526">
        <v>6</v>
      </c>
      <c r="L526">
        <v>276</v>
      </c>
      <c r="M526" t="s">
        <v>18</v>
      </c>
    </row>
    <row r="527" spans="1:13" x14ac:dyDescent="0.3">
      <c r="A527" s="1">
        <v>42166</v>
      </c>
      <c r="B527">
        <v>6</v>
      </c>
      <c r="C527">
        <v>2.33</v>
      </c>
      <c r="D527">
        <v>5.0999999999999996</v>
      </c>
      <c r="E527">
        <v>38.299999999999997</v>
      </c>
      <c r="F527">
        <v>11</v>
      </c>
      <c r="G527">
        <v>0</v>
      </c>
      <c r="H527">
        <v>1</v>
      </c>
      <c r="I527">
        <v>3</v>
      </c>
      <c r="J527">
        <v>2015</v>
      </c>
      <c r="K527">
        <v>6</v>
      </c>
      <c r="L527">
        <v>276</v>
      </c>
      <c r="M527" t="s">
        <v>12</v>
      </c>
    </row>
    <row r="528" spans="1:13" x14ac:dyDescent="0.3">
      <c r="A528" s="1">
        <v>42167</v>
      </c>
      <c r="B528">
        <v>1.67</v>
      </c>
      <c r="C528">
        <v>1.66</v>
      </c>
      <c r="D528">
        <v>2</v>
      </c>
      <c r="E528">
        <v>17.5</v>
      </c>
      <c r="F528">
        <v>2</v>
      </c>
      <c r="G528">
        <v>2</v>
      </c>
      <c r="H528">
        <v>0</v>
      </c>
      <c r="I528">
        <v>5</v>
      </c>
      <c r="J528">
        <v>2015</v>
      </c>
      <c r="K528">
        <v>6</v>
      </c>
      <c r="L528">
        <v>276</v>
      </c>
      <c r="M528" t="s">
        <v>13</v>
      </c>
    </row>
    <row r="529" spans="1:13" x14ac:dyDescent="0.3">
      <c r="A529" s="1">
        <v>42168</v>
      </c>
      <c r="B529">
        <v>2.33</v>
      </c>
      <c r="C529">
        <v>4.66</v>
      </c>
      <c r="D529">
        <v>7.3</v>
      </c>
      <c r="E529">
        <v>21.4</v>
      </c>
      <c r="F529">
        <v>6</v>
      </c>
      <c r="G529">
        <v>0</v>
      </c>
      <c r="H529">
        <v>12</v>
      </c>
      <c r="I529">
        <v>4</v>
      </c>
      <c r="J529">
        <v>2015</v>
      </c>
      <c r="K529">
        <v>6</v>
      </c>
      <c r="L529">
        <v>276</v>
      </c>
      <c r="M529" t="s">
        <v>14</v>
      </c>
    </row>
    <row r="530" spans="1:13" x14ac:dyDescent="0.3">
      <c r="A530" s="1">
        <v>42169</v>
      </c>
      <c r="B530">
        <v>5</v>
      </c>
      <c r="C530">
        <v>3.67</v>
      </c>
      <c r="D530">
        <v>1.6</v>
      </c>
      <c r="E530">
        <v>14</v>
      </c>
      <c r="F530">
        <v>6</v>
      </c>
      <c r="G530">
        <v>0</v>
      </c>
      <c r="H530">
        <v>3</v>
      </c>
      <c r="I530">
        <v>2</v>
      </c>
      <c r="J530">
        <v>2015</v>
      </c>
      <c r="K530">
        <v>6</v>
      </c>
      <c r="L530">
        <v>276</v>
      </c>
      <c r="M530" t="s">
        <v>15</v>
      </c>
    </row>
    <row r="531" spans="1:13" x14ac:dyDescent="0.3">
      <c r="A531" s="1">
        <v>42170</v>
      </c>
      <c r="B531">
        <v>4</v>
      </c>
      <c r="C531">
        <v>3.36</v>
      </c>
      <c r="D531">
        <v>5</v>
      </c>
      <c r="E531">
        <v>37</v>
      </c>
      <c r="F531">
        <v>9</v>
      </c>
      <c r="G531">
        <v>0</v>
      </c>
      <c r="H531">
        <v>6</v>
      </c>
      <c r="I531">
        <v>9</v>
      </c>
      <c r="J531">
        <v>2015</v>
      </c>
      <c r="K531">
        <v>6</v>
      </c>
      <c r="L531">
        <v>276</v>
      </c>
      <c r="M531" t="s">
        <v>16</v>
      </c>
    </row>
    <row r="532" spans="1:13" x14ac:dyDescent="0.3">
      <c r="A532" s="1">
        <v>42171</v>
      </c>
      <c r="B532">
        <v>7</v>
      </c>
      <c r="C532">
        <v>3.34</v>
      </c>
      <c r="D532">
        <v>4</v>
      </c>
      <c r="E532">
        <v>20</v>
      </c>
      <c r="F532">
        <v>6</v>
      </c>
      <c r="G532">
        <v>0</v>
      </c>
      <c r="H532">
        <v>8</v>
      </c>
      <c r="I532">
        <v>5</v>
      </c>
      <c r="J532">
        <v>2015</v>
      </c>
      <c r="K532">
        <v>6</v>
      </c>
      <c r="L532">
        <v>276</v>
      </c>
      <c r="M532" t="s">
        <v>17</v>
      </c>
    </row>
    <row r="533" spans="1:13" x14ac:dyDescent="0.3">
      <c r="A533" s="1">
        <v>42172</v>
      </c>
      <c r="B533">
        <v>3.66</v>
      </c>
      <c r="C533">
        <v>3.32</v>
      </c>
      <c r="D533">
        <v>8.66</v>
      </c>
      <c r="E533">
        <v>24</v>
      </c>
      <c r="F533">
        <v>10</v>
      </c>
      <c r="G533">
        <v>1</v>
      </c>
      <c r="H533">
        <v>20</v>
      </c>
      <c r="I533">
        <v>2</v>
      </c>
      <c r="J533">
        <v>2015</v>
      </c>
      <c r="K533">
        <v>6</v>
      </c>
      <c r="L533">
        <v>276</v>
      </c>
      <c r="M533" t="s">
        <v>18</v>
      </c>
    </row>
    <row r="534" spans="1:13" x14ac:dyDescent="0.3">
      <c r="A534" s="1">
        <v>42173</v>
      </c>
      <c r="B534">
        <v>3</v>
      </c>
      <c r="C534">
        <v>5.33</v>
      </c>
      <c r="D534">
        <v>7</v>
      </c>
      <c r="E534">
        <v>24.6</v>
      </c>
      <c r="F534">
        <v>4</v>
      </c>
      <c r="G534">
        <v>0</v>
      </c>
      <c r="H534">
        <v>23</v>
      </c>
      <c r="I534">
        <v>3.6</v>
      </c>
      <c r="J534">
        <v>2015</v>
      </c>
      <c r="K534">
        <v>6</v>
      </c>
      <c r="L534">
        <v>276</v>
      </c>
      <c r="M534" t="s">
        <v>12</v>
      </c>
    </row>
    <row r="535" spans="1:13" x14ac:dyDescent="0.3">
      <c r="A535" s="1">
        <v>42174</v>
      </c>
      <c r="B535">
        <v>5.33</v>
      </c>
      <c r="C535">
        <v>4.01</v>
      </c>
      <c r="D535">
        <v>3.1</v>
      </c>
      <c r="E535">
        <v>24</v>
      </c>
      <c r="F535">
        <v>13</v>
      </c>
      <c r="G535">
        <v>2</v>
      </c>
      <c r="H535">
        <v>10</v>
      </c>
      <c r="I535">
        <v>6.3</v>
      </c>
      <c r="J535">
        <v>2015</v>
      </c>
      <c r="K535">
        <v>6</v>
      </c>
      <c r="L535">
        <v>276</v>
      </c>
      <c r="M535" t="s">
        <v>13</v>
      </c>
    </row>
    <row r="536" spans="1:13" x14ac:dyDescent="0.3">
      <c r="A536" s="1">
        <v>42175</v>
      </c>
      <c r="B536">
        <v>9.34</v>
      </c>
      <c r="C536">
        <v>3</v>
      </c>
      <c r="D536">
        <v>3</v>
      </c>
      <c r="E536">
        <v>26.8</v>
      </c>
      <c r="F536">
        <v>5</v>
      </c>
      <c r="G536">
        <v>0</v>
      </c>
      <c r="H536">
        <v>10</v>
      </c>
      <c r="I536">
        <v>7</v>
      </c>
      <c r="J536">
        <v>2015</v>
      </c>
      <c r="K536">
        <v>6</v>
      </c>
      <c r="L536">
        <v>276</v>
      </c>
      <c r="M536" t="s">
        <v>14</v>
      </c>
    </row>
    <row r="537" spans="1:13" x14ac:dyDescent="0.3">
      <c r="A537" s="1">
        <v>42176</v>
      </c>
      <c r="B537">
        <v>9.34</v>
      </c>
      <c r="C537">
        <v>0.68</v>
      </c>
      <c r="D537">
        <v>5</v>
      </c>
      <c r="E537">
        <v>18</v>
      </c>
      <c r="F537">
        <v>5</v>
      </c>
      <c r="G537">
        <v>0</v>
      </c>
      <c r="H537">
        <v>6</v>
      </c>
      <c r="I537">
        <v>2</v>
      </c>
      <c r="J537">
        <v>2015</v>
      </c>
      <c r="K537">
        <v>6</v>
      </c>
      <c r="L537">
        <v>276</v>
      </c>
      <c r="M537" t="s">
        <v>15</v>
      </c>
    </row>
    <row r="538" spans="1:13" x14ac:dyDescent="0.3">
      <c r="A538" s="1">
        <v>42177</v>
      </c>
      <c r="B538">
        <v>5.17</v>
      </c>
      <c r="C538">
        <v>6.99</v>
      </c>
      <c r="D538">
        <v>9.6</v>
      </c>
      <c r="E538">
        <v>29.062000000000001</v>
      </c>
      <c r="F538">
        <v>0</v>
      </c>
      <c r="G538">
        <v>0</v>
      </c>
      <c r="H538">
        <v>1</v>
      </c>
      <c r="I538">
        <v>5</v>
      </c>
      <c r="J538">
        <v>2015</v>
      </c>
      <c r="K538">
        <v>6</v>
      </c>
      <c r="L538">
        <v>276</v>
      </c>
      <c r="M538" t="s">
        <v>16</v>
      </c>
    </row>
    <row r="539" spans="1:13" x14ac:dyDescent="0.3">
      <c r="A539" s="1">
        <v>42178</v>
      </c>
      <c r="B539">
        <v>4.67</v>
      </c>
      <c r="C539">
        <v>5.67</v>
      </c>
      <c r="D539">
        <v>3.5</v>
      </c>
      <c r="E539">
        <v>19</v>
      </c>
      <c r="F539">
        <v>7</v>
      </c>
      <c r="G539">
        <v>0</v>
      </c>
      <c r="H539">
        <v>5</v>
      </c>
      <c r="I539">
        <v>5</v>
      </c>
      <c r="J539">
        <v>2015</v>
      </c>
      <c r="K539">
        <v>6</v>
      </c>
      <c r="L539">
        <v>276</v>
      </c>
      <c r="M539" t="s">
        <v>17</v>
      </c>
    </row>
    <row r="540" spans="1:13" x14ac:dyDescent="0.3">
      <c r="A540" s="1">
        <v>42179</v>
      </c>
      <c r="B540">
        <v>3.83</v>
      </c>
      <c r="C540">
        <v>4</v>
      </c>
      <c r="D540">
        <v>7</v>
      </c>
      <c r="E540">
        <v>23.8</v>
      </c>
      <c r="F540">
        <v>5</v>
      </c>
      <c r="G540">
        <v>1</v>
      </c>
      <c r="H540">
        <v>4</v>
      </c>
      <c r="I540">
        <v>3</v>
      </c>
      <c r="J540">
        <v>2015</v>
      </c>
      <c r="K540">
        <v>6</v>
      </c>
      <c r="L540">
        <v>276</v>
      </c>
      <c r="M540" t="s">
        <v>18</v>
      </c>
    </row>
    <row r="541" spans="1:13" x14ac:dyDescent="0.3">
      <c r="A541" s="1">
        <v>42180</v>
      </c>
      <c r="B541">
        <v>6.33</v>
      </c>
      <c r="C541">
        <v>4.34</v>
      </c>
      <c r="D541">
        <v>6</v>
      </c>
      <c r="E541">
        <v>24.125</v>
      </c>
      <c r="F541">
        <v>4</v>
      </c>
      <c r="G541">
        <v>0</v>
      </c>
      <c r="H541">
        <v>0</v>
      </c>
      <c r="I541">
        <v>3</v>
      </c>
      <c r="J541">
        <v>2015</v>
      </c>
      <c r="K541">
        <v>6</v>
      </c>
      <c r="L541">
        <v>276</v>
      </c>
      <c r="M541" t="s">
        <v>12</v>
      </c>
    </row>
    <row r="542" spans="1:13" x14ac:dyDescent="0.3">
      <c r="A542" s="1">
        <v>42181</v>
      </c>
      <c r="B542">
        <v>7.17</v>
      </c>
      <c r="C542">
        <v>0.33</v>
      </c>
      <c r="D542">
        <v>2</v>
      </c>
      <c r="E542">
        <v>29</v>
      </c>
      <c r="F542">
        <v>3</v>
      </c>
      <c r="G542">
        <v>0</v>
      </c>
      <c r="H542">
        <v>1</v>
      </c>
      <c r="I542">
        <v>4</v>
      </c>
      <c r="J542">
        <v>2015</v>
      </c>
      <c r="K542">
        <v>6</v>
      </c>
      <c r="L542">
        <v>276</v>
      </c>
      <c r="M542" t="s">
        <v>13</v>
      </c>
    </row>
    <row r="543" spans="1:13" x14ac:dyDescent="0.3">
      <c r="A543" s="1">
        <v>42182</v>
      </c>
      <c r="B543">
        <v>7.33</v>
      </c>
      <c r="C543">
        <v>3.33</v>
      </c>
      <c r="D543">
        <v>6</v>
      </c>
      <c r="E543">
        <v>36</v>
      </c>
      <c r="F543">
        <v>10</v>
      </c>
      <c r="G543">
        <v>0</v>
      </c>
      <c r="H543">
        <v>1</v>
      </c>
      <c r="I543">
        <v>2</v>
      </c>
      <c r="J543">
        <v>2015</v>
      </c>
      <c r="K543">
        <v>6</v>
      </c>
      <c r="L543">
        <v>276</v>
      </c>
      <c r="M543" t="s">
        <v>14</v>
      </c>
    </row>
    <row r="544" spans="1:13" x14ac:dyDescent="0.3">
      <c r="A544" s="1">
        <v>42183</v>
      </c>
      <c r="B544">
        <v>5.34</v>
      </c>
      <c r="C544">
        <v>4.6500000000000004</v>
      </c>
      <c r="D544">
        <v>7.4</v>
      </c>
      <c r="E544">
        <v>12</v>
      </c>
      <c r="F544">
        <v>0</v>
      </c>
      <c r="G544">
        <v>0</v>
      </c>
      <c r="H544">
        <v>6</v>
      </c>
      <c r="I544">
        <v>6</v>
      </c>
      <c r="J544">
        <v>2015</v>
      </c>
      <c r="K544">
        <v>6</v>
      </c>
      <c r="L544">
        <v>276</v>
      </c>
      <c r="M544" t="s">
        <v>15</v>
      </c>
    </row>
    <row r="545" spans="1:13" x14ac:dyDescent="0.3">
      <c r="A545" s="1">
        <v>42184</v>
      </c>
      <c r="B545">
        <v>5.68</v>
      </c>
      <c r="C545">
        <v>3.66</v>
      </c>
      <c r="D545">
        <v>4</v>
      </c>
      <c r="E545">
        <v>22</v>
      </c>
      <c r="F545">
        <v>15</v>
      </c>
      <c r="G545">
        <v>0</v>
      </c>
      <c r="H545">
        <v>11</v>
      </c>
      <c r="I545">
        <v>3</v>
      </c>
      <c r="J545">
        <v>2015</v>
      </c>
      <c r="K545">
        <v>6</v>
      </c>
      <c r="L545">
        <v>276</v>
      </c>
      <c r="M545" t="s">
        <v>16</v>
      </c>
    </row>
    <row r="546" spans="1:13" x14ac:dyDescent="0.3">
      <c r="A546" s="1">
        <v>42185</v>
      </c>
      <c r="B546">
        <v>1</v>
      </c>
      <c r="C546">
        <v>4.67</v>
      </c>
      <c r="D546">
        <v>6</v>
      </c>
      <c r="E546">
        <v>35</v>
      </c>
      <c r="F546">
        <v>12</v>
      </c>
      <c r="G546">
        <v>0</v>
      </c>
      <c r="H546">
        <v>2</v>
      </c>
      <c r="I546">
        <v>4.3</v>
      </c>
      <c r="J546">
        <v>2015</v>
      </c>
      <c r="K546">
        <v>6</v>
      </c>
      <c r="L546">
        <v>276</v>
      </c>
      <c r="M546" t="s">
        <v>17</v>
      </c>
    </row>
    <row r="547" spans="1:13" x14ac:dyDescent="0.3">
      <c r="A547" s="1">
        <v>42186</v>
      </c>
      <c r="B547">
        <v>8.83</v>
      </c>
      <c r="C547">
        <v>5.68</v>
      </c>
      <c r="D547">
        <v>5.4</v>
      </c>
      <c r="E547">
        <v>18.25</v>
      </c>
      <c r="F547">
        <v>14</v>
      </c>
      <c r="G547">
        <v>1</v>
      </c>
      <c r="H547">
        <v>12</v>
      </c>
      <c r="I547">
        <v>10</v>
      </c>
      <c r="J547">
        <v>2015</v>
      </c>
      <c r="K547">
        <v>7</v>
      </c>
      <c r="L547">
        <v>276</v>
      </c>
      <c r="M547" t="s">
        <v>18</v>
      </c>
    </row>
    <row r="548" spans="1:13" x14ac:dyDescent="0.3">
      <c r="A548" s="1">
        <v>42187</v>
      </c>
      <c r="B548">
        <v>3</v>
      </c>
      <c r="C548">
        <v>2</v>
      </c>
      <c r="D548">
        <v>1</v>
      </c>
      <c r="E548">
        <v>23.15</v>
      </c>
      <c r="F548">
        <v>3</v>
      </c>
      <c r="G548">
        <v>0</v>
      </c>
      <c r="H548">
        <v>1</v>
      </c>
      <c r="I548">
        <v>2</v>
      </c>
      <c r="J548">
        <v>2015</v>
      </c>
      <c r="K548">
        <v>7</v>
      </c>
      <c r="L548">
        <v>276</v>
      </c>
      <c r="M548" t="s">
        <v>12</v>
      </c>
    </row>
    <row r="549" spans="1:13" x14ac:dyDescent="0.3">
      <c r="A549" s="1">
        <v>42188</v>
      </c>
      <c r="B549">
        <v>5.5</v>
      </c>
      <c r="C549">
        <v>4.33</v>
      </c>
      <c r="D549">
        <v>3.5</v>
      </c>
      <c r="E549">
        <v>24.5</v>
      </c>
      <c r="F549">
        <v>10</v>
      </c>
      <c r="G549">
        <v>0</v>
      </c>
      <c r="H549">
        <v>8</v>
      </c>
      <c r="I549">
        <v>4</v>
      </c>
      <c r="J549">
        <v>2015</v>
      </c>
      <c r="K549">
        <v>7</v>
      </c>
      <c r="L549">
        <v>276</v>
      </c>
      <c r="M549" t="s">
        <v>13</v>
      </c>
    </row>
    <row r="550" spans="1:13" x14ac:dyDescent="0.3">
      <c r="A550" s="1">
        <v>42189</v>
      </c>
      <c r="B550">
        <v>7.35</v>
      </c>
      <c r="C550">
        <v>2.34</v>
      </c>
      <c r="D550">
        <v>4.2</v>
      </c>
      <c r="E550">
        <v>15.2</v>
      </c>
      <c r="F550">
        <v>2</v>
      </c>
      <c r="G550">
        <v>0</v>
      </c>
      <c r="H550">
        <v>0</v>
      </c>
      <c r="I550">
        <v>3</v>
      </c>
      <c r="J550">
        <v>2015</v>
      </c>
      <c r="K550">
        <v>7</v>
      </c>
      <c r="L550">
        <v>276</v>
      </c>
      <c r="M550" t="s">
        <v>14</v>
      </c>
    </row>
    <row r="551" spans="1:13" x14ac:dyDescent="0.3">
      <c r="A551" s="1">
        <v>42190</v>
      </c>
      <c r="B551">
        <v>5</v>
      </c>
      <c r="C551">
        <v>4.34</v>
      </c>
      <c r="D551">
        <v>4.2</v>
      </c>
      <c r="E551">
        <v>14</v>
      </c>
      <c r="F551">
        <v>10</v>
      </c>
      <c r="G551">
        <v>0</v>
      </c>
      <c r="H551">
        <v>1</v>
      </c>
      <c r="I551">
        <v>4</v>
      </c>
      <c r="J551">
        <v>2015</v>
      </c>
      <c r="K551">
        <v>7</v>
      </c>
      <c r="L551">
        <v>276</v>
      </c>
      <c r="M551" t="s">
        <v>15</v>
      </c>
    </row>
    <row r="552" spans="1:13" x14ac:dyDescent="0.3">
      <c r="A552" s="1">
        <v>42191</v>
      </c>
      <c r="B552">
        <v>5.5</v>
      </c>
      <c r="C552">
        <v>4.68</v>
      </c>
      <c r="D552">
        <v>2</v>
      </c>
      <c r="E552">
        <v>20</v>
      </c>
      <c r="F552">
        <v>8</v>
      </c>
      <c r="G552">
        <v>0</v>
      </c>
      <c r="H552">
        <v>3</v>
      </c>
      <c r="I552">
        <v>3</v>
      </c>
      <c r="J552">
        <v>2015</v>
      </c>
      <c r="K552">
        <v>7</v>
      </c>
      <c r="L552">
        <v>276</v>
      </c>
      <c r="M552" t="s">
        <v>16</v>
      </c>
    </row>
    <row r="553" spans="1:13" x14ac:dyDescent="0.3">
      <c r="A553" s="1">
        <v>42192</v>
      </c>
      <c r="B553">
        <v>4.84</v>
      </c>
      <c r="C553">
        <v>4.68</v>
      </c>
      <c r="D553">
        <v>2.2999999999999998</v>
      </c>
      <c r="E553">
        <v>19.600000000000001</v>
      </c>
      <c r="F553">
        <v>5</v>
      </c>
      <c r="G553">
        <v>0</v>
      </c>
      <c r="H553">
        <v>3</v>
      </c>
      <c r="I553">
        <v>7</v>
      </c>
      <c r="J553">
        <v>2015</v>
      </c>
      <c r="K553">
        <v>7</v>
      </c>
      <c r="L553">
        <v>276</v>
      </c>
      <c r="M553" t="s">
        <v>17</v>
      </c>
    </row>
    <row r="554" spans="1:13" x14ac:dyDescent="0.3">
      <c r="A554" s="1">
        <v>42193</v>
      </c>
      <c r="B554">
        <v>2</v>
      </c>
      <c r="C554">
        <v>1.35</v>
      </c>
      <c r="D554">
        <v>3</v>
      </c>
      <c r="E554">
        <v>18.600000000000001</v>
      </c>
      <c r="F554">
        <v>6</v>
      </c>
      <c r="G554">
        <v>0</v>
      </c>
      <c r="H554">
        <v>5</v>
      </c>
      <c r="I554">
        <v>3</v>
      </c>
      <c r="J554">
        <v>2015</v>
      </c>
      <c r="K554">
        <v>7</v>
      </c>
      <c r="L554">
        <v>276</v>
      </c>
      <c r="M554" t="s">
        <v>18</v>
      </c>
    </row>
    <row r="555" spans="1:13" x14ac:dyDescent="0.3">
      <c r="A555" s="1">
        <v>42194</v>
      </c>
      <c r="B555">
        <v>2.34</v>
      </c>
      <c r="C555">
        <v>1.67</v>
      </c>
      <c r="D555">
        <v>2</v>
      </c>
      <c r="E555">
        <v>32.75</v>
      </c>
      <c r="F555">
        <v>4</v>
      </c>
      <c r="G555">
        <v>0</v>
      </c>
      <c r="H555">
        <v>0</v>
      </c>
      <c r="I555">
        <v>5</v>
      </c>
      <c r="J555">
        <v>2015</v>
      </c>
      <c r="K555">
        <v>7</v>
      </c>
      <c r="L555">
        <v>276</v>
      </c>
      <c r="M555" t="s">
        <v>12</v>
      </c>
    </row>
    <row r="556" spans="1:13" x14ac:dyDescent="0.3">
      <c r="A556" s="1">
        <v>42195</v>
      </c>
      <c r="B556">
        <v>5.5</v>
      </c>
      <c r="C556">
        <v>6.34</v>
      </c>
      <c r="D556">
        <v>5</v>
      </c>
      <c r="E556">
        <v>37</v>
      </c>
      <c r="F556">
        <v>15</v>
      </c>
      <c r="G556">
        <v>0</v>
      </c>
      <c r="H556">
        <v>8</v>
      </c>
      <c r="I556">
        <v>6</v>
      </c>
      <c r="J556">
        <v>2015</v>
      </c>
      <c r="K556">
        <v>7</v>
      </c>
      <c r="L556">
        <v>276</v>
      </c>
      <c r="M556" t="s">
        <v>13</v>
      </c>
    </row>
    <row r="557" spans="1:13" x14ac:dyDescent="0.3">
      <c r="A557" s="1">
        <v>42196</v>
      </c>
      <c r="B557">
        <v>4</v>
      </c>
      <c r="C557">
        <v>2.33</v>
      </c>
      <c r="D557">
        <v>4.9000000000000004</v>
      </c>
      <c r="E557">
        <v>45</v>
      </c>
      <c r="F557">
        <v>9</v>
      </c>
      <c r="G557">
        <v>0</v>
      </c>
      <c r="H557">
        <v>2</v>
      </c>
      <c r="I557">
        <v>10</v>
      </c>
      <c r="J557">
        <v>2015</v>
      </c>
      <c r="K557">
        <v>7</v>
      </c>
      <c r="L557">
        <v>276</v>
      </c>
      <c r="M557" t="s">
        <v>14</v>
      </c>
    </row>
    <row r="558" spans="1:13" x14ac:dyDescent="0.3">
      <c r="A558" s="1">
        <v>42197</v>
      </c>
      <c r="B558">
        <v>6.33</v>
      </c>
      <c r="C558">
        <v>5.33</v>
      </c>
      <c r="D558">
        <v>5</v>
      </c>
      <c r="E558">
        <v>25.3</v>
      </c>
      <c r="F558">
        <v>5</v>
      </c>
      <c r="G558">
        <v>0</v>
      </c>
      <c r="H558">
        <v>0</v>
      </c>
      <c r="I558">
        <v>6.5</v>
      </c>
      <c r="J558">
        <v>2015</v>
      </c>
      <c r="K558">
        <v>7</v>
      </c>
      <c r="L558">
        <v>276</v>
      </c>
      <c r="M558" t="s">
        <v>15</v>
      </c>
    </row>
    <row r="559" spans="1:13" x14ac:dyDescent="0.3">
      <c r="A559" s="1">
        <v>42198</v>
      </c>
      <c r="B559">
        <v>3.68</v>
      </c>
      <c r="C559">
        <v>0.66</v>
      </c>
      <c r="D559">
        <v>8</v>
      </c>
      <c r="E559">
        <v>22.55</v>
      </c>
      <c r="F559">
        <v>5</v>
      </c>
      <c r="G559">
        <v>0</v>
      </c>
      <c r="H559">
        <v>0</v>
      </c>
      <c r="I559">
        <v>3</v>
      </c>
      <c r="J559">
        <v>2015</v>
      </c>
      <c r="K559">
        <v>7</v>
      </c>
      <c r="L559">
        <v>276</v>
      </c>
      <c r="M559" t="s">
        <v>16</v>
      </c>
    </row>
    <row r="560" spans="1:13" x14ac:dyDescent="0.3">
      <c r="A560" s="1">
        <v>42199</v>
      </c>
      <c r="B560">
        <v>0.34</v>
      </c>
      <c r="C560">
        <v>4.33</v>
      </c>
      <c r="D560">
        <v>5</v>
      </c>
      <c r="E560">
        <v>14</v>
      </c>
      <c r="F560">
        <v>1</v>
      </c>
      <c r="G560">
        <v>0</v>
      </c>
      <c r="H560">
        <v>2</v>
      </c>
      <c r="I560">
        <v>2</v>
      </c>
      <c r="J560">
        <v>2015</v>
      </c>
      <c r="K560">
        <v>7</v>
      </c>
      <c r="L560">
        <v>276</v>
      </c>
      <c r="M560" t="s">
        <v>17</v>
      </c>
    </row>
    <row r="561" spans="1:13" x14ac:dyDescent="0.3">
      <c r="A561" s="1">
        <v>42200</v>
      </c>
      <c r="B561">
        <v>8.49</v>
      </c>
      <c r="C561">
        <v>1.66</v>
      </c>
      <c r="D561">
        <v>4</v>
      </c>
      <c r="E561">
        <v>20.2</v>
      </c>
      <c r="F561">
        <v>5</v>
      </c>
      <c r="G561">
        <v>0</v>
      </c>
      <c r="H561">
        <v>1</v>
      </c>
      <c r="I561">
        <v>9</v>
      </c>
      <c r="J561">
        <v>2015</v>
      </c>
      <c r="K561">
        <v>7</v>
      </c>
      <c r="L561">
        <v>276</v>
      </c>
      <c r="M561" t="s">
        <v>18</v>
      </c>
    </row>
    <row r="562" spans="1:13" x14ac:dyDescent="0.3">
      <c r="A562" s="1">
        <v>42201</v>
      </c>
      <c r="B562">
        <v>8.34</v>
      </c>
      <c r="C562">
        <v>3.33</v>
      </c>
      <c r="D562">
        <v>1</v>
      </c>
      <c r="E562">
        <v>18</v>
      </c>
      <c r="F562">
        <v>3</v>
      </c>
      <c r="G562">
        <v>0</v>
      </c>
      <c r="H562">
        <v>2</v>
      </c>
      <c r="I562">
        <v>4</v>
      </c>
      <c r="J562">
        <v>2015</v>
      </c>
      <c r="K562">
        <v>7</v>
      </c>
      <c r="L562">
        <v>276</v>
      </c>
      <c r="M562" t="s">
        <v>12</v>
      </c>
    </row>
    <row r="563" spans="1:13" x14ac:dyDescent="0.3">
      <c r="A563" s="1">
        <v>42202</v>
      </c>
      <c r="B563">
        <v>2.5</v>
      </c>
      <c r="C563">
        <v>1.33</v>
      </c>
      <c r="D563">
        <v>1</v>
      </c>
      <c r="E563">
        <v>28</v>
      </c>
      <c r="F563">
        <v>3</v>
      </c>
      <c r="G563">
        <v>0</v>
      </c>
      <c r="H563">
        <v>0</v>
      </c>
      <c r="I563">
        <v>2.2999999999999998</v>
      </c>
      <c r="J563">
        <v>2015</v>
      </c>
      <c r="K563">
        <v>7</v>
      </c>
      <c r="L563">
        <v>276</v>
      </c>
      <c r="M563" t="s">
        <v>13</v>
      </c>
    </row>
    <row r="564" spans="1:13" x14ac:dyDescent="0.3">
      <c r="A564" s="1">
        <v>42203</v>
      </c>
      <c r="B564">
        <v>3.68</v>
      </c>
      <c r="C564">
        <v>7.38</v>
      </c>
      <c r="D564">
        <v>2</v>
      </c>
      <c r="E564">
        <v>25</v>
      </c>
      <c r="F564">
        <v>8</v>
      </c>
      <c r="G564">
        <v>3</v>
      </c>
      <c r="H564">
        <v>1</v>
      </c>
      <c r="I564">
        <v>3</v>
      </c>
      <c r="J564">
        <v>2015</v>
      </c>
      <c r="K564">
        <v>7</v>
      </c>
      <c r="L564">
        <v>276</v>
      </c>
      <c r="M564" t="s">
        <v>14</v>
      </c>
    </row>
    <row r="565" spans="1:13" x14ac:dyDescent="0.3">
      <c r="A565" s="1">
        <v>42204</v>
      </c>
      <c r="B565">
        <v>11.68</v>
      </c>
      <c r="C565">
        <v>1.68</v>
      </c>
      <c r="D565">
        <v>2</v>
      </c>
      <c r="E565">
        <v>15</v>
      </c>
      <c r="F565">
        <v>1</v>
      </c>
      <c r="G565">
        <v>0</v>
      </c>
      <c r="H565">
        <v>1</v>
      </c>
      <c r="I565">
        <v>3</v>
      </c>
      <c r="J565">
        <v>2015</v>
      </c>
      <c r="K565">
        <v>7</v>
      </c>
      <c r="L565">
        <v>276</v>
      </c>
      <c r="M565" t="s">
        <v>15</v>
      </c>
    </row>
    <row r="566" spans="1:13" x14ac:dyDescent="0.3">
      <c r="A566" s="1">
        <v>42205</v>
      </c>
      <c r="B566">
        <v>5.84</v>
      </c>
      <c r="C566">
        <v>4.67</v>
      </c>
      <c r="D566">
        <v>5</v>
      </c>
      <c r="E566">
        <v>41</v>
      </c>
      <c r="F566">
        <v>4</v>
      </c>
      <c r="G566">
        <v>0</v>
      </c>
      <c r="H566">
        <v>0</v>
      </c>
      <c r="I566">
        <v>2</v>
      </c>
      <c r="J566">
        <v>2015</v>
      </c>
      <c r="K566">
        <v>7</v>
      </c>
      <c r="L566">
        <v>276</v>
      </c>
      <c r="M566" t="s">
        <v>16</v>
      </c>
    </row>
    <row r="567" spans="1:13" x14ac:dyDescent="0.3">
      <c r="A567" s="1">
        <v>42206</v>
      </c>
      <c r="B567">
        <v>4.68</v>
      </c>
      <c r="C567">
        <v>1</v>
      </c>
      <c r="D567">
        <v>3.2</v>
      </c>
      <c r="E567">
        <v>14.25</v>
      </c>
      <c r="F567">
        <v>7</v>
      </c>
      <c r="G567">
        <v>0</v>
      </c>
      <c r="H567">
        <v>1</v>
      </c>
      <c r="I567">
        <v>4</v>
      </c>
      <c r="J567">
        <v>2015</v>
      </c>
      <c r="K567">
        <v>7</v>
      </c>
      <c r="L567">
        <v>276</v>
      </c>
      <c r="M567" t="s">
        <v>17</v>
      </c>
    </row>
    <row r="568" spans="1:13" x14ac:dyDescent="0.3">
      <c r="A568" s="1">
        <v>42207</v>
      </c>
      <c r="B568">
        <v>9.33</v>
      </c>
      <c r="C568">
        <v>0.34</v>
      </c>
      <c r="D568">
        <v>5</v>
      </c>
      <c r="E568">
        <v>22</v>
      </c>
      <c r="F568">
        <v>10</v>
      </c>
      <c r="G568">
        <v>0</v>
      </c>
      <c r="H568">
        <v>5</v>
      </c>
      <c r="I568">
        <v>3</v>
      </c>
      <c r="J568">
        <v>2015</v>
      </c>
      <c r="K568">
        <v>7</v>
      </c>
      <c r="L568">
        <v>276</v>
      </c>
      <c r="M568" t="s">
        <v>18</v>
      </c>
    </row>
    <row r="569" spans="1:13" x14ac:dyDescent="0.3">
      <c r="A569" s="1">
        <v>42208</v>
      </c>
      <c r="B569">
        <v>1.5</v>
      </c>
      <c r="C569">
        <v>4</v>
      </c>
      <c r="D569">
        <v>3</v>
      </c>
      <c r="E569">
        <v>14</v>
      </c>
      <c r="F569">
        <v>3</v>
      </c>
      <c r="G569">
        <v>0</v>
      </c>
      <c r="H569">
        <v>0</v>
      </c>
      <c r="I569">
        <v>2</v>
      </c>
      <c r="J569">
        <v>2015</v>
      </c>
      <c r="K569">
        <v>7</v>
      </c>
      <c r="L569">
        <v>276</v>
      </c>
      <c r="M569" t="s">
        <v>12</v>
      </c>
    </row>
    <row r="570" spans="1:13" x14ac:dyDescent="0.3">
      <c r="A570" s="1">
        <v>42209</v>
      </c>
      <c r="B570">
        <v>6</v>
      </c>
      <c r="C570">
        <v>6.34</v>
      </c>
      <c r="D570">
        <v>3.6</v>
      </c>
      <c r="E570">
        <v>29.6</v>
      </c>
      <c r="F570">
        <v>9</v>
      </c>
      <c r="G570">
        <v>1</v>
      </c>
      <c r="H570">
        <v>1</v>
      </c>
      <c r="I570">
        <v>10</v>
      </c>
      <c r="J570">
        <v>2015</v>
      </c>
      <c r="K570">
        <v>7</v>
      </c>
      <c r="L570">
        <v>276</v>
      </c>
      <c r="M570" t="s">
        <v>13</v>
      </c>
    </row>
    <row r="571" spans="1:13" x14ac:dyDescent="0.3">
      <c r="A571" s="1">
        <v>42210</v>
      </c>
      <c r="B571">
        <v>4</v>
      </c>
      <c r="C571">
        <v>4</v>
      </c>
      <c r="D571">
        <v>5</v>
      </c>
      <c r="E571">
        <v>22</v>
      </c>
      <c r="F571">
        <v>7</v>
      </c>
      <c r="G571">
        <v>1</v>
      </c>
      <c r="H571">
        <v>0</v>
      </c>
      <c r="I571">
        <v>4</v>
      </c>
      <c r="J571">
        <v>2015</v>
      </c>
      <c r="K571">
        <v>7</v>
      </c>
      <c r="L571">
        <v>276</v>
      </c>
      <c r="M571" t="s">
        <v>14</v>
      </c>
    </row>
    <row r="572" spans="1:13" x14ac:dyDescent="0.3">
      <c r="A572" s="1">
        <v>42211</v>
      </c>
      <c r="B572">
        <v>5</v>
      </c>
      <c r="C572">
        <v>2.99</v>
      </c>
      <c r="D572">
        <v>3</v>
      </c>
      <c r="E572">
        <v>29</v>
      </c>
      <c r="F572">
        <v>4</v>
      </c>
      <c r="G572">
        <v>0</v>
      </c>
      <c r="H572">
        <v>0</v>
      </c>
      <c r="I572">
        <v>0</v>
      </c>
      <c r="J572">
        <v>2015</v>
      </c>
      <c r="K572">
        <v>7</v>
      </c>
      <c r="L572">
        <v>276</v>
      </c>
      <c r="M572" t="s">
        <v>15</v>
      </c>
    </row>
    <row r="573" spans="1:13" x14ac:dyDescent="0.3">
      <c r="A573" s="1">
        <v>42212</v>
      </c>
      <c r="B573">
        <v>7.34</v>
      </c>
      <c r="C573">
        <v>3.34</v>
      </c>
      <c r="D573">
        <v>7</v>
      </c>
      <c r="E573">
        <v>24</v>
      </c>
      <c r="F573">
        <v>9</v>
      </c>
      <c r="G573">
        <v>0</v>
      </c>
      <c r="H573">
        <v>0</v>
      </c>
      <c r="I573">
        <v>1.5</v>
      </c>
      <c r="J573">
        <v>2015</v>
      </c>
      <c r="K573">
        <v>7</v>
      </c>
      <c r="L573">
        <v>276</v>
      </c>
      <c r="M573" t="s">
        <v>16</v>
      </c>
    </row>
    <row r="574" spans="1:13" x14ac:dyDescent="0.3">
      <c r="A574" s="1">
        <v>42213</v>
      </c>
      <c r="B574">
        <v>14.18</v>
      </c>
      <c r="C574">
        <v>6.02</v>
      </c>
      <c r="D574">
        <v>1</v>
      </c>
      <c r="E574">
        <v>15.2</v>
      </c>
      <c r="F574">
        <v>14</v>
      </c>
      <c r="G574">
        <v>0</v>
      </c>
      <c r="H574">
        <v>1</v>
      </c>
      <c r="I574">
        <v>3</v>
      </c>
      <c r="J574">
        <v>2015</v>
      </c>
      <c r="K574">
        <v>7</v>
      </c>
      <c r="L574">
        <v>276</v>
      </c>
      <c r="M574" t="s">
        <v>17</v>
      </c>
    </row>
    <row r="575" spans="1:13" x14ac:dyDescent="0.3">
      <c r="A575" s="1">
        <v>42214</v>
      </c>
      <c r="B575">
        <v>10.34</v>
      </c>
      <c r="C575">
        <v>3.34</v>
      </c>
      <c r="D575">
        <v>4</v>
      </c>
      <c r="E575">
        <v>21.378</v>
      </c>
      <c r="F575">
        <v>8</v>
      </c>
      <c r="G575">
        <v>0</v>
      </c>
      <c r="H575">
        <v>2</v>
      </c>
      <c r="I575">
        <v>1</v>
      </c>
      <c r="J575">
        <v>2015</v>
      </c>
      <c r="K575">
        <v>7</v>
      </c>
      <c r="L575">
        <v>276</v>
      </c>
      <c r="M575" t="s">
        <v>18</v>
      </c>
    </row>
    <row r="576" spans="1:13" x14ac:dyDescent="0.3">
      <c r="A576" s="1">
        <v>42215</v>
      </c>
      <c r="B576">
        <v>3</v>
      </c>
      <c r="C576">
        <v>3.33</v>
      </c>
      <c r="D576">
        <v>14</v>
      </c>
      <c r="E576">
        <v>16.3</v>
      </c>
      <c r="F576">
        <v>3</v>
      </c>
      <c r="G576">
        <v>0</v>
      </c>
      <c r="H576">
        <v>0</v>
      </c>
      <c r="I576">
        <v>4</v>
      </c>
      <c r="J576">
        <v>2015</v>
      </c>
      <c r="K576">
        <v>7</v>
      </c>
      <c r="L576">
        <v>276</v>
      </c>
      <c r="M576" t="s">
        <v>12</v>
      </c>
    </row>
    <row r="577" spans="1:13" x14ac:dyDescent="0.3">
      <c r="A577" s="1">
        <v>42216</v>
      </c>
      <c r="B577">
        <v>5.5</v>
      </c>
      <c r="C577">
        <v>9</v>
      </c>
      <c r="D577">
        <v>6.2</v>
      </c>
      <c r="E577">
        <v>24</v>
      </c>
      <c r="F577">
        <v>8</v>
      </c>
      <c r="G577">
        <v>0</v>
      </c>
      <c r="H577">
        <v>0</v>
      </c>
      <c r="I577">
        <v>6</v>
      </c>
      <c r="J577">
        <v>2015</v>
      </c>
      <c r="K577">
        <v>7</v>
      </c>
      <c r="L577">
        <v>276</v>
      </c>
      <c r="M577" t="s">
        <v>13</v>
      </c>
    </row>
    <row r="578" spans="1:13" x14ac:dyDescent="0.3">
      <c r="A578" s="1">
        <v>42217</v>
      </c>
      <c r="B578">
        <v>5</v>
      </c>
      <c r="C578">
        <v>5</v>
      </c>
      <c r="D578">
        <v>4</v>
      </c>
      <c r="E578">
        <v>19</v>
      </c>
      <c r="F578">
        <v>14</v>
      </c>
      <c r="G578">
        <v>0</v>
      </c>
      <c r="H578">
        <v>0</v>
      </c>
      <c r="I578">
        <v>2</v>
      </c>
      <c r="J578">
        <v>2015</v>
      </c>
      <c r="K578">
        <v>8</v>
      </c>
      <c r="L578">
        <v>276</v>
      </c>
      <c r="M578" t="s">
        <v>14</v>
      </c>
    </row>
    <row r="579" spans="1:13" x14ac:dyDescent="0.3">
      <c r="A579" s="1">
        <v>42218</v>
      </c>
      <c r="B579">
        <v>5</v>
      </c>
      <c r="C579">
        <v>6.7</v>
      </c>
      <c r="D579">
        <v>4</v>
      </c>
      <c r="E579">
        <v>15</v>
      </c>
      <c r="F579">
        <v>9</v>
      </c>
      <c r="G579">
        <v>0</v>
      </c>
      <c r="H579">
        <v>0</v>
      </c>
      <c r="I579">
        <v>2</v>
      </c>
      <c r="J579">
        <v>2015</v>
      </c>
      <c r="K579">
        <v>8</v>
      </c>
      <c r="L579">
        <v>276</v>
      </c>
      <c r="M579" t="s">
        <v>15</v>
      </c>
    </row>
    <row r="580" spans="1:13" x14ac:dyDescent="0.3">
      <c r="A580" s="1">
        <v>42219</v>
      </c>
      <c r="B580">
        <v>1.5</v>
      </c>
      <c r="C580">
        <v>2.33</v>
      </c>
      <c r="D580">
        <v>1.5</v>
      </c>
      <c r="E580">
        <v>23</v>
      </c>
      <c r="F580">
        <v>3.5</v>
      </c>
      <c r="G580">
        <v>1</v>
      </c>
      <c r="H580">
        <v>5</v>
      </c>
      <c r="I580">
        <v>1</v>
      </c>
      <c r="J580">
        <v>2015</v>
      </c>
      <c r="K580">
        <v>8</v>
      </c>
      <c r="L580">
        <v>276</v>
      </c>
      <c r="M580" t="s">
        <v>16</v>
      </c>
    </row>
    <row r="581" spans="1:13" x14ac:dyDescent="0.3">
      <c r="A581" s="1">
        <v>42220</v>
      </c>
      <c r="B581">
        <v>6.34</v>
      </c>
      <c r="C581">
        <v>2.33</v>
      </c>
      <c r="D581">
        <v>3</v>
      </c>
      <c r="E581">
        <v>23</v>
      </c>
      <c r="F581">
        <v>5</v>
      </c>
      <c r="G581">
        <v>1</v>
      </c>
      <c r="H581">
        <v>0</v>
      </c>
      <c r="I581">
        <v>4</v>
      </c>
      <c r="J581">
        <v>2015</v>
      </c>
      <c r="K581">
        <v>8</v>
      </c>
      <c r="L581">
        <v>276</v>
      </c>
      <c r="M581" t="s">
        <v>17</v>
      </c>
    </row>
    <row r="582" spans="1:13" x14ac:dyDescent="0.3">
      <c r="A582" s="1">
        <v>42221</v>
      </c>
      <c r="B582">
        <v>5</v>
      </c>
      <c r="C582">
        <v>3.33</v>
      </c>
      <c r="D582">
        <v>4.2</v>
      </c>
      <c r="E582">
        <v>22.2</v>
      </c>
      <c r="F582">
        <v>3.5</v>
      </c>
      <c r="G582">
        <v>0</v>
      </c>
      <c r="H582">
        <v>0</v>
      </c>
      <c r="I582">
        <v>1</v>
      </c>
      <c r="J582">
        <v>2015</v>
      </c>
      <c r="K582">
        <v>8</v>
      </c>
      <c r="L582">
        <v>276</v>
      </c>
      <c r="M582" t="s">
        <v>18</v>
      </c>
    </row>
    <row r="583" spans="1:13" x14ac:dyDescent="0.3">
      <c r="A583" s="1">
        <v>42222</v>
      </c>
      <c r="B583">
        <v>5.33</v>
      </c>
      <c r="C583">
        <v>1.67</v>
      </c>
      <c r="D583">
        <v>8</v>
      </c>
      <c r="E583">
        <v>35</v>
      </c>
      <c r="F583">
        <v>11</v>
      </c>
      <c r="G583">
        <v>0</v>
      </c>
      <c r="H583">
        <v>3</v>
      </c>
      <c r="I583">
        <v>2</v>
      </c>
      <c r="J583">
        <v>2015</v>
      </c>
      <c r="K583">
        <v>8</v>
      </c>
      <c r="L583">
        <v>276</v>
      </c>
      <c r="M583" t="s">
        <v>12</v>
      </c>
    </row>
    <row r="584" spans="1:13" x14ac:dyDescent="0.3">
      <c r="A584" s="1">
        <v>42223</v>
      </c>
      <c r="B584">
        <v>4.33</v>
      </c>
      <c r="C584">
        <v>4</v>
      </c>
      <c r="D584">
        <v>6</v>
      </c>
      <c r="E584">
        <v>22</v>
      </c>
      <c r="F584">
        <v>9</v>
      </c>
      <c r="G584">
        <v>2</v>
      </c>
      <c r="H584">
        <v>1</v>
      </c>
      <c r="I584">
        <v>6</v>
      </c>
      <c r="J584">
        <v>2015</v>
      </c>
      <c r="K584">
        <v>8</v>
      </c>
      <c r="L584">
        <v>276</v>
      </c>
      <c r="M584" t="s">
        <v>13</v>
      </c>
    </row>
    <row r="585" spans="1:13" x14ac:dyDescent="0.3">
      <c r="A585" s="1">
        <v>42224</v>
      </c>
      <c r="B585">
        <v>6.33</v>
      </c>
      <c r="C585">
        <v>5.33</v>
      </c>
      <c r="D585">
        <v>7</v>
      </c>
      <c r="E585">
        <v>22</v>
      </c>
      <c r="F585">
        <v>5</v>
      </c>
      <c r="G585">
        <v>0</v>
      </c>
      <c r="H585">
        <v>0</v>
      </c>
      <c r="I585">
        <v>0.7</v>
      </c>
      <c r="J585">
        <v>2015</v>
      </c>
      <c r="K585">
        <v>8</v>
      </c>
      <c r="L585">
        <v>276</v>
      </c>
      <c r="M585" t="s">
        <v>14</v>
      </c>
    </row>
    <row r="586" spans="1:13" x14ac:dyDescent="0.3">
      <c r="A586" s="1">
        <v>42225</v>
      </c>
      <c r="B586">
        <v>5</v>
      </c>
      <c r="C586">
        <v>3.66</v>
      </c>
      <c r="D586">
        <v>2</v>
      </c>
      <c r="E586">
        <v>21</v>
      </c>
      <c r="F586">
        <v>5</v>
      </c>
      <c r="G586">
        <v>0</v>
      </c>
      <c r="H586">
        <v>2</v>
      </c>
      <c r="I586">
        <v>3</v>
      </c>
      <c r="J586">
        <v>2015</v>
      </c>
      <c r="K586">
        <v>8</v>
      </c>
      <c r="L586">
        <v>276</v>
      </c>
      <c r="M586" t="s">
        <v>15</v>
      </c>
    </row>
    <row r="587" spans="1:13" x14ac:dyDescent="0.3">
      <c r="A587" s="1">
        <v>42226</v>
      </c>
      <c r="B587">
        <v>3.67</v>
      </c>
      <c r="C587">
        <v>5.68</v>
      </c>
      <c r="D587">
        <v>4.2</v>
      </c>
      <c r="E587">
        <v>29</v>
      </c>
      <c r="F587">
        <v>12.5</v>
      </c>
      <c r="G587">
        <v>0</v>
      </c>
      <c r="H587">
        <v>1</v>
      </c>
      <c r="I587">
        <v>5</v>
      </c>
      <c r="J587">
        <v>2015</v>
      </c>
      <c r="K587">
        <v>8</v>
      </c>
      <c r="L587">
        <v>276</v>
      </c>
      <c r="M587" t="s">
        <v>16</v>
      </c>
    </row>
    <row r="588" spans="1:13" x14ac:dyDescent="0.3">
      <c r="A588" s="1">
        <v>42227</v>
      </c>
      <c r="B588">
        <v>12.33</v>
      </c>
      <c r="C588">
        <v>6.66</v>
      </c>
      <c r="D588">
        <v>7.4</v>
      </c>
      <c r="E588">
        <v>18.100000000000001</v>
      </c>
      <c r="F588">
        <v>10</v>
      </c>
      <c r="G588">
        <v>0</v>
      </c>
      <c r="H588">
        <v>0</v>
      </c>
      <c r="I588">
        <v>4</v>
      </c>
      <c r="J588">
        <v>2015</v>
      </c>
      <c r="K588">
        <v>8</v>
      </c>
      <c r="L588">
        <v>276</v>
      </c>
      <c r="M588" t="s">
        <v>17</v>
      </c>
    </row>
    <row r="589" spans="1:13" x14ac:dyDescent="0.3">
      <c r="A589" s="1">
        <v>42228</v>
      </c>
      <c r="B589">
        <v>8.67</v>
      </c>
      <c r="C589">
        <v>7.6929999999999996</v>
      </c>
      <c r="D589">
        <v>4</v>
      </c>
      <c r="E589">
        <v>28.2</v>
      </c>
      <c r="F589">
        <v>9.5</v>
      </c>
      <c r="G589">
        <v>0</v>
      </c>
      <c r="H589">
        <v>1</v>
      </c>
      <c r="I589">
        <v>1</v>
      </c>
      <c r="J589">
        <v>2015</v>
      </c>
      <c r="K589">
        <v>8</v>
      </c>
      <c r="L589">
        <v>276</v>
      </c>
      <c r="M589" t="s">
        <v>18</v>
      </c>
    </row>
    <row r="590" spans="1:13" x14ac:dyDescent="0.3">
      <c r="A590" s="1">
        <v>42229</v>
      </c>
      <c r="B590">
        <v>8</v>
      </c>
      <c r="C590">
        <v>2</v>
      </c>
      <c r="D590">
        <v>6</v>
      </c>
      <c r="E590">
        <v>23.437999999999999</v>
      </c>
      <c r="F590">
        <v>9</v>
      </c>
      <c r="G590">
        <v>0</v>
      </c>
      <c r="H590">
        <v>3</v>
      </c>
      <c r="I590">
        <v>3</v>
      </c>
      <c r="J590">
        <v>2015</v>
      </c>
      <c r="K590">
        <v>8</v>
      </c>
      <c r="L590">
        <v>276</v>
      </c>
      <c r="M590" t="s">
        <v>12</v>
      </c>
    </row>
    <row r="591" spans="1:13" x14ac:dyDescent="0.3">
      <c r="A591" s="1">
        <v>42230</v>
      </c>
      <c r="B591">
        <v>3</v>
      </c>
      <c r="C591">
        <v>4.66</v>
      </c>
      <c r="D591">
        <v>4</v>
      </c>
      <c r="E591">
        <v>16.7</v>
      </c>
      <c r="F591">
        <v>5</v>
      </c>
      <c r="G591">
        <v>0</v>
      </c>
      <c r="H591">
        <v>1</v>
      </c>
      <c r="I591">
        <v>4</v>
      </c>
      <c r="J591">
        <v>2015</v>
      </c>
      <c r="K591">
        <v>8</v>
      </c>
      <c r="L591">
        <v>276</v>
      </c>
      <c r="M591" t="s">
        <v>13</v>
      </c>
    </row>
    <row r="592" spans="1:13" x14ac:dyDescent="0.3">
      <c r="A592" s="1">
        <v>42231</v>
      </c>
      <c r="B592">
        <v>3.34</v>
      </c>
      <c r="C592">
        <v>6.34</v>
      </c>
      <c r="D592">
        <v>6</v>
      </c>
      <c r="E592">
        <v>35</v>
      </c>
      <c r="F592">
        <v>14</v>
      </c>
      <c r="G592">
        <v>1</v>
      </c>
      <c r="H592">
        <v>1</v>
      </c>
      <c r="I592">
        <v>1</v>
      </c>
      <c r="J592">
        <v>2015</v>
      </c>
      <c r="K592">
        <v>8</v>
      </c>
      <c r="L592">
        <v>276</v>
      </c>
      <c r="M592" t="s">
        <v>14</v>
      </c>
    </row>
    <row r="593" spans="1:13" x14ac:dyDescent="0.3">
      <c r="A593" s="1">
        <v>42232</v>
      </c>
      <c r="B593">
        <v>2</v>
      </c>
      <c r="C593">
        <v>4.67</v>
      </c>
      <c r="D593">
        <v>2</v>
      </c>
      <c r="E593">
        <v>19.25</v>
      </c>
      <c r="F593">
        <v>4</v>
      </c>
      <c r="G593">
        <v>2</v>
      </c>
      <c r="H593">
        <v>0</v>
      </c>
      <c r="I593">
        <v>2</v>
      </c>
      <c r="J593">
        <v>2015</v>
      </c>
      <c r="K593">
        <v>8</v>
      </c>
      <c r="L593">
        <v>276</v>
      </c>
      <c r="M593" t="s">
        <v>15</v>
      </c>
    </row>
    <row r="594" spans="1:13" x14ac:dyDescent="0.3">
      <c r="A594" s="1">
        <v>42233</v>
      </c>
      <c r="B594">
        <v>8</v>
      </c>
      <c r="C594">
        <v>3</v>
      </c>
      <c r="D594">
        <v>3</v>
      </c>
      <c r="E594">
        <v>33</v>
      </c>
      <c r="F594">
        <v>6</v>
      </c>
      <c r="G594">
        <v>0</v>
      </c>
      <c r="H594">
        <v>0</v>
      </c>
      <c r="I594">
        <v>2</v>
      </c>
      <c r="J594">
        <v>2015</v>
      </c>
      <c r="K594">
        <v>8</v>
      </c>
      <c r="L594">
        <v>276</v>
      </c>
      <c r="M594" t="s">
        <v>16</v>
      </c>
    </row>
    <row r="595" spans="1:13" x14ac:dyDescent="0.3">
      <c r="A595" s="1">
        <v>42234</v>
      </c>
      <c r="B595">
        <v>6.01</v>
      </c>
      <c r="C595">
        <v>2.67</v>
      </c>
      <c r="D595">
        <v>3</v>
      </c>
      <c r="E595">
        <v>24</v>
      </c>
      <c r="F595">
        <v>16</v>
      </c>
      <c r="G595">
        <v>0</v>
      </c>
      <c r="H595">
        <v>3</v>
      </c>
      <c r="I595">
        <v>1</v>
      </c>
      <c r="J595">
        <v>2015</v>
      </c>
      <c r="K595">
        <v>8</v>
      </c>
      <c r="L595">
        <v>276</v>
      </c>
      <c r="M595" t="s">
        <v>17</v>
      </c>
    </row>
    <row r="596" spans="1:13" x14ac:dyDescent="0.3">
      <c r="A596" s="1">
        <v>42235</v>
      </c>
      <c r="B596">
        <v>6.33</v>
      </c>
      <c r="C596">
        <v>2.66</v>
      </c>
      <c r="D596">
        <v>8</v>
      </c>
      <c r="E596">
        <v>28</v>
      </c>
      <c r="F596">
        <v>15</v>
      </c>
      <c r="G596">
        <v>0</v>
      </c>
      <c r="H596">
        <v>3</v>
      </c>
      <c r="I596">
        <v>3</v>
      </c>
      <c r="J596">
        <v>2015</v>
      </c>
      <c r="K596">
        <v>8</v>
      </c>
      <c r="L596">
        <v>276</v>
      </c>
      <c r="M596" t="s">
        <v>18</v>
      </c>
    </row>
    <row r="597" spans="1:13" x14ac:dyDescent="0.3">
      <c r="A597" s="1">
        <v>42236</v>
      </c>
      <c r="B597">
        <v>3.5</v>
      </c>
      <c r="C597">
        <v>3.68</v>
      </c>
      <c r="D597">
        <v>5</v>
      </c>
      <c r="E597">
        <v>19</v>
      </c>
      <c r="F597">
        <v>6</v>
      </c>
      <c r="G597">
        <v>1</v>
      </c>
      <c r="H597">
        <v>0</v>
      </c>
      <c r="I597">
        <v>0</v>
      </c>
      <c r="J597">
        <v>2015</v>
      </c>
      <c r="K597">
        <v>8</v>
      </c>
      <c r="L597">
        <v>276</v>
      </c>
      <c r="M597" t="s">
        <v>12</v>
      </c>
    </row>
    <row r="598" spans="1:13" x14ac:dyDescent="0.3">
      <c r="A598" s="1">
        <v>42237</v>
      </c>
      <c r="B598">
        <v>6</v>
      </c>
      <c r="C598">
        <v>0.67</v>
      </c>
      <c r="D598">
        <v>3</v>
      </c>
      <c r="E598">
        <v>34</v>
      </c>
      <c r="F598">
        <v>8</v>
      </c>
      <c r="G598">
        <v>1</v>
      </c>
      <c r="H598">
        <v>1</v>
      </c>
      <c r="I598">
        <v>4</v>
      </c>
      <c r="J598">
        <v>2015</v>
      </c>
      <c r="K598">
        <v>8</v>
      </c>
      <c r="L598">
        <v>276</v>
      </c>
      <c r="M598" t="s">
        <v>13</v>
      </c>
    </row>
    <row r="599" spans="1:13" x14ac:dyDescent="0.3">
      <c r="A599" s="1">
        <v>42238</v>
      </c>
      <c r="B599">
        <v>2.34</v>
      </c>
      <c r="C599">
        <v>6.7359999999999998</v>
      </c>
      <c r="D599">
        <v>4</v>
      </c>
      <c r="E599">
        <v>28</v>
      </c>
      <c r="F599">
        <v>6</v>
      </c>
      <c r="G599">
        <v>3</v>
      </c>
      <c r="H599">
        <v>1</v>
      </c>
      <c r="I599">
        <v>6</v>
      </c>
      <c r="J599">
        <v>2015</v>
      </c>
      <c r="K599">
        <v>8</v>
      </c>
      <c r="L599">
        <v>276</v>
      </c>
      <c r="M599" t="s">
        <v>14</v>
      </c>
    </row>
    <row r="600" spans="1:13" x14ac:dyDescent="0.3">
      <c r="A600" s="1">
        <v>42239</v>
      </c>
      <c r="B600">
        <v>8.99</v>
      </c>
      <c r="C600">
        <v>5.33</v>
      </c>
      <c r="D600">
        <v>3</v>
      </c>
      <c r="E600">
        <v>28</v>
      </c>
      <c r="F600">
        <v>8</v>
      </c>
      <c r="G600">
        <v>0</v>
      </c>
      <c r="H600">
        <v>2</v>
      </c>
      <c r="I600">
        <v>2</v>
      </c>
      <c r="J600">
        <v>2015</v>
      </c>
      <c r="K600">
        <v>8</v>
      </c>
      <c r="L600">
        <v>276</v>
      </c>
      <c r="M600" t="s">
        <v>15</v>
      </c>
    </row>
    <row r="601" spans="1:13" x14ac:dyDescent="0.3">
      <c r="A601" s="1">
        <v>42240</v>
      </c>
      <c r="B601">
        <v>8.5</v>
      </c>
      <c r="C601">
        <v>3.66</v>
      </c>
      <c r="D601">
        <v>3.4</v>
      </c>
      <c r="E601">
        <v>45.1</v>
      </c>
      <c r="F601">
        <v>8</v>
      </c>
      <c r="G601">
        <v>0</v>
      </c>
      <c r="H601">
        <v>0</v>
      </c>
      <c r="I601">
        <v>1</v>
      </c>
      <c r="J601">
        <v>2015</v>
      </c>
      <c r="K601">
        <v>8</v>
      </c>
      <c r="L601">
        <v>276</v>
      </c>
      <c r="M601" t="s">
        <v>16</v>
      </c>
    </row>
    <row r="602" spans="1:13" x14ac:dyDescent="0.3">
      <c r="A602" s="1">
        <v>42241</v>
      </c>
      <c r="B602">
        <v>2.34</v>
      </c>
      <c r="C602">
        <v>2.67</v>
      </c>
      <c r="D602">
        <v>4</v>
      </c>
      <c r="E602">
        <v>23.5</v>
      </c>
      <c r="F602">
        <v>20</v>
      </c>
      <c r="G602">
        <v>0</v>
      </c>
      <c r="H602">
        <v>1</v>
      </c>
      <c r="I602">
        <v>3</v>
      </c>
      <c r="J602">
        <v>2015</v>
      </c>
      <c r="K602">
        <v>8</v>
      </c>
      <c r="L602">
        <v>276</v>
      </c>
      <c r="M602" t="s">
        <v>17</v>
      </c>
    </row>
    <row r="603" spans="1:13" x14ac:dyDescent="0.3">
      <c r="A603" s="1">
        <v>42242</v>
      </c>
      <c r="B603">
        <v>2.67</v>
      </c>
      <c r="C603">
        <v>4.0199999999999996</v>
      </c>
      <c r="D603">
        <v>7.3</v>
      </c>
      <c r="E603">
        <v>27</v>
      </c>
      <c r="F603">
        <v>7</v>
      </c>
      <c r="G603">
        <v>0</v>
      </c>
      <c r="H603">
        <v>1</v>
      </c>
      <c r="I603">
        <v>6</v>
      </c>
      <c r="J603">
        <v>2015</v>
      </c>
      <c r="K603">
        <v>8</v>
      </c>
      <c r="L603">
        <v>276</v>
      </c>
      <c r="M603" t="s">
        <v>18</v>
      </c>
    </row>
    <row r="604" spans="1:13" x14ac:dyDescent="0.3">
      <c r="A604" s="1">
        <v>42243</v>
      </c>
      <c r="B604">
        <v>9.33</v>
      </c>
      <c r="C604">
        <v>3</v>
      </c>
      <c r="D604">
        <v>4.5</v>
      </c>
      <c r="E604">
        <v>32</v>
      </c>
      <c r="F604">
        <v>8</v>
      </c>
      <c r="G604">
        <v>0</v>
      </c>
      <c r="H604">
        <v>0</v>
      </c>
      <c r="I604">
        <v>3</v>
      </c>
      <c r="J604">
        <v>2015</v>
      </c>
      <c r="K604">
        <v>8</v>
      </c>
      <c r="L604">
        <v>276</v>
      </c>
      <c r="M604" t="s">
        <v>12</v>
      </c>
    </row>
    <row r="605" spans="1:13" x14ac:dyDescent="0.3">
      <c r="A605" s="1">
        <v>42244</v>
      </c>
      <c r="B605">
        <v>7</v>
      </c>
      <c r="C605">
        <v>8.67</v>
      </c>
      <c r="D605">
        <v>1</v>
      </c>
      <c r="E605">
        <v>15.1</v>
      </c>
      <c r="F605">
        <v>12</v>
      </c>
      <c r="G605">
        <v>0</v>
      </c>
      <c r="H605">
        <v>0</v>
      </c>
      <c r="I605">
        <v>3</v>
      </c>
      <c r="J605">
        <v>2015</v>
      </c>
      <c r="K605">
        <v>8</v>
      </c>
      <c r="L605">
        <v>276</v>
      </c>
      <c r="M605" t="s">
        <v>13</v>
      </c>
    </row>
    <row r="606" spans="1:13" x14ac:dyDescent="0.3">
      <c r="A606" s="1">
        <v>42245</v>
      </c>
      <c r="B606">
        <v>10.84</v>
      </c>
      <c r="C606">
        <v>10.34</v>
      </c>
      <c r="D606">
        <v>4</v>
      </c>
      <c r="E606">
        <v>23.2</v>
      </c>
      <c r="F606">
        <v>4</v>
      </c>
      <c r="G606">
        <v>3</v>
      </c>
      <c r="H606">
        <v>3</v>
      </c>
      <c r="I606">
        <v>2</v>
      </c>
      <c r="J606">
        <v>2015</v>
      </c>
      <c r="K606">
        <v>8</v>
      </c>
      <c r="L606">
        <v>276</v>
      </c>
      <c r="M606" t="s">
        <v>14</v>
      </c>
    </row>
    <row r="607" spans="1:13" x14ac:dyDescent="0.3">
      <c r="A607" s="1">
        <v>42246</v>
      </c>
      <c r="B607">
        <v>11</v>
      </c>
      <c r="C607">
        <v>6.02</v>
      </c>
      <c r="D607">
        <v>3.5</v>
      </c>
      <c r="E607">
        <v>21</v>
      </c>
      <c r="F607">
        <v>3</v>
      </c>
      <c r="G607">
        <v>0</v>
      </c>
      <c r="H607">
        <v>6</v>
      </c>
      <c r="I607">
        <v>4</v>
      </c>
      <c r="J607">
        <v>2015</v>
      </c>
      <c r="K607">
        <v>8</v>
      </c>
      <c r="L607">
        <v>276</v>
      </c>
      <c r="M607" t="s">
        <v>15</v>
      </c>
    </row>
    <row r="608" spans="1:13" x14ac:dyDescent="0.3">
      <c r="A608" s="1">
        <v>42247</v>
      </c>
      <c r="B608">
        <v>4</v>
      </c>
      <c r="C608">
        <v>9.34</v>
      </c>
      <c r="D608">
        <v>3.4</v>
      </c>
      <c r="E608">
        <v>38</v>
      </c>
      <c r="F608">
        <v>9.5</v>
      </c>
      <c r="G608">
        <v>0</v>
      </c>
      <c r="H608">
        <v>6</v>
      </c>
      <c r="I608">
        <v>2</v>
      </c>
      <c r="J608">
        <v>2015</v>
      </c>
      <c r="K608">
        <v>8</v>
      </c>
      <c r="L608">
        <v>276</v>
      </c>
      <c r="M608" t="s">
        <v>16</v>
      </c>
    </row>
    <row r="609" spans="1:13" x14ac:dyDescent="0.3">
      <c r="A609" s="1">
        <v>42248</v>
      </c>
      <c r="B609">
        <v>8.18</v>
      </c>
      <c r="C609">
        <v>2.84</v>
      </c>
      <c r="D609">
        <v>4.4000000000000004</v>
      </c>
      <c r="E609">
        <v>28.25</v>
      </c>
      <c r="F609">
        <v>8</v>
      </c>
      <c r="G609">
        <v>0</v>
      </c>
      <c r="H609">
        <v>0</v>
      </c>
      <c r="I609">
        <v>3</v>
      </c>
      <c r="J609">
        <v>2015</v>
      </c>
      <c r="K609">
        <v>9</v>
      </c>
      <c r="L609">
        <v>276</v>
      </c>
      <c r="M609" t="s">
        <v>17</v>
      </c>
    </row>
    <row r="610" spans="1:13" x14ac:dyDescent="0.3">
      <c r="A610" s="1">
        <v>42249</v>
      </c>
      <c r="B610">
        <v>5.33</v>
      </c>
      <c r="C610">
        <v>7</v>
      </c>
      <c r="D610">
        <v>3</v>
      </c>
      <c r="E610">
        <v>31.3</v>
      </c>
      <c r="F610">
        <v>9.5</v>
      </c>
      <c r="G610">
        <v>0</v>
      </c>
      <c r="H610">
        <v>5</v>
      </c>
      <c r="I610">
        <v>5</v>
      </c>
      <c r="J610">
        <v>2015</v>
      </c>
      <c r="K610">
        <v>9</v>
      </c>
      <c r="L610">
        <v>276</v>
      </c>
      <c r="M610" t="s">
        <v>18</v>
      </c>
    </row>
    <row r="611" spans="1:13" x14ac:dyDescent="0.3">
      <c r="A611" s="1">
        <v>42250</v>
      </c>
      <c r="B611">
        <v>1.34</v>
      </c>
      <c r="C611">
        <v>3.68</v>
      </c>
      <c r="D611">
        <v>2.2000000000000002</v>
      </c>
      <c r="E611">
        <v>19</v>
      </c>
      <c r="F611">
        <v>13</v>
      </c>
      <c r="G611">
        <v>0</v>
      </c>
      <c r="H611">
        <v>4</v>
      </c>
      <c r="I611">
        <v>2</v>
      </c>
      <c r="J611">
        <v>2015</v>
      </c>
      <c r="K611">
        <v>9</v>
      </c>
      <c r="L611">
        <v>276</v>
      </c>
      <c r="M611" t="s">
        <v>12</v>
      </c>
    </row>
    <row r="612" spans="1:13" x14ac:dyDescent="0.3">
      <c r="A612" s="1">
        <v>42251</v>
      </c>
      <c r="B612">
        <v>3.34</v>
      </c>
      <c r="C612">
        <v>2.68</v>
      </c>
      <c r="D612">
        <v>3.1</v>
      </c>
      <c r="E612">
        <v>20</v>
      </c>
      <c r="F612">
        <v>8</v>
      </c>
      <c r="G612">
        <v>1</v>
      </c>
      <c r="H612">
        <v>1</v>
      </c>
      <c r="I612">
        <v>2</v>
      </c>
      <c r="J612">
        <v>2015</v>
      </c>
      <c r="K612">
        <v>9</v>
      </c>
      <c r="L612">
        <v>276</v>
      </c>
      <c r="M612" t="s">
        <v>13</v>
      </c>
    </row>
    <row r="613" spans="1:13" x14ac:dyDescent="0.3">
      <c r="A613" s="1">
        <v>42252</v>
      </c>
      <c r="B613">
        <v>8.83</v>
      </c>
      <c r="C613">
        <v>6.01</v>
      </c>
      <c r="D613">
        <v>3.2</v>
      </c>
      <c r="E613">
        <v>20</v>
      </c>
      <c r="F613">
        <v>10.5</v>
      </c>
      <c r="G613">
        <v>1</v>
      </c>
      <c r="H613">
        <v>6</v>
      </c>
      <c r="I613">
        <v>4</v>
      </c>
      <c r="J613">
        <v>2015</v>
      </c>
      <c r="K613">
        <v>9</v>
      </c>
      <c r="L613">
        <v>276</v>
      </c>
      <c r="M613" t="s">
        <v>14</v>
      </c>
    </row>
    <row r="614" spans="1:13" x14ac:dyDescent="0.3">
      <c r="A614" s="1">
        <v>42253</v>
      </c>
      <c r="B614">
        <v>8.33</v>
      </c>
      <c r="C614">
        <v>9.67</v>
      </c>
      <c r="D614">
        <v>6</v>
      </c>
      <c r="E614">
        <v>23.6</v>
      </c>
      <c r="F614">
        <v>8</v>
      </c>
      <c r="G614">
        <v>1</v>
      </c>
      <c r="H614">
        <v>0</v>
      </c>
      <c r="I614">
        <v>3</v>
      </c>
      <c r="J614">
        <v>2015</v>
      </c>
      <c r="K614">
        <v>9</v>
      </c>
      <c r="L614">
        <v>276</v>
      </c>
      <c r="M614" t="s">
        <v>15</v>
      </c>
    </row>
    <row r="615" spans="1:13" x14ac:dyDescent="0.3">
      <c r="A615" s="1">
        <v>42254</v>
      </c>
      <c r="B615">
        <v>4.34</v>
      </c>
      <c r="C615">
        <v>6.1239999999999997</v>
      </c>
      <c r="D615">
        <v>2.5</v>
      </c>
      <c r="E615">
        <v>32.799999999999997</v>
      </c>
      <c r="F615">
        <v>7</v>
      </c>
      <c r="G615">
        <v>1</v>
      </c>
      <c r="H615">
        <v>5</v>
      </c>
      <c r="I615">
        <v>2</v>
      </c>
      <c r="J615">
        <v>2015</v>
      </c>
      <c r="K615">
        <v>9</v>
      </c>
      <c r="L615">
        <v>276</v>
      </c>
      <c r="M615" t="s">
        <v>16</v>
      </c>
    </row>
    <row r="616" spans="1:13" x14ac:dyDescent="0.3">
      <c r="A616" s="1">
        <v>42255</v>
      </c>
      <c r="B616">
        <v>2.67</v>
      </c>
      <c r="C616">
        <v>1.6930000000000001</v>
      </c>
      <c r="D616">
        <v>5</v>
      </c>
      <c r="E616">
        <v>29.2</v>
      </c>
      <c r="F616">
        <v>4</v>
      </c>
      <c r="G616">
        <v>0</v>
      </c>
      <c r="H616">
        <v>2</v>
      </c>
      <c r="I616">
        <v>4</v>
      </c>
      <c r="J616">
        <v>2015</v>
      </c>
      <c r="K616">
        <v>9</v>
      </c>
      <c r="L616">
        <v>276</v>
      </c>
      <c r="M616" t="s">
        <v>17</v>
      </c>
    </row>
    <row r="617" spans="1:13" x14ac:dyDescent="0.3">
      <c r="A617" s="1">
        <v>42256</v>
      </c>
      <c r="B617">
        <v>2</v>
      </c>
      <c r="C617">
        <v>3</v>
      </c>
      <c r="D617">
        <v>1</v>
      </c>
      <c r="E617">
        <v>34.700000000000003</v>
      </c>
      <c r="F617">
        <v>8</v>
      </c>
      <c r="G617">
        <v>0</v>
      </c>
      <c r="H617">
        <v>2</v>
      </c>
      <c r="I617">
        <v>2</v>
      </c>
      <c r="J617">
        <v>2015</v>
      </c>
      <c r="K617">
        <v>9</v>
      </c>
      <c r="L617">
        <v>276</v>
      </c>
      <c r="M617" t="s">
        <v>18</v>
      </c>
    </row>
    <row r="618" spans="1:13" x14ac:dyDescent="0.3">
      <c r="A618" s="1">
        <v>42257</v>
      </c>
      <c r="B618">
        <v>6</v>
      </c>
      <c r="C618">
        <v>3.99</v>
      </c>
      <c r="D618">
        <v>4.2</v>
      </c>
      <c r="E618">
        <v>21.2</v>
      </c>
      <c r="F618">
        <v>18</v>
      </c>
      <c r="G618">
        <v>0</v>
      </c>
      <c r="H618">
        <v>2</v>
      </c>
      <c r="I618">
        <v>2</v>
      </c>
      <c r="J618">
        <v>2015</v>
      </c>
      <c r="K618">
        <v>9</v>
      </c>
      <c r="L618">
        <v>276</v>
      </c>
      <c r="M618" t="s">
        <v>12</v>
      </c>
    </row>
    <row r="619" spans="1:13" x14ac:dyDescent="0.3">
      <c r="A619" s="1">
        <v>42258</v>
      </c>
      <c r="B619">
        <v>11.33</v>
      </c>
      <c r="C619">
        <v>5</v>
      </c>
      <c r="D619">
        <v>9</v>
      </c>
      <c r="E619">
        <v>30</v>
      </c>
      <c r="F619">
        <v>9</v>
      </c>
      <c r="G619">
        <v>0</v>
      </c>
      <c r="H619">
        <v>2</v>
      </c>
      <c r="I619">
        <v>2</v>
      </c>
      <c r="J619">
        <v>2015</v>
      </c>
      <c r="K619">
        <v>9</v>
      </c>
      <c r="L619">
        <v>276</v>
      </c>
      <c r="M619" t="s">
        <v>13</v>
      </c>
    </row>
    <row r="620" spans="1:13" x14ac:dyDescent="0.3">
      <c r="A620" s="1">
        <v>42259</v>
      </c>
      <c r="B620">
        <v>4.66</v>
      </c>
      <c r="C620">
        <v>7.66</v>
      </c>
      <c r="D620">
        <v>5.2</v>
      </c>
      <c r="E620">
        <v>63.3</v>
      </c>
      <c r="F620">
        <v>6</v>
      </c>
      <c r="G620">
        <v>3</v>
      </c>
      <c r="H620">
        <v>0</v>
      </c>
      <c r="I620">
        <v>2</v>
      </c>
      <c r="J620">
        <v>2015</v>
      </c>
      <c r="K620">
        <v>9</v>
      </c>
      <c r="L620">
        <v>276</v>
      </c>
      <c r="M620" t="s">
        <v>14</v>
      </c>
    </row>
    <row r="621" spans="1:13" x14ac:dyDescent="0.3">
      <c r="A621" s="1">
        <v>42260</v>
      </c>
      <c r="B621">
        <v>7.33</v>
      </c>
      <c r="C621">
        <v>6.165</v>
      </c>
      <c r="D621">
        <v>7.2</v>
      </c>
      <c r="E621">
        <v>25</v>
      </c>
      <c r="F621">
        <v>4</v>
      </c>
      <c r="G621">
        <v>0</v>
      </c>
      <c r="H621">
        <v>11</v>
      </c>
      <c r="I621">
        <v>3</v>
      </c>
      <c r="J621">
        <v>2015</v>
      </c>
      <c r="K621">
        <v>9</v>
      </c>
      <c r="L621">
        <v>276</v>
      </c>
      <c r="M621" t="s">
        <v>15</v>
      </c>
    </row>
    <row r="622" spans="1:13" x14ac:dyDescent="0.3">
      <c r="A622" s="1">
        <v>42261</v>
      </c>
      <c r="B622">
        <v>4.68</v>
      </c>
      <c r="C622">
        <v>5</v>
      </c>
      <c r="D622">
        <v>1</v>
      </c>
      <c r="E622">
        <v>31.3</v>
      </c>
      <c r="F622">
        <v>14</v>
      </c>
      <c r="G622">
        <v>0</v>
      </c>
      <c r="H622">
        <v>0</v>
      </c>
      <c r="I622">
        <v>0</v>
      </c>
      <c r="J622">
        <v>2015</v>
      </c>
      <c r="K622">
        <v>9</v>
      </c>
      <c r="L622">
        <v>276</v>
      </c>
      <c r="M622" t="s">
        <v>16</v>
      </c>
    </row>
    <row r="623" spans="1:13" x14ac:dyDescent="0.3">
      <c r="A623" s="1">
        <v>42262</v>
      </c>
      <c r="B623">
        <v>3.33</v>
      </c>
      <c r="C623">
        <v>5.0759999999999996</v>
      </c>
      <c r="D623">
        <v>4.2</v>
      </c>
      <c r="E623">
        <v>23.8</v>
      </c>
      <c r="F623">
        <v>7.5</v>
      </c>
      <c r="G623">
        <v>0</v>
      </c>
      <c r="H623">
        <v>6</v>
      </c>
      <c r="I623">
        <v>5</v>
      </c>
      <c r="J623">
        <v>2015</v>
      </c>
      <c r="K623">
        <v>9</v>
      </c>
      <c r="L623">
        <v>276</v>
      </c>
      <c r="M623" t="s">
        <v>17</v>
      </c>
    </row>
    <row r="624" spans="1:13" x14ac:dyDescent="0.3">
      <c r="A624" s="1">
        <v>42263</v>
      </c>
      <c r="B624">
        <v>0.67</v>
      </c>
      <c r="C624">
        <v>4.835</v>
      </c>
      <c r="D624">
        <v>2.2000000000000002</v>
      </c>
      <c r="E624">
        <v>16.600000000000001</v>
      </c>
      <c r="F624">
        <v>6</v>
      </c>
      <c r="G624">
        <v>0</v>
      </c>
      <c r="H624">
        <v>2</v>
      </c>
      <c r="I624">
        <v>1</v>
      </c>
      <c r="J624">
        <v>2015</v>
      </c>
      <c r="K624">
        <v>9</v>
      </c>
      <c r="L624">
        <v>276</v>
      </c>
      <c r="M624" t="s">
        <v>18</v>
      </c>
    </row>
    <row r="625" spans="1:13" x14ac:dyDescent="0.3">
      <c r="A625" s="1">
        <v>42264</v>
      </c>
      <c r="B625">
        <v>9.83</v>
      </c>
      <c r="C625">
        <v>6.33</v>
      </c>
      <c r="D625">
        <v>0</v>
      </c>
      <c r="E625">
        <v>35.5</v>
      </c>
      <c r="F625">
        <v>3</v>
      </c>
      <c r="G625">
        <v>0</v>
      </c>
      <c r="H625">
        <v>1</v>
      </c>
      <c r="I625">
        <v>2</v>
      </c>
      <c r="J625">
        <v>2015</v>
      </c>
      <c r="K625">
        <v>9</v>
      </c>
      <c r="L625">
        <v>276</v>
      </c>
      <c r="M625" t="s">
        <v>12</v>
      </c>
    </row>
    <row r="626" spans="1:13" x14ac:dyDescent="0.3">
      <c r="A626" s="1">
        <v>42265</v>
      </c>
      <c r="B626">
        <v>3.34</v>
      </c>
      <c r="C626">
        <v>1.33</v>
      </c>
      <c r="D626">
        <v>3</v>
      </c>
      <c r="E626">
        <v>16</v>
      </c>
      <c r="F626">
        <v>4</v>
      </c>
      <c r="G626">
        <v>0</v>
      </c>
      <c r="H626">
        <v>4</v>
      </c>
      <c r="I626">
        <v>3</v>
      </c>
      <c r="J626">
        <v>2015</v>
      </c>
      <c r="K626">
        <v>9</v>
      </c>
      <c r="L626">
        <v>276</v>
      </c>
      <c r="M626" t="s">
        <v>13</v>
      </c>
    </row>
    <row r="627" spans="1:13" x14ac:dyDescent="0.3">
      <c r="A627" s="1">
        <v>42266</v>
      </c>
      <c r="B627">
        <v>6.83</v>
      </c>
      <c r="C627">
        <v>0.99</v>
      </c>
      <c r="D627">
        <v>7</v>
      </c>
      <c r="E627">
        <v>37</v>
      </c>
      <c r="F627">
        <v>7</v>
      </c>
      <c r="G627">
        <v>0</v>
      </c>
      <c r="H627">
        <v>4</v>
      </c>
      <c r="I627">
        <v>5</v>
      </c>
      <c r="J627">
        <v>2015</v>
      </c>
      <c r="K627">
        <v>9</v>
      </c>
      <c r="L627">
        <v>276</v>
      </c>
      <c r="M627" t="s">
        <v>14</v>
      </c>
    </row>
    <row r="628" spans="1:13" x14ac:dyDescent="0.3">
      <c r="A628" s="1">
        <v>42267</v>
      </c>
      <c r="B628">
        <v>9.99</v>
      </c>
      <c r="C628">
        <v>3.99</v>
      </c>
      <c r="D628">
        <v>6.5</v>
      </c>
      <c r="E628">
        <v>28.9</v>
      </c>
      <c r="F628">
        <v>15</v>
      </c>
      <c r="G628">
        <v>0</v>
      </c>
      <c r="H628">
        <v>0</v>
      </c>
      <c r="I628">
        <v>2</v>
      </c>
      <c r="J628">
        <v>2015</v>
      </c>
      <c r="K628">
        <v>9</v>
      </c>
      <c r="L628">
        <v>276</v>
      </c>
      <c r="M628" t="s">
        <v>15</v>
      </c>
    </row>
    <row r="629" spans="1:13" x14ac:dyDescent="0.3">
      <c r="A629" s="1">
        <v>42268</v>
      </c>
      <c r="B629">
        <v>2</v>
      </c>
      <c r="C629">
        <v>10</v>
      </c>
      <c r="D629">
        <v>2</v>
      </c>
      <c r="E629">
        <v>46.7</v>
      </c>
      <c r="F629">
        <v>6</v>
      </c>
      <c r="G629">
        <v>0</v>
      </c>
      <c r="H629">
        <v>0</v>
      </c>
      <c r="I629">
        <v>2</v>
      </c>
      <c r="J629">
        <v>2015</v>
      </c>
      <c r="K629">
        <v>9</v>
      </c>
      <c r="L629">
        <v>276</v>
      </c>
      <c r="M629" t="s">
        <v>16</v>
      </c>
    </row>
    <row r="630" spans="1:13" x14ac:dyDescent="0.3">
      <c r="A630" s="1">
        <v>42269</v>
      </c>
      <c r="B630">
        <v>6.99</v>
      </c>
      <c r="C630">
        <v>1.33</v>
      </c>
      <c r="D630">
        <v>4</v>
      </c>
      <c r="E630">
        <v>19.5</v>
      </c>
      <c r="F630">
        <v>10</v>
      </c>
      <c r="G630">
        <v>2</v>
      </c>
      <c r="H630">
        <v>5</v>
      </c>
      <c r="I630">
        <v>5</v>
      </c>
      <c r="J630">
        <v>2015</v>
      </c>
      <c r="K630">
        <v>9</v>
      </c>
      <c r="L630">
        <v>276</v>
      </c>
      <c r="M630" t="s">
        <v>17</v>
      </c>
    </row>
    <row r="631" spans="1:13" x14ac:dyDescent="0.3">
      <c r="A631" s="1">
        <v>42270</v>
      </c>
      <c r="B631">
        <v>6.16</v>
      </c>
      <c r="C631">
        <v>4.056</v>
      </c>
      <c r="D631">
        <v>3.3</v>
      </c>
      <c r="E631">
        <v>34.65</v>
      </c>
      <c r="F631">
        <v>7</v>
      </c>
      <c r="G631">
        <v>0</v>
      </c>
      <c r="H631">
        <v>2</v>
      </c>
      <c r="I631">
        <v>1</v>
      </c>
      <c r="J631">
        <v>2015</v>
      </c>
      <c r="K631">
        <v>9</v>
      </c>
      <c r="L631">
        <v>276</v>
      </c>
      <c r="M631" t="s">
        <v>18</v>
      </c>
    </row>
    <row r="632" spans="1:13" x14ac:dyDescent="0.3">
      <c r="A632" s="1">
        <v>42271</v>
      </c>
      <c r="B632">
        <v>2.99</v>
      </c>
      <c r="C632">
        <v>4.34</v>
      </c>
      <c r="D632">
        <v>4.2</v>
      </c>
      <c r="E632">
        <v>37.6</v>
      </c>
      <c r="F632">
        <v>7</v>
      </c>
      <c r="G632">
        <v>0</v>
      </c>
      <c r="H632">
        <v>0</v>
      </c>
      <c r="I632">
        <v>0</v>
      </c>
      <c r="J632">
        <v>2015</v>
      </c>
      <c r="K632">
        <v>9</v>
      </c>
      <c r="L632">
        <v>276</v>
      </c>
      <c r="M632" t="s">
        <v>12</v>
      </c>
    </row>
    <row r="633" spans="1:13" x14ac:dyDescent="0.3">
      <c r="A633" s="1">
        <v>42272</v>
      </c>
      <c r="B633">
        <v>4.83</v>
      </c>
      <c r="C633">
        <v>4.9800000000000004</v>
      </c>
      <c r="D633">
        <v>5.2</v>
      </c>
      <c r="E633">
        <v>25.2</v>
      </c>
      <c r="F633">
        <v>11</v>
      </c>
      <c r="G633">
        <v>0</v>
      </c>
      <c r="H633">
        <v>1</v>
      </c>
      <c r="I633">
        <v>3</v>
      </c>
      <c r="J633">
        <v>2015</v>
      </c>
      <c r="K633">
        <v>9</v>
      </c>
      <c r="L633">
        <v>276</v>
      </c>
      <c r="M633" t="s">
        <v>13</v>
      </c>
    </row>
    <row r="634" spans="1:13" x14ac:dyDescent="0.3">
      <c r="A634" s="1">
        <v>42273</v>
      </c>
      <c r="B634">
        <v>12.42</v>
      </c>
      <c r="C634">
        <v>3.33</v>
      </c>
      <c r="D634">
        <v>2.5</v>
      </c>
      <c r="E634">
        <v>33</v>
      </c>
      <c r="F634">
        <v>6</v>
      </c>
      <c r="G634">
        <v>1</v>
      </c>
      <c r="H634">
        <v>7</v>
      </c>
      <c r="I634">
        <v>2</v>
      </c>
      <c r="J634">
        <v>2015</v>
      </c>
      <c r="K634">
        <v>9</v>
      </c>
      <c r="L634">
        <v>276</v>
      </c>
      <c r="M634" t="s">
        <v>14</v>
      </c>
    </row>
    <row r="635" spans="1:13" x14ac:dyDescent="0.3">
      <c r="A635" s="1">
        <v>42274</v>
      </c>
      <c r="B635">
        <v>5.83</v>
      </c>
      <c r="C635">
        <v>3</v>
      </c>
      <c r="D635">
        <v>2.2999999999999998</v>
      </c>
      <c r="E635">
        <v>10.425000000000001</v>
      </c>
      <c r="F635">
        <v>3</v>
      </c>
      <c r="G635">
        <v>1</v>
      </c>
      <c r="H635">
        <v>2</v>
      </c>
      <c r="I635">
        <v>1</v>
      </c>
      <c r="J635">
        <v>2015</v>
      </c>
      <c r="K635">
        <v>9</v>
      </c>
      <c r="L635">
        <v>276</v>
      </c>
      <c r="M635" t="s">
        <v>15</v>
      </c>
    </row>
    <row r="636" spans="1:13" x14ac:dyDescent="0.3">
      <c r="A636" s="1">
        <v>42275</v>
      </c>
      <c r="B636">
        <v>1</v>
      </c>
      <c r="C636">
        <v>1.33</v>
      </c>
      <c r="D636">
        <v>2</v>
      </c>
      <c r="E636">
        <v>15.4</v>
      </c>
      <c r="F636">
        <v>8</v>
      </c>
      <c r="G636">
        <v>0</v>
      </c>
      <c r="H636">
        <v>17</v>
      </c>
      <c r="I636">
        <v>2</v>
      </c>
      <c r="J636">
        <v>2015</v>
      </c>
      <c r="K636">
        <v>9</v>
      </c>
      <c r="L636">
        <v>276</v>
      </c>
      <c r="M636" t="s">
        <v>16</v>
      </c>
    </row>
    <row r="637" spans="1:13" x14ac:dyDescent="0.3">
      <c r="A637" s="1">
        <v>42276</v>
      </c>
      <c r="B637">
        <v>6.33</v>
      </c>
      <c r="C637">
        <v>4.3630000000000004</v>
      </c>
      <c r="D637">
        <v>1</v>
      </c>
      <c r="E637">
        <v>39.700000000000003</v>
      </c>
      <c r="F637">
        <v>7</v>
      </c>
      <c r="G637">
        <v>0</v>
      </c>
      <c r="H637">
        <v>0</v>
      </c>
      <c r="I637">
        <v>0</v>
      </c>
      <c r="J637">
        <v>2015</v>
      </c>
      <c r="K637">
        <v>9</v>
      </c>
      <c r="L637">
        <v>276</v>
      </c>
      <c r="M637" t="s">
        <v>17</v>
      </c>
    </row>
    <row r="638" spans="1:13" x14ac:dyDescent="0.3">
      <c r="A638" s="1">
        <v>42277</v>
      </c>
      <c r="B638">
        <v>5.32</v>
      </c>
      <c r="C638">
        <v>4.33</v>
      </c>
      <c r="D638">
        <v>4</v>
      </c>
      <c r="E638">
        <v>22.5</v>
      </c>
      <c r="F638">
        <v>9</v>
      </c>
      <c r="G638">
        <v>0</v>
      </c>
      <c r="H638">
        <v>0</v>
      </c>
      <c r="I638">
        <v>1</v>
      </c>
      <c r="J638">
        <v>2015</v>
      </c>
      <c r="K638">
        <v>9</v>
      </c>
      <c r="L638">
        <v>276</v>
      </c>
      <c r="M638" t="s">
        <v>18</v>
      </c>
    </row>
    <row r="639" spans="1:13" x14ac:dyDescent="0.3">
      <c r="A639" s="1">
        <v>42278</v>
      </c>
      <c r="B639">
        <v>9.66</v>
      </c>
      <c r="C639">
        <v>5.99</v>
      </c>
      <c r="D639">
        <v>4</v>
      </c>
      <c r="E639">
        <v>34.561999999999998</v>
      </c>
      <c r="F639">
        <v>2</v>
      </c>
      <c r="G639">
        <v>0</v>
      </c>
      <c r="H639">
        <v>5</v>
      </c>
      <c r="I639">
        <v>2</v>
      </c>
      <c r="J639">
        <v>2015</v>
      </c>
      <c r="K639">
        <v>10</v>
      </c>
      <c r="L639">
        <v>276</v>
      </c>
      <c r="M639" t="s">
        <v>12</v>
      </c>
    </row>
    <row r="640" spans="1:13" x14ac:dyDescent="0.3">
      <c r="A640" s="1">
        <v>42279</v>
      </c>
      <c r="B640">
        <v>5</v>
      </c>
      <c r="C640">
        <v>4.726</v>
      </c>
      <c r="D640">
        <v>4</v>
      </c>
      <c r="E640">
        <v>37.299999999999997</v>
      </c>
      <c r="F640">
        <v>5</v>
      </c>
      <c r="G640">
        <v>0</v>
      </c>
      <c r="H640">
        <v>5</v>
      </c>
      <c r="I640">
        <v>1</v>
      </c>
      <c r="J640">
        <v>2015</v>
      </c>
      <c r="K640">
        <v>10</v>
      </c>
      <c r="L640">
        <v>276</v>
      </c>
      <c r="M640" t="s">
        <v>13</v>
      </c>
    </row>
    <row r="641" spans="1:13" x14ac:dyDescent="0.3">
      <c r="A641" s="1">
        <v>42280</v>
      </c>
      <c r="B641">
        <v>10.34</v>
      </c>
      <c r="C641">
        <v>5.34</v>
      </c>
      <c r="D641">
        <v>3</v>
      </c>
      <c r="E641">
        <v>37.200000000000003</v>
      </c>
      <c r="F641">
        <v>7</v>
      </c>
      <c r="G641">
        <v>0</v>
      </c>
      <c r="H641">
        <v>7</v>
      </c>
      <c r="I641">
        <v>2</v>
      </c>
      <c r="J641">
        <v>2015</v>
      </c>
      <c r="K641">
        <v>10</v>
      </c>
      <c r="L641">
        <v>276</v>
      </c>
      <c r="M641" t="s">
        <v>14</v>
      </c>
    </row>
    <row r="642" spans="1:13" x14ac:dyDescent="0.3">
      <c r="A642" s="1">
        <v>42281</v>
      </c>
      <c r="B642">
        <v>7</v>
      </c>
      <c r="C642">
        <v>4</v>
      </c>
      <c r="D642">
        <v>4</v>
      </c>
      <c r="E642">
        <v>59</v>
      </c>
      <c r="F642">
        <v>3</v>
      </c>
      <c r="G642">
        <v>0</v>
      </c>
      <c r="H642">
        <v>16</v>
      </c>
      <c r="I642">
        <v>2</v>
      </c>
      <c r="J642">
        <v>2015</v>
      </c>
      <c r="K642">
        <v>10</v>
      </c>
      <c r="L642">
        <v>276</v>
      </c>
      <c r="M642" t="s">
        <v>15</v>
      </c>
    </row>
    <row r="643" spans="1:13" x14ac:dyDescent="0.3">
      <c r="A643" s="1">
        <v>42282</v>
      </c>
      <c r="B643">
        <v>5</v>
      </c>
      <c r="C643">
        <v>2.3730000000000002</v>
      </c>
      <c r="D643">
        <v>2.2000000000000002</v>
      </c>
      <c r="E643">
        <v>70.95</v>
      </c>
      <c r="F643">
        <v>11</v>
      </c>
      <c r="G643">
        <v>1</v>
      </c>
      <c r="H643">
        <v>7</v>
      </c>
      <c r="I643">
        <v>5</v>
      </c>
      <c r="J643">
        <v>2015</v>
      </c>
      <c r="K643">
        <v>10</v>
      </c>
      <c r="L643">
        <v>276</v>
      </c>
      <c r="M643" t="s">
        <v>16</v>
      </c>
    </row>
    <row r="644" spans="1:13" x14ac:dyDescent="0.3">
      <c r="A644" s="1">
        <v>42283</v>
      </c>
      <c r="B644">
        <v>5.69</v>
      </c>
      <c r="C644">
        <v>3.66</v>
      </c>
      <c r="D644">
        <v>5.5</v>
      </c>
      <c r="E644">
        <v>42.725000000000001</v>
      </c>
      <c r="F644">
        <v>9</v>
      </c>
      <c r="G644">
        <v>1</v>
      </c>
      <c r="H644">
        <v>5</v>
      </c>
      <c r="I644">
        <v>4</v>
      </c>
      <c r="J644">
        <v>2015</v>
      </c>
      <c r="K644">
        <v>10</v>
      </c>
      <c r="L644">
        <v>276</v>
      </c>
      <c r="M644" t="s">
        <v>17</v>
      </c>
    </row>
    <row r="645" spans="1:13" x14ac:dyDescent="0.3">
      <c r="A645" s="1">
        <v>42284</v>
      </c>
      <c r="B645">
        <v>7.33</v>
      </c>
      <c r="C645">
        <v>2.66</v>
      </c>
      <c r="D645">
        <v>6</v>
      </c>
      <c r="E645">
        <v>44.3</v>
      </c>
      <c r="F645">
        <v>8</v>
      </c>
      <c r="G645">
        <v>0</v>
      </c>
      <c r="H645">
        <v>5</v>
      </c>
      <c r="I645">
        <v>2</v>
      </c>
      <c r="J645">
        <v>2015</v>
      </c>
      <c r="K645">
        <v>10</v>
      </c>
      <c r="L645">
        <v>276</v>
      </c>
      <c r="M645" t="s">
        <v>18</v>
      </c>
    </row>
    <row r="646" spans="1:13" x14ac:dyDescent="0.3">
      <c r="A646" s="1">
        <v>42285</v>
      </c>
      <c r="B646">
        <v>8.82</v>
      </c>
      <c r="C646">
        <v>4.33</v>
      </c>
      <c r="D646">
        <v>3</v>
      </c>
      <c r="E646">
        <v>30.7</v>
      </c>
      <c r="F646">
        <v>5</v>
      </c>
      <c r="G646">
        <v>0</v>
      </c>
      <c r="H646">
        <v>20</v>
      </c>
      <c r="I646">
        <v>0</v>
      </c>
      <c r="J646">
        <v>2015</v>
      </c>
      <c r="K646">
        <v>10</v>
      </c>
      <c r="L646">
        <v>276</v>
      </c>
      <c r="M646" t="s">
        <v>12</v>
      </c>
    </row>
    <row r="647" spans="1:13" x14ac:dyDescent="0.3">
      <c r="A647" s="1">
        <v>42286</v>
      </c>
      <c r="B647">
        <v>2</v>
      </c>
      <c r="C647">
        <v>2.7690000000000001</v>
      </c>
      <c r="D647">
        <v>7.6</v>
      </c>
      <c r="E647">
        <v>28.062000000000001</v>
      </c>
      <c r="F647">
        <v>13</v>
      </c>
      <c r="G647">
        <v>2</v>
      </c>
      <c r="H647">
        <v>10</v>
      </c>
      <c r="I647">
        <v>2</v>
      </c>
      <c r="J647">
        <v>2015</v>
      </c>
      <c r="K647">
        <v>10</v>
      </c>
      <c r="L647">
        <v>276</v>
      </c>
      <c r="M647" t="s">
        <v>13</v>
      </c>
    </row>
    <row r="648" spans="1:13" x14ac:dyDescent="0.3">
      <c r="A648" s="1">
        <v>42287</v>
      </c>
      <c r="B648">
        <v>6.16</v>
      </c>
      <c r="C648">
        <v>5.66</v>
      </c>
      <c r="D648">
        <v>3</v>
      </c>
      <c r="E648">
        <v>46.3</v>
      </c>
      <c r="F648">
        <v>19.5</v>
      </c>
      <c r="G648">
        <v>0</v>
      </c>
      <c r="H648">
        <v>1</v>
      </c>
      <c r="I648">
        <v>0</v>
      </c>
      <c r="J648">
        <v>2015</v>
      </c>
      <c r="K648">
        <v>10</v>
      </c>
      <c r="L648">
        <v>276</v>
      </c>
      <c r="M648" t="s">
        <v>14</v>
      </c>
    </row>
    <row r="649" spans="1:13" x14ac:dyDescent="0.3">
      <c r="A649" s="1">
        <v>42288</v>
      </c>
      <c r="B649">
        <v>10.33</v>
      </c>
      <c r="C649">
        <v>2.7919999999999998</v>
      </c>
      <c r="D649">
        <v>7.1</v>
      </c>
      <c r="E649">
        <v>70.3</v>
      </c>
      <c r="F649">
        <v>8</v>
      </c>
      <c r="G649">
        <v>0</v>
      </c>
      <c r="H649">
        <v>3</v>
      </c>
      <c r="I649">
        <v>5</v>
      </c>
      <c r="J649">
        <v>2015</v>
      </c>
      <c r="K649">
        <v>10</v>
      </c>
      <c r="L649">
        <v>276</v>
      </c>
      <c r="M649" t="s">
        <v>15</v>
      </c>
    </row>
    <row r="650" spans="1:13" x14ac:dyDescent="0.3">
      <c r="A650" s="1">
        <v>42289</v>
      </c>
      <c r="B650">
        <v>9.66</v>
      </c>
      <c r="C650">
        <v>7.33</v>
      </c>
      <c r="D650">
        <v>6</v>
      </c>
      <c r="E650">
        <v>68.849999999999994</v>
      </c>
      <c r="F650">
        <v>12</v>
      </c>
      <c r="G650">
        <v>0</v>
      </c>
      <c r="H650">
        <v>5</v>
      </c>
      <c r="I650">
        <v>3</v>
      </c>
      <c r="J650">
        <v>2015</v>
      </c>
      <c r="K650">
        <v>10</v>
      </c>
      <c r="L650">
        <v>276</v>
      </c>
      <c r="M650" t="s">
        <v>16</v>
      </c>
    </row>
    <row r="651" spans="1:13" x14ac:dyDescent="0.3">
      <c r="A651" s="1">
        <v>42290</v>
      </c>
      <c r="B651">
        <v>3.83</v>
      </c>
      <c r="C651">
        <v>7</v>
      </c>
      <c r="D651">
        <v>5.2</v>
      </c>
      <c r="E651">
        <v>63.8</v>
      </c>
      <c r="F651">
        <v>5.5</v>
      </c>
      <c r="G651">
        <v>0</v>
      </c>
      <c r="H651">
        <v>5</v>
      </c>
      <c r="I651">
        <v>1</v>
      </c>
      <c r="J651">
        <v>2015</v>
      </c>
      <c r="K651">
        <v>10</v>
      </c>
      <c r="L651">
        <v>276</v>
      </c>
      <c r="M651" t="s">
        <v>17</v>
      </c>
    </row>
    <row r="652" spans="1:13" x14ac:dyDescent="0.3">
      <c r="A652" s="1">
        <v>42291</v>
      </c>
      <c r="B652">
        <v>4.66</v>
      </c>
      <c r="C652">
        <v>7.33</v>
      </c>
      <c r="D652">
        <v>3.9</v>
      </c>
      <c r="E652">
        <v>38.6</v>
      </c>
      <c r="F652">
        <v>7</v>
      </c>
      <c r="G652">
        <v>0</v>
      </c>
      <c r="H652">
        <v>0</v>
      </c>
      <c r="I652">
        <v>1</v>
      </c>
      <c r="J652">
        <v>2015</v>
      </c>
      <c r="K652">
        <v>10</v>
      </c>
      <c r="L652">
        <v>276</v>
      </c>
      <c r="M652" t="s">
        <v>18</v>
      </c>
    </row>
    <row r="653" spans="1:13" x14ac:dyDescent="0.3">
      <c r="A653" s="1">
        <v>42292</v>
      </c>
      <c r="B653">
        <v>5.16</v>
      </c>
      <c r="C653">
        <v>5.726</v>
      </c>
      <c r="D653">
        <v>7.3</v>
      </c>
      <c r="E653">
        <v>64.724000000000004</v>
      </c>
      <c r="F653">
        <v>4</v>
      </c>
      <c r="G653">
        <v>0</v>
      </c>
      <c r="H653">
        <v>9</v>
      </c>
      <c r="I653">
        <v>1</v>
      </c>
      <c r="J653">
        <v>2015</v>
      </c>
      <c r="K653">
        <v>10</v>
      </c>
      <c r="L653">
        <v>276</v>
      </c>
      <c r="M653" t="s">
        <v>12</v>
      </c>
    </row>
    <row r="654" spans="1:13" x14ac:dyDescent="0.3">
      <c r="A654" s="1">
        <v>42293</v>
      </c>
      <c r="B654">
        <v>1.67</v>
      </c>
      <c r="C654">
        <v>3.33</v>
      </c>
      <c r="D654">
        <v>5.2</v>
      </c>
      <c r="E654">
        <v>57.3</v>
      </c>
      <c r="F654">
        <v>2</v>
      </c>
      <c r="G654">
        <v>0</v>
      </c>
      <c r="H654">
        <v>5</v>
      </c>
      <c r="I654">
        <v>1</v>
      </c>
      <c r="J654">
        <v>2015</v>
      </c>
      <c r="K654">
        <v>10</v>
      </c>
      <c r="L654">
        <v>276</v>
      </c>
      <c r="M654" t="s">
        <v>13</v>
      </c>
    </row>
    <row r="655" spans="1:13" x14ac:dyDescent="0.3">
      <c r="A655" s="1">
        <v>42294</v>
      </c>
      <c r="B655">
        <v>10.34</v>
      </c>
      <c r="C655">
        <v>2.8370000000000002</v>
      </c>
      <c r="D655">
        <v>3.4</v>
      </c>
      <c r="E655">
        <v>74.3</v>
      </c>
      <c r="F655">
        <v>8</v>
      </c>
      <c r="G655">
        <v>0</v>
      </c>
      <c r="H655">
        <v>0</v>
      </c>
      <c r="I655">
        <v>1</v>
      </c>
      <c r="J655">
        <v>2015</v>
      </c>
      <c r="K655">
        <v>10</v>
      </c>
      <c r="L655">
        <v>276</v>
      </c>
      <c r="M655" t="s">
        <v>14</v>
      </c>
    </row>
    <row r="656" spans="1:13" x14ac:dyDescent="0.3">
      <c r="A656" s="1">
        <v>42295</v>
      </c>
      <c r="B656">
        <v>7.34</v>
      </c>
      <c r="C656">
        <v>6.54</v>
      </c>
      <c r="D656">
        <v>4.9000000000000004</v>
      </c>
      <c r="E656">
        <v>55.6</v>
      </c>
      <c r="F656">
        <v>3</v>
      </c>
      <c r="G656">
        <v>1</v>
      </c>
      <c r="H656">
        <v>8</v>
      </c>
      <c r="I656">
        <v>8</v>
      </c>
      <c r="J656">
        <v>2015</v>
      </c>
      <c r="K656">
        <v>10</v>
      </c>
      <c r="L656">
        <v>276</v>
      </c>
      <c r="M656" t="s">
        <v>15</v>
      </c>
    </row>
    <row r="657" spans="1:13" x14ac:dyDescent="0.3">
      <c r="A657" s="1">
        <v>42296</v>
      </c>
      <c r="B657">
        <v>12</v>
      </c>
      <c r="C657">
        <v>3.802</v>
      </c>
      <c r="D657">
        <v>3</v>
      </c>
      <c r="E657">
        <v>62.6</v>
      </c>
      <c r="F657">
        <v>3</v>
      </c>
      <c r="G657">
        <v>0</v>
      </c>
      <c r="H657">
        <v>17</v>
      </c>
      <c r="I657">
        <v>0</v>
      </c>
      <c r="J657">
        <v>2015</v>
      </c>
      <c r="K657">
        <v>10</v>
      </c>
      <c r="L657">
        <v>276</v>
      </c>
      <c r="M657" t="s">
        <v>16</v>
      </c>
    </row>
    <row r="658" spans="1:13" x14ac:dyDescent="0.3">
      <c r="A658" s="1">
        <v>42297</v>
      </c>
      <c r="B658">
        <v>3.34</v>
      </c>
      <c r="C658">
        <v>1.99</v>
      </c>
      <c r="D658">
        <v>2.2999999999999998</v>
      </c>
      <c r="E658">
        <v>44.7</v>
      </c>
      <c r="F658">
        <v>6</v>
      </c>
      <c r="G658">
        <v>0</v>
      </c>
      <c r="H658">
        <v>10</v>
      </c>
      <c r="I658">
        <v>5</v>
      </c>
      <c r="J658">
        <v>2015</v>
      </c>
      <c r="K658">
        <v>10</v>
      </c>
      <c r="L658">
        <v>276</v>
      </c>
      <c r="M658" t="s">
        <v>17</v>
      </c>
    </row>
    <row r="659" spans="1:13" x14ac:dyDescent="0.3">
      <c r="A659" s="1">
        <v>42298</v>
      </c>
      <c r="B659">
        <v>8.66</v>
      </c>
      <c r="C659">
        <v>2.363</v>
      </c>
      <c r="D659">
        <v>3.2</v>
      </c>
      <c r="E659">
        <v>36.799999999999997</v>
      </c>
      <c r="F659">
        <v>9</v>
      </c>
      <c r="G659">
        <v>1</v>
      </c>
      <c r="H659">
        <v>1</v>
      </c>
      <c r="I659">
        <v>4</v>
      </c>
      <c r="J659">
        <v>2015</v>
      </c>
      <c r="K659">
        <v>10</v>
      </c>
      <c r="L659">
        <v>276</v>
      </c>
      <c r="M659" t="s">
        <v>18</v>
      </c>
    </row>
    <row r="660" spans="1:13" x14ac:dyDescent="0.3">
      <c r="A660" s="1">
        <v>42299</v>
      </c>
      <c r="B660">
        <v>4.33</v>
      </c>
      <c r="C660">
        <v>0.34</v>
      </c>
      <c r="D660">
        <v>0</v>
      </c>
      <c r="E660">
        <v>35.262</v>
      </c>
      <c r="F660">
        <v>9</v>
      </c>
      <c r="G660">
        <v>0</v>
      </c>
      <c r="H660">
        <v>2</v>
      </c>
      <c r="I660">
        <v>2</v>
      </c>
      <c r="J660">
        <v>2015</v>
      </c>
      <c r="K660">
        <v>10</v>
      </c>
      <c r="L660">
        <v>276</v>
      </c>
      <c r="M660" t="s">
        <v>12</v>
      </c>
    </row>
    <row r="661" spans="1:13" x14ac:dyDescent="0.3">
      <c r="A661" s="1">
        <v>42300</v>
      </c>
      <c r="B661">
        <v>7</v>
      </c>
      <c r="C661">
        <v>1.66</v>
      </c>
      <c r="D661">
        <v>10.199999999999999</v>
      </c>
      <c r="E661">
        <v>41.4</v>
      </c>
      <c r="F661">
        <v>3</v>
      </c>
      <c r="G661">
        <v>0</v>
      </c>
      <c r="H661">
        <v>6</v>
      </c>
      <c r="I661">
        <v>2</v>
      </c>
      <c r="J661">
        <v>2015</v>
      </c>
      <c r="K661">
        <v>10</v>
      </c>
      <c r="L661">
        <v>276</v>
      </c>
      <c r="M661" t="s">
        <v>13</v>
      </c>
    </row>
    <row r="662" spans="1:13" x14ac:dyDescent="0.3">
      <c r="A662" s="1">
        <v>42301</v>
      </c>
      <c r="B662">
        <v>9.84</v>
      </c>
      <c r="C662">
        <v>8.35</v>
      </c>
      <c r="D662">
        <v>9.1</v>
      </c>
      <c r="E662">
        <v>67.400000000000006</v>
      </c>
      <c r="F662">
        <v>8</v>
      </c>
      <c r="G662">
        <v>0</v>
      </c>
      <c r="H662">
        <v>4</v>
      </c>
      <c r="I662">
        <v>2</v>
      </c>
      <c r="J662">
        <v>2015</v>
      </c>
      <c r="K662">
        <v>10</v>
      </c>
      <c r="L662">
        <v>276</v>
      </c>
      <c r="M662" t="s">
        <v>14</v>
      </c>
    </row>
    <row r="663" spans="1:13" x14ac:dyDescent="0.3">
      <c r="A663" s="1">
        <v>42302</v>
      </c>
      <c r="B663">
        <v>3</v>
      </c>
      <c r="C663">
        <v>3.33</v>
      </c>
      <c r="D663">
        <v>3.1</v>
      </c>
      <c r="E663">
        <v>64.599999999999994</v>
      </c>
      <c r="F663">
        <v>4</v>
      </c>
      <c r="G663">
        <v>0</v>
      </c>
      <c r="H663">
        <v>0</v>
      </c>
      <c r="I663">
        <v>4</v>
      </c>
      <c r="J663">
        <v>2015</v>
      </c>
      <c r="K663">
        <v>10</v>
      </c>
      <c r="L663">
        <v>276</v>
      </c>
      <c r="M663" t="s">
        <v>15</v>
      </c>
    </row>
    <row r="664" spans="1:13" x14ac:dyDescent="0.3">
      <c r="A664" s="1">
        <v>42303</v>
      </c>
      <c r="B664">
        <v>9</v>
      </c>
      <c r="C664">
        <v>5.33</v>
      </c>
      <c r="D664">
        <v>8</v>
      </c>
      <c r="E664">
        <v>53.3</v>
      </c>
      <c r="F664">
        <v>8</v>
      </c>
      <c r="G664">
        <v>1</v>
      </c>
      <c r="H664">
        <v>2</v>
      </c>
      <c r="I664">
        <v>2</v>
      </c>
      <c r="J664">
        <v>2015</v>
      </c>
      <c r="K664">
        <v>10</v>
      </c>
      <c r="L664">
        <v>276</v>
      </c>
      <c r="M664" t="s">
        <v>16</v>
      </c>
    </row>
    <row r="665" spans="1:13" x14ac:dyDescent="0.3">
      <c r="A665" s="1">
        <v>42304</v>
      </c>
      <c r="B665">
        <v>4.33</v>
      </c>
      <c r="C665">
        <v>2</v>
      </c>
      <c r="D665">
        <v>8.5</v>
      </c>
      <c r="E665">
        <v>64.400000000000006</v>
      </c>
      <c r="F665">
        <v>7</v>
      </c>
      <c r="G665">
        <v>0</v>
      </c>
      <c r="H665">
        <v>8</v>
      </c>
      <c r="I665">
        <v>3</v>
      </c>
      <c r="J665">
        <v>2015</v>
      </c>
      <c r="K665">
        <v>10</v>
      </c>
      <c r="L665">
        <v>276</v>
      </c>
      <c r="M665" t="s">
        <v>17</v>
      </c>
    </row>
    <row r="666" spans="1:13" x14ac:dyDescent="0.3">
      <c r="A666" s="1">
        <v>42305</v>
      </c>
      <c r="B666">
        <v>1</v>
      </c>
      <c r="C666">
        <v>1.66</v>
      </c>
      <c r="D666">
        <v>1</v>
      </c>
      <c r="E666">
        <v>33</v>
      </c>
      <c r="F666">
        <v>11</v>
      </c>
      <c r="G666">
        <v>1</v>
      </c>
      <c r="H666">
        <v>6</v>
      </c>
      <c r="I666">
        <v>2</v>
      </c>
      <c r="J666">
        <v>2015</v>
      </c>
      <c r="K666">
        <v>10</v>
      </c>
      <c r="L666">
        <v>276</v>
      </c>
      <c r="M666" t="s">
        <v>18</v>
      </c>
    </row>
    <row r="667" spans="1:13" x14ac:dyDescent="0.3">
      <c r="A667" s="1">
        <v>42306</v>
      </c>
      <c r="B667">
        <v>2.33</v>
      </c>
      <c r="C667">
        <v>3.6930000000000001</v>
      </c>
      <c r="D667">
        <v>1.3</v>
      </c>
      <c r="E667">
        <v>38.299999999999997</v>
      </c>
      <c r="F667">
        <v>8</v>
      </c>
      <c r="G667">
        <v>0</v>
      </c>
      <c r="H667">
        <v>0</v>
      </c>
      <c r="I667">
        <v>1</v>
      </c>
      <c r="J667">
        <v>2015</v>
      </c>
      <c r="K667">
        <v>10</v>
      </c>
      <c r="L667">
        <v>276</v>
      </c>
      <c r="M667" t="s">
        <v>12</v>
      </c>
    </row>
    <row r="668" spans="1:13" x14ac:dyDescent="0.3">
      <c r="A668" s="1">
        <v>42307</v>
      </c>
      <c r="B668">
        <v>5.33</v>
      </c>
      <c r="C668">
        <v>3.67</v>
      </c>
      <c r="D668">
        <v>3.2</v>
      </c>
      <c r="E668">
        <v>49.6</v>
      </c>
      <c r="F668">
        <v>8</v>
      </c>
      <c r="G668">
        <v>0</v>
      </c>
      <c r="H668">
        <v>5</v>
      </c>
      <c r="I668">
        <v>3</v>
      </c>
      <c r="J668">
        <v>2015</v>
      </c>
      <c r="K668">
        <v>10</v>
      </c>
      <c r="L668">
        <v>276</v>
      </c>
      <c r="M668" t="s">
        <v>13</v>
      </c>
    </row>
    <row r="669" spans="1:13" x14ac:dyDescent="0.3">
      <c r="A669" s="1">
        <v>42308</v>
      </c>
      <c r="B669">
        <v>5.66</v>
      </c>
      <c r="C669">
        <v>4.6500000000000004</v>
      </c>
      <c r="D669">
        <v>8</v>
      </c>
      <c r="E669">
        <v>58.4</v>
      </c>
      <c r="F669">
        <v>6</v>
      </c>
      <c r="G669">
        <v>0</v>
      </c>
      <c r="H669">
        <v>7</v>
      </c>
      <c r="I669">
        <v>1</v>
      </c>
      <c r="J669">
        <v>2015</v>
      </c>
      <c r="K669">
        <v>10</v>
      </c>
      <c r="L669">
        <v>276</v>
      </c>
      <c r="M669" t="s">
        <v>14</v>
      </c>
    </row>
    <row r="670" spans="1:13" x14ac:dyDescent="0.3">
      <c r="A670" s="1">
        <v>42309</v>
      </c>
      <c r="B670">
        <v>2.33</v>
      </c>
      <c r="C670">
        <v>7.99</v>
      </c>
      <c r="D670">
        <v>5.6</v>
      </c>
      <c r="E670">
        <v>80.400000000000006</v>
      </c>
      <c r="F670">
        <v>11</v>
      </c>
      <c r="G670">
        <v>0</v>
      </c>
      <c r="H670">
        <v>5</v>
      </c>
      <c r="I670">
        <v>0</v>
      </c>
      <c r="J670">
        <v>2015</v>
      </c>
      <c r="K670">
        <v>11</v>
      </c>
      <c r="L670">
        <v>276</v>
      </c>
      <c r="M670" t="s">
        <v>15</v>
      </c>
    </row>
    <row r="671" spans="1:13" x14ac:dyDescent="0.3">
      <c r="A671" s="1">
        <v>42310</v>
      </c>
      <c r="B671">
        <v>4.66</v>
      </c>
      <c r="C671">
        <v>4.33</v>
      </c>
      <c r="D671">
        <v>4</v>
      </c>
      <c r="E671">
        <v>46.3</v>
      </c>
      <c r="F671">
        <v>7</v>
      </c>
      <c r="G671">
        <v>0</v>
      </c>
      <c r="H671">
        <v>7</v>
      </c>
      <c r="I671">
        <v>2</v>
      </c>
      <c r="J671">
        <v>2015</v>
      </c>
      <c r="K671">
        <v>11</v>
      </c>
      <c r="L671">
        <v>276</v>
      </c>
      <c r="M671" t="s">
        <v>16</v>
      </c>
    </row>
    <row r="672" spans="1:13" x14ac:dyDescent="0.3">
      <c r="A672" s="1">
        <v>42311</v>
      </c>
      <c r="B672">
        <v>1.34</v>
      </c>
      <c r="C672">
        <v>4.3499999999999996</v>
      </c>
      <c r="D672">
        <v>4.3</v>
      </c>
      <c r="E672">
        <v>41.8</v>
      </c>
      <c r="F672">
        <v>5</v>
      </c>
      <c r="G672">
        <v>0</v>
      </c>
      <c r="H672">
        <v>3</v>
      </c>
      <c r="I672">
        <v>0</v>
      </c>
      <c r="J672">
        <v>2015</v>
      </c>
      <c r="K672">
        <v>11</v>
      </c>
      <c r="L672">
        <v>276</v>
      </c>
      <c r="M672" t="s">
        <v>17</v>
      </c>
    </row>
    <row r="673" spans="1:13" x14ac:dyDescent="0.3">
      <c r="A673" s="1">
        <v>42312</v>
      </c>
      <c r="B673">
        <v>8.5</v>
      </c>
      <c r="C673">
        <v>2.34</v>
      </c>
      <c r="D673">
        <v>3</v>
      </c>
      <c r="E673">
        <v>59.8</v>
      </c>
      <c r="F673">
        <v>18</v>
      </c>
      <c r="G673">
        <v>3</v>
      </c>
      <c r="H673">
        <v>3</v>
      </c>
      <c r="I673">
        <v>4</v>
      </c>
      <c r="J673">
        <v>2015</v>
      </c>
      <c r="K673">
        <v>11</v>
      </c>
      <c r="L673">
        <v>276</v>
      </c>
      <c r="M673" t="s">
        <v>18</v>
      </c>
    </row>
    <row r="674" spans="1:13" x14ac:dyDescent="0.3">
      <c r="A674" s="1">
        <v>42313</v>
      </c>
      <c r="B674">
        <v>4.33</v>
      </c>
      <c r="C674">
        <v>3.5609999999999999</v>
      </c>
      <c r="D674">
        <v>7.4</v>
      </c>
      <c r="E674">
        <v>45</v>
      </c>
      <c r="F674">
        <v>3</v>
      </c>
      <c r="G674">
        <v>0</v>
      </c>
      <c r="H674">
        <v>0</v>
      </c>
      <c r="I674">
        <v>2</v>
      </c>
      <c r="J674">
        <v>2015</v>
      </c>
      <c r="K674">
        <v>11</v>
      </c>
      <c r="L674">
        <v>276</v>
      </c>
      <c r="M674" t="s">
        <v>12</v>
      </c>
    </row>
    <row r="675" spans="1:13" x14ac:dyDescent="0.3">
      <c r="A675" s="1">
        <v>42314</v>
      </c>
      <c r="B675">
        <v>3.33</v>
      </c>
      <c r="C675">
        <v>6.7359999999999998</v>
      </c>
      <c r="D675">
        <v>4</v>
      </c>
      <c r="E675">
        <v>31.475000000000001</v>
      </c>
      <c r="F675">
        <v>5</v>
      </c>
      <c r="G675">
        <v>2</v>
      </c>
      <c r="H675">
        <v>1</v>
      </c>
      <c r="I675">
        <v>0</v>
      </c>
      <c r="J675">
        <v>2015</v>
      </c>
      <c r="K675">
        <v>11</v>
      </c>
      <c r="L675">
        <v>276</v>
      </c>
      <c r="M675" t="s">
        <v>13</v>
      </c>
    </row>
    <row r="676" spans="1:13" x14ac:dyDescent="0.3">
      <c r="A676" s="1">
        <v>42315</v>
      </c>
      <c r="B676">
        <v>4</v>
      </c>
      <c r="C676">
        <v>3.11</v>
      </c>
      <c r="D676">
        <v>4.8</v>
      </c>
      <c r="E676">
        <v>69.900000000000006</v>
      </c>
      <c r="F676">
        <v>15</v>
      </c>
      <c r="G676">
        <v>1</v>
      </c>
      <c r="H676">
        <v>6</v>
      </c>
      <c r="I676">
        <v>1</v>
      </c>
      <c r="J676">
        <v>2015</v>
      </c>
      <c r="K676">
        <v>11</v>
      </c>
      <c r="L676">
        <v>276</v>
      </c>
      <c r="M676" t="s">
        <v>14</v>
      </c>
    </row>
    <row r="677" spans="1:13" x14ac:dyDescent="0.3">
      <c r="A677" s="1">
        <v>42316</v>
      </c>
      <c r="B677">
        <v>6.33</v>
      </c>
      <c r="C677">
        <v>3.67</v>
      </c>
      <c r="D677">
        <v>7.2</v>
      </c>
      <c r="E677">
        <v>48.6</v>
      </c>
      <c r="F677">
        <v>7</v>
      </c>
      <c r="G677">
        <v>0</v>
      </c>
      <c r="H677">
        <v>13</v>
      </c>
      <c r="I677">
        <v>1</v>
      </c>
      <c r="J677">
        <v>2015</v>
      </c>
      <c r="K677">
        <v>11</v>
      </c>
      <c r="L677">
        <v>276</v>
      </c>
      <c r="M677" t="s">
        <v>15</v>
      </c>
    </row>
    <row r="678" spans="1:13" x14ac:dyDescent="0.3">
      <c r="A678" s="1">
        <v>42317</v>
      </c>
      <c r="B678">
        <v>3.66</v>
      </c>
      <c r="C678">
        <v>6.1980000000000004</v>
      </c>
      <c r="D678">
        <v>4.2</v>
      </c>
      <c r="E678">
        <v>40.75</v>
      </c>
      <c r="F678">
        <v>3</v>
      </c>
      <c r="G678">
        <v>1</v>
      </c>
      <c r="H678">
        <v>12</v>
      </c>
      <c r="I678">
        <v>1</v>
      </c>
      <c r="J678">
        <v>2015</v>
      </c>
      <c r="K678">
        <v>11</v>
      </c>
      <c r="L678">
        <v>276</v>
      </c>
      <c r="M678" t="s">
        <v>16</v>
      </c>
    </row>
    <row r="679" spans="1:13" x14ac:dyDescent="0.3">
      <c r="A679" s="1">
        <v>42318</v>
      </c>
      <c r="B679">
        <v>6.33</v>
      </c>
      <c r="C679">
        <v>7.4820000000000002</v>
      </c>
      <c r="D679">
        <v>10</v>
      </c>
      <c r="E679">
        <v>41.2</v>
      </c>
      <c r="F679">
        <v>8</v>
      </c>
      <c r="G679">
        <v>0</v>
      </c>
      <c r="H679">
        <v>9</v>
      </c>
      <c r="I679">
        <v>2</v>
      </c>
      <c r="J679">
        <v>2015</v>
      </c>
      <c r="K679">
        <v>11</v>
      </c>
      <c r="L679">
        <v>276</v>
      </c>
      <c r="M679" t="s">
        <v>17</v>
      </c>
    </row>
    <row r="680" spans="1:13" x14ac:dyDescent="0.3">
      <c r="A680" s="1">
        <v>42319</v>
      </c>
      <c r="B680">
        <v>9.66</v>
      </c>
      <c r="C680">
        <v>5.34</v>
      </c>
      <c r="D680">
        <v>7.2</v>
      </c>
      <c r="E680">
        <v>60</v>
      </c>
      <c r="F680">
        <v>4</v>
      </c>
      <c r="G680">
        <v>0</v>
      </c>
      <c r="H680">
        <v>12</v>
      </c>
      <c r="I680">
        <v>3</v>
      </c>
      <c r="J680">
        <v>2015</v>
      </c>
      <c r="K680">
        <v>11</v>
      </c>
      <c r="L680">
        <v>276</v>
      </c>
      <c r="M680" t="s">
        <v>18</v>
      </c>
    </row>
    <row r="681" spans="1:13" x14ac:dyDescent="0.3">
      <c r="A681" s="1">
        <v>42320</v>
      </c>
      <c r="B681">
        <v>6</v>
      </c>
      <c r="C681">
        <v>4.33</v>
      </c>
      <c r="D681">
        <v>6</v>
      </c>
      <c r="E681">
        <v>24</v>
      </c>
      <c r="F681">
        <v>11</v>
      </c>
      <c r="G681">
        <v>0</v>
      </c>
      <c r="H681">
        <v>20</v>
      </c>
      <c r="I681">
        <v>0</v>
      </c>
      <c r="J681">
        <v>2015</v>
      </c>
      <c r="K681">
        <v>11</v>
      </c>
      <c r="L681">
        <v>276</v>
      </c>
      <c r="M681" t="s">
        <v>12</v>
      </c>
    </row>
    <row r="682" spans="1:13" x14ac:dyDescent="0.3">
      <c r="A682" s="1">
        <v>42321</v>
      </c>
      <c r="B682">
        <v>5</v>
      </c>
      <c r="C682">
        <v>2.44</v>
      </c>
      <c r="D682">
        <v>2</v>
      </c>
      <c r="E682">
        <v>22</v>
      </c>
      <c r="F682">
        <v>13</v>
      </c>
      <c r="G682">
        <v>0</v>
      </c>
      <c r="H682">
        <v>0</v>
      </c>
      <c r="I682">
        <v>0</v>
      </c>
      <c r="J682">
        <v>2015</v>
      </c>
      <c r="K682">
        <v>11</v>
      </c>
      <c r="L682">
        <v>276</v>
      </c>
      <c r="M682" t="s">
        <v>13</v>
      </c>
    </row>
    <row r="683" spans="1:13" x14ac:dyDescent="0.3">
      <c r="A683" s="1">
        <v>42322</v>
      </c>
      <c r="B683">
        <v>4.99</v>
      </c>
      <c r="C683">
        <v>0.33</v>
      </c>
      <c r="D683">
        <v>3.7</v>
      </c>
      <c r="E683">
        <v>19</v>
      </c>
      <c r="F683">
        <v>5</v>
      </c>
      <c r="G683">
        <v>1</v>
      </c>
      <c r="H683">
        <v>0</v>
      </c>
      <c r="I683">
        <v>1</v>
      </c>
      <c r="J683">
        <v>2015</v>
      </c>
      <c r="K683">
        <v>11</v>
      </c>
      <c r="L683">
        <v>276</v>
      </c>
      <c r="M683" t="s">
        <v>14</v>
      </c>
    </row>
    <row r="684" spans="1:13" x14ac:dyDescent="0.3">
      <c r="A684" s="1">
        <v>42323</v>
      </c>
      <c r="B684">
        <v>1.33</v>
      </c>
      <c r="C684">
        <v>11.99</v>
      </c>
      <c r="D684">
        <v>9.3000000000000007</v>
      </c>
      <c r="E684">
        <v>42.35</v>
      </c>
      <c r="F684">
        <v>8</v>
      </c>
      <c r="G684">
        <v>2</v>
      </c>
      <c r="H684">
        <v>17</v>
      </c>
      <c r="I684">
        <v>0</v>
      </c>
      <c r="J684">
        <v>2015</v>
      </c>
      <c r="K684">
        <v>11</v>
      </c>
      <c r="L684">
        <v>276</v>
      </c>
      <c r="M684" t="s">
        <v>15</v>
      </c>
    </row>
    <row r="685" spans="1:13" x14ac:dyDescent="0.3">
      <c r="A685" s="1">
        <v>42324</v>
      </c>
      <c r="B685">
        <v>5.67</v>
      </c>
      <c r="C685">
        <v>3.67</v>
      </c>
      <c r="D685">
        <v>6</v>
      </c>
      <c r="E685">
        <v>50.3</v>
      </c>
      <c r="F685">
        <v>9</v>
      </c>
      <c r="G685">
        <v>0</v>
      </c>
      <c r="H685">
        <v>3</v>
      </c>
      <c r="I685">
        <v>2</v>
      </c>
      <c r="J685">
        <v>2015</v>
      </c>
      <c r="K685">
        <v>11</v>
      </c>
      <c r="L685">
        <v>276</v>
      </c>
      <c r="M685" t="s">
        <v>16</v>
      </c>
    </row>
    <row r="686" spans="1:13" x14ac:dyDescent="0.3">
      <c r="A686" s="1">
        <v>42325</v>
      </c>
      <c r="B686">
        <v>6.34</v>
      </c>
      <c r="C686">
        <v>4.6929999999999996</v>
      </c>
      <c r="D686">
        <v>4.7</v>
      </c>
      <c r="E686">
        <v>60</v>
      </c>
      <c r="F686">
        <v>1</v>
      </c>
      <c r="G686">
        <v>0</v>
      </c>
      <c r="H686">
        <v>0</v>
      </c>
      <c r="I686">
        <v>2</v>
      </c>
      <c r="J686">
        <v>2015</v>
      </c>
      <c r="K686">
        <v>11</v>
      </c>
      <c r="L686">
        <v>276</v>
      </c>
      <c r="M686" t="s">
        <v>17</v>
      </c>
    </row>
    <row r="687" spans="1:13" x14ac:dyDescent="0.3">
      <c r="A687" s="1">
        <v>42326</v>
      </c>
      <c r="B687">
        <v>6.34</v>
      </c>
      <c r="C687">
        <v>5.33</v>
      </c>
      <c r="D687">
        <v>5.5</v>
      </c>
      <c r="E687">
        <v>24.5</v>
      </c>
      <c r="F687">
        <v>11</v>
      </c>
      <c r="G687">
        <v>0</v>
      </c>
      <c r="H687">
        <v>0</v>
      </c>
      <c r="I687">
        <v>2</v>
      </c>
      <c r="J687">
        <v>2015</v>
      </c>
      <c r="K687">
        <v>11</v>
      </c>
      <c r="L687">
        <v>276</v>
      </c>
      <c r="M687" t="s">
        <v>18</v>
      </c>
    </row>
    <row r="688" spans="1:13" x14ac:dyDescent="0.3">
      <c r="A688" s="1">
        <v>42327</v>
      </c>
      <c r="B688">
        <v>2</v>
      </c>
      <c r="C688">
        <v>2.99</v>
      </c>
      <c r="D688">
        <v>2.1</v>
      </c>
      <c r="E688">
        <v>26.4</v>
      </c>
      <c r="F688">
        <v>22</v>
      </c>
      <c r="G688">
        <v>0</v>
      </c>
      <c r="H688">
        <v>0</v>
      </c>
      <c r="I688">
        <v>0</v>
      </c>
      <c r="J688">
        <v>2015</v>
      </c>
      <c r="K688">
        <v>11</v>
      </c>
      <c r="L688">
        <v>276</v>
      </c>
      <c r="M688" t="s">
        <v>12</v>
      </c>
    </row>
    <row r="689" spans="1:13" x14ac:dyDescent="0.3">
      <c r="A689" s="1">
        <v>42328</v>
      </c>
      <c r="B689">
        <v>5.66</v>
      </c>
      <c r="C689">
        <v>1.66</v>
      </c>
      <c r="D689">
        <v>3.8</v>
      </c>
      <c r="E689">
        <v>25.6</v>
      </c>
      <c r="F689">
        <v>2</v>
      </c>
      <c r="G689">
        <v>2</v>
      </c>
      <c r="H689">
        <v>10</v>
      </c>
      <c r="I689">
        <v>3</v>
      </c>
      <c r="J689">
        <v>2015</v>
      </c>
      <c r="K689">
        <v>11</v>
      </c>
      <c r="L689">
        <v>276</v>
      </c>
      <c r="M689" t="s">
        <v>13</v>
      </c>
    </row>
    <row r="690" spans="1:13" x14ac:dyDescent="0.3">
      <c r="A690" s="1">
        <v>42329</v>
      </c>
      <c r="B690">
        <v>4</v>
      </c>
      <c r="C690">
        <v>2.0099999999999998</v>
      </c>
      <c r="D690">
        <v>5.2</v>
      </c>
      <c r="E690">
        <v>45.5</v>
      </c>
      <c r="F690">
        <v>4</v>
      </c>
      <c r="G690">
        <v>0</v>
      </c>
      <c r="H690">
        <v>17</v>
      </c>
      <c r="I690">
        <v>3</v>
      </c>
      <c r="J690">
        <v>2015</v>
      </c>
      <c r="K690">
        <v>11</v>
      </c>
      <c r="L690">
        <v>276</v>
      </c>
      <c r="M690" t="s">
        <v>14</v>
      </c>
    </row>
    <row r="691" spans="1:13" x14ac:dyDescent="0.3">
      <c r="A691" s="1">
        <v>42330</v>
      </c>
      <c r="B691">
        <v>2</v>
      </c>
      <c r="C691">
        <v>3.4390000000000001</v>
      </c>
      <c r="D691">
        <v>2.6</v>
      </c>
      <c r="E691">
        <v>41.2</v>
      </c>
      <c r="F691">
        <v>6</v>
      </c>
      <c r="G691">
        <v>2</v>
      </c>
      <c r="H691">
        <v>2</v>
      </c>
      <c r="I691">
        <v>1</v>
      </c>
      <c r="J691">
        <v>2015</v>
      </c>
      <c r="K691">
        <v>11</v>
      </c>
      <c r="L691">
        <v>276</v>
      </c>
      <c r="M691" t="s">
        <v>15</v>
      </c>
    </row>
    <row r="692" spans="1:13" x14ac:dyDescent="0.3">
      <c r="A692" s="1">
        <v>42331</v>
      </c>
      <c r="B692">
        <v>3</v>
      </c>
      <c r="C692">
        <v>1</v>
      </c>
      <c r="D692">
        <v>4.7</v>
      </c>
      <c r="E692">
        <v>69</v>
      </c>
      <c r="F692">
        <v>3</v>
      </c>
      <c r="G692">
        <v>0</v>
      </c>
      <c r="H692">
        <v>1</v>
      </c>
      <c r="I692">
        <v>2</v>
      </c>
      <c r="J692">
        <v>2015</v>
      </c>
      <c r="K692">
        <v>11</v>
      </c>
      <c r="L692">
        <v>276</v>
      </c>
      <c r="M692" t="s">
        <v>16</v>
      </c>
    </row>
    <row r="693" spans="1:13" x14ac:dyDescent="0.3">
      <c r="A693" s="1">
        <v>42332</v>
      </c>
      <c r="B693">
        <v>5</v>
      </c>
      <c r="C693">
        <v>6.33</v>
      </c>
      <c r="D693">
        <v>6.4</v>
      </c>
      <c r="E693">
        <v>19.8</v>
      </c>
      <c r="F693">
        <v>12</v>
      </c>
      <c r="G693">
        <v>3</v>
      </c>
      <c r="H693">
        <v>1</v>
      </c>
      <c r="I693">
        <v>5</v>
      </c>
      <c r="J693">
        <v>2015</v>
      </c>
      <c r="K693">
        <v>11</v>
      </c>
      <c r="L693">
        <v>276</v>
      </c>
      <c r="M693" t="s">
        <v>17</v>
      </c>
    </row>
    <row r="694" spans="1:13" x14ac:dyDescent="0.3">
      <c r="A694" s="1">
        <v>42333</v>
      </c>
      <c r="B694">
        <v>5.66</v>
      </c>
      <c r="C694">
        <v>5.33</v>
      </c>
      <c r="D694">
        <v>3.2</v>
      </c>
      <c r="E694">
        <v>29</v>
      </c>
      <c r="F694">
        <v>11</v>
      </c>
      <c r="G694">
        <v>0</v>
      </c>
      <c r="H694">
        <v>3</v>
      </c>
      <c r="I694">
        <v>3</v>
      </c>
      <c r="J694">
        <v>2015</v>
      </c>
      <c r="K694">
        <v>11</v>
      </c>
      <c r="L694">
        <v>276</v>
      </c>
      <c r="M694" t="s">
        <v>18</v>
      </c>
    </row>
    <row r="695" spans="1:13" x14ac:dyDescent="0.3">
      <c r="A695" s="1">
        <v>42334</v>
      </c>
      <c r="B695">
        <v>4.33</v>
      </c>
      <c r="C695">
        <v>4</v>
      </c>
      <c r="D695">
        <v>2</v>
      </c>
      <c r="E695">
        <v>25.975000000000001</v>
      </c>
      <c r="F695">
        <v>8</v>
      </c>
      <c r="G695">
        <v>0</v>
      </c>
      <c r="H695">
        <v>0</v>
      </c>
      <c r="I695">
        <v>0</v>
      </c>
      <c r="J695">
        <v>2015</v>
      </c>
      <c r="K695">
        <v>11</v>
      </c>
      <c r="L695">
        <v>276</v>
      </c>
      <c r="M695" t="s">
        <v>12</v>
      </c>
    </row>
    <row r="696" spans="1:13" x14ac:dyDescent="0.3">
      <c r="A696" s="1">
        <v>42335</v>
      </c>
      <c r="B696">
        <v>0.67</v>
      </c>
      <c r="C696">
        <v>4.3730000000000002</v>
      </c>
      <c r="D696">
        <v>2</v>
      </c>
      <c r="E696">
        <v>20.8</v>
      </c>
      <c r="F696">
        <v>7</v>
      </c>
      <c r="G696">
        <v>0</v>
      </c>
      <c r="H696">
        <v>0</v>
      </c>
      <c r="I696">
        <v>0</v>
      </c>
      <c r="J696">
        <v>2015</v>
      </c>
      <c r="K696">
        <v>11</v>
      </c>
      <c r="L696">
        <v>276</v>
      </c>
      <c r="M696" t="s">
        <v>13</v>
      </c>
    </row>
    <row r="697" spans="1:13" x14ac:dyDescent="0.3">
      <c r="A697" s="1">
        <v>42336</v>
      </c>
      <c r="B697">
        <v>6.33</v>
      </c>
      <c r="C697">
        <v>3.66</v>
      </c>
      <c r="D697">
        <v>4</v>
      </c>
      <c r="E697">
        <v>46.825000000000003</v>
      </c>
      <c r="F697">
        <v>3</v>
      </c>
      <c r="G697">
        <v>0</v>
      </c>
      <c r="H697">
        <v>10</v>
      </c>
      <c r="I697">
        <v>1</v>
      </c>
      <c r="J697">
        <v>2015</v>
      </c>
      <c r="K697">
        <v>11</v>
      </c>
      <c r="L697">
        <v>276</v>
      </c>
      <c r="M697" t="s">
        <v>14</v>
      </c>
    </row>
    <row r="698" spans="1:13" x14ac:dyDescent="0.3">
      <c r="A698" s="1">
        <v>42337</v>
      </c>
      <c r="B698">
        <v>6.66</v>
      </c>
      <c r="C698">
        <v>3.726</v>
      </c>
      <c r="D698">
        <v>6</v>
      </c>
      <c r="E698">
        <v>42.2</v>
      </c>
      <c r="F698">
        <v>1</v>
      </c>
      <c r="G698">
        <v>0</v>
      </c>
      <c r="H698">
        <v>4</v>
      </c>
      <c r="I698">
        <v>0</v>
      </c>
      <c r="J698">
        <v>2015</v>
      </c>
      <c r="K698">
        <v>11</v>
      </c>
      <c r="L698">
        <v>276</v>
      </c>
      <c r="M698" t="s">
        <v>15</v>
      </c>
    </row>
    <row r="699" spans="1:13" x14ac:dyDescent="0.3">
      <c r="A699" s="1">
        <v>42338</v>
      </c>
      <c r="B699">
        <v>7.33</v>
      </c>
      <c r="C699">
        <v>1.825</v>
      </c>
      <c r="D699">
        <v>5</v>
      </c>
      <c r="E699">
        <v>35.299999999999997</v>
      </c>
      <c r="F699">
        <v>5</v>
      </c>
      <c r="G699">
        <v>1</v>
      </c>
      <c r="H699">
        <v>6</v>
      </c>
      <c r="I699">
        <v>3</v>
      </c>
      <c r="J699">
        <v>2015</v>
      </c>
      <c r="K699">
        <v>11</v>
      </c>
      <c r="L699">
        <v>276</v>
      </c>
      <c r="M699" t="s">
        <v>16</v>
      </c>
    </row>
    <row r="700" spans="1:13" x14ac:dyDescent="0.3">
      <c r="A700" s="1">
        <v>42339</v>
      </c>
      <c r="B700">
        <v>1.99</v>
      </c>
      <c r="C700">
        <v>2.0230000000000001</v>
      </c>
      <c r="D700">
        <v>6.3</v>
      </c>
      <c r="E700">
        <v>23.9</v>
      </c>
      <c r="F700">
        <v>4</v>
      </c>
      <c r="G700">
        <v>1</v>
      </c>
      <c r="H700">
        <v>5</v>
      </c>
      <c r="I700">
        <v>1</v>
      </c>
      <c r="J700">
        <v>2015</v>
      </c>
      <c r="K700">
        <v>12</v>
      </c>
      <c r="L700">
        <v>276</v>
      </c>
      <c r="M700" t="s">
        <v>17</v>
      </c>
    </row>
    <row r="701" spans="1:13" x14ac:dyDescent="0.3">
      <c r="A701" s="1">
        <v>42340</v>
      </c>
      <c r="B701">
        <v>1</v>
      </c>
      <c r="C701">
        <v>3.33</v>
      </c>
      <c r="D701">
        <v>2.4</v>
      </c>
      <c r="E701">
        <v>42</v>
      </c>
      <c r="F701">
        <v>23</v>
      </c>
      <c r="G701">
        <v>4</v>
      </c>
      <c r="H701">
        <v>0</v>
      </c>
      <c r="I701">
        <v>0</v>
      </c>
      <c r="J701">
        <v>2015</v>
      </c>
      <c r="K701">
        <v>12</v>
      </c>
      <c r="L701">
        <v>276</v>
      </c>
      <c r="M701" t="s">
        <v>18</v>
      </c>
    </row>
    <row r="702" spans="1:13" x14ac:dyDescent="0.3">
      <c r="A702" s="1">
        <v>42341</v>
      </c>
      <c r="B702">
        <v>4</v>
      </c>
      <c r="C702">
        <v>3</v>
      </c>
      <c r="D702">
        <v>5.6</v>
      </c>
      <c r="E702">
        <v>56</v>
      </c>
      <c r="F702">
        <v>6</v>
      </c>
      <c r="G702">
        <v>1</v>
      </c>
      <c r="H702">
        <v>1</v>
      </c>
      <c r="I702">
        <v>1</v>
      </c>
      <c r="J702">
        <v>2015</v>
      </c>
      <c r="K702">
        <v>12</v>
      </c>
      <c r="L702">
        <v>276</v>
      </c>
      <c r="M702" t="s">
        <v>12</v>
      </c>
    </row>
    <row r="703" spans="1:13" x14ac:dyDescent="0.3">
      <c r="A703" s="1">
        <v>42342</v>
      </c>
      <c r="B703">
        <v>3.33</v>
      </c>
      <c r="C703">
        <v>4.7590000000000003</v>
      </c>
      <c r="D703">
        <v>4.7</v>
      </c>
      <c r="E703">
        <v>25.6</v>
      </c>
      <c r="F703">
        <v>9</v>
      </c>
      <c r="G703">
        <v>3</v>
      </c>
      <c r="H703">
        <v>3</v>
      </c>
      <c r="I703">
        <v>1</v>
      </c>
      <c r="J703">
        <v>2015</v>
      </c>
      <c r="K703">
        <v>12</v>
      </c>
      <c r="L703">
        <v>276</v>
      </c>
      <c r="M703" t="s">
        <v>13</v>
      </c>
    </row>
    <row r="704" spans="1:13" x14ac:dyDescent="0.3">
      <c r="A704" s="1">
        <v>42343</v>
      </c>
      <c r="B704">
        <v>8</v>
      </c>
      <c r="C704">
        <v>3.0329999999999999</v>
      </c>
      <c r="D704">
        <v>2</v>
      </c>
      <c r="E704">
        <v>35.049999999999997</v>
      </c>
      <c r="F704">
        <v>2</v>
      </c>
      <c r="G704">
        <v>0</v>
      </c>
      <c r="H704">
        <v>7</v>
      </c>
      <c r="I704">
        <v>2.33</v>
      </c>
      <c r="J704">
        <v>2015</v>
      </c>
      <c r="K704">
        <v>12</v>
      </c>
      <c r="L704">
        <v>276</v>
      </c>
      <c r="M704" t="s">
        <v>14</v>
      </c>
    </row>
    <row r="705" spans="1:13" x14ac:dyDescent="0.3">
      <c r="A705" s="1">
        <v>42344</v>
      </c>
      <c r="B705">
        <v>5.67</v>
      </c>
      <c r="C705">
        <v>7</v>
      </c>
      <c r="D705">
        <v>3.4</v>
      </c>
      <c r="E705">
        <v>60.4</v>
      </c>
      <c r="F705">
        <v>5</v>
      </c>
      <c r="G705">
        <v>2</v>
      </c>
      <c r="H705">
        <v>3</v>
      </c>
      <c r="I705">
        <v>1</v>
      </c>
      <c r="J705">
        <v>2015</v>
      </c>
      <c r="K705">
        <v>12</v>
      </c>
      <c r="L705">
        <v>276</v>
      </c>
      <c r="M705" t="s">
        <v>15</v>
      </c>
    </row>
    <row r="706" spans="1:13" x14ac:dyDescent="0.3">
      <c r="A706" s="1">
        <v>42345</v>
      </c>
      <c r="B706">
        <v>3</v>
      </c>
      <c r="C706">
        <v>2.0990000000000002</v>
      </c>
      <c r="D706">
        <v>2.2000000000000002</v>
      </c>
      <c r="E706">
        <v>26.5</v>
      </c>
      <c r="F706">
        <v>6</v>
      </c>
      <c r="G706">
        <v>1</v>
      </c>
      <c r="H706">
        <v>11</v>
      </c>
      <c r="I706">
        <v>6</v>
      </c>
      <c r="J706">
        <v>2015</v>
      </c>
      <c r="K706">
        <v>12</v>
      </c>
      <c r="L706">
        <v>276</v>
      </c>
      <c r="M706" t="s">
        <v>16</v>
      </c>
    </row>
    <row r="707" spans="1:13" x14ac:dyDescent="0.3">
      <c r="A707" s="1">
        <v>42346</v>
      </c>
      <c r="B707">
        <v>2</v>
      </c>
      <c r="C707">
        <v>6.34</v>
      </c>
      <c r="D707">
        <v>2</v>
      </c>
      <c r="E707">
        <v>41.325000000000003</v>
      </c>
      <c r="F707">
        <v>8</v>
      </c>
      <c r="G707">
        <v>0</v>
      </c>
      <c r="H707">
        <v>0</v>
      </c>
      <c r="I707">
        <v>0</v>
      </c>
      <c r="J707">
        <v>2015</v>
      </c>
      <c r="K707">
        <v>12</v>
      </c>
      <c r="L707">
        <v>276</v>
      </c>
      <c r="M707" t="s">
        <v>17</v>
      </c>
    </row>
    <row r="708" spans="1:13" x14ac:dyDescent="0.3">
      <c r="A708" s="1">
        <v>42347</v>
      </c>
      <c r="B708">
        <v>3.34</v>
      </c>
      <c r="C708">
        <v>3.472</v>
      </c>
      <c r="D708">
        <v>7</v>
      </c>
      <c r="E708">
        <v>41.262</v>
      </c>
      <c r="F708">
        <v>16</v>
      </c>
      <c r="G708">
        <v>0</v>
      </c>
      <c r="H708">
        <v>3</v>
      </c>
      <c r="I708">
        <v>1</v>
      </c>
      <c r="J708">
        <v>2015</v>
      </c>
      <c r="K708">
        <v>12</v>
      </c>
      <c r="L708">
        <v>276</v>
      </c>
      <c r="M708" t="s">
        <v>18</v>
      </c>
    </row>
    <row r="709" spans="1:13" x14ac:dyDescent="0.3">
      <c r="A709" s="1">
        <v>42348</v>
      </c>
      <c r="B709">
        <v>11.66</v>
      </c>
      <c r="C709">
        <v>10.69</v>
      </c>
      <c r="D709">
        <v>16</v>
      </c>
      <c r="E709">
        <v>31.9</v>
      </c>
      <c r="F709">
        <v>9</v>
      </c>
      <c r="G709">
        <v>0</v>
      </c>
      <c r="H709">
        <v>9</v>
      </c>
      <c r="I709">
        <v>2.1</v>
      </c>
      <c r="J709">
        <v>2015</v>
      </c>
      <c r="K709">
        <v>12</v>
      </c>
      <c r="L709">
        <v>276</v>
      </c>
      <c r="M709" t="s">
        <v>12</v>
      </c>
    </row>
    <row r="710" spans="1:13" x14ac:dyDescent="0.3">
      <c r="A710" s="1">
        <v>42349</v>
      </c>
      <c r="B710">
        <v>5.84</v>
      </c>
      <c r="C710">
        <v>6.165</v>
      </c>
      <c r="D710">
        <v>3</v>
      </c>
      <c r="E710">
        <v>22.7</v>
      </c>
      <c r="F710">
        <v>9</v>
      </c>
      <c r="G710">
        <v>0</v>
      </c>
      <c r="H710">
        <v>16</v>
      </c>
      <c r="I710">
        <v>1</v>
      </c>
      <c r="J710">
        <v>2015</v>
      </c>
      <c r="K710">
        <v>12</v>
      </c>
      <c r="L710">
        <v>276</v>
      </c>
      <c r="M710" t="s">
        <v>13</v>
      </c>
    </row>
    <row r="711" spans="1:13" x14ac:dyDescent="0.3">
      <c r="A711" s="1">
        <v>42350</v>
      </c>
      <c r="B711">
        <v>6.34</v>
      </c>
      <c r="C711">
        <v>3.2</v>
      </c>
      <c r="D711">
        <v>3</v>
      </c>
      <c r="E711">
        <v>42.2</v>
      </c>
      <c r="F711">
        <v>5</v>
      </c>
      <c r="G711">
        <v>2</v>
      </c>
      <c r="H711">
        <v>6</v>
      </c>
      <c r="I711">
        <v>1</v>
      </c>
      <c r="J711">
        <v>2015</v>
      </c>
      <c r="K711">
        <v>12</v>
      </c>
      <c r="L711">
        <v>276</v>
      </c>
      <c r="M711" t="s">
        <v>14</v>
      </c>
    </row>
    <row r="712" spans="1:13" x14ac:dyDescent="0.3">
      <c r="A712" s="1">
        <v>42351</v>
      </c>
      <c r="B712">
        <v>9.33</v>
      </c>
      <c r="C712">
        <v>4.32</v>
      </c>
      <c r="D712">
        <v>7</v>
      </c>
      <c r="E712">
        <v>29</v>
      </c>
      <c r="F712">
        <v>5</v>
      </c>
      <c r="G712">
        <v>0</v>
      </c>
      <c r="H712">
        <v>27</v>
      </c>
      <c r="I712">
        <v>0</v>
      </c>
      <c r="J712">
        <v>2015</v>
      </c>
      <c r="K712">
        <v>12</v>
      </c>
      <c r="L712">
        <v>276</v>
      </c>
      <c r="M712" t="s">
        <v>15</v>
      </c>
    </row>
    <row r="713" spans="1:13" x14ac:dyDescent="0.3">
      <c r="A713" s="1">
        <v>42352</v>
      </c>
      <c r="B713">
        <v>5</v>
      </c>
      <c r="C713">
        <v>3</v>
      </c>
      <c r="D713">
        <v>6.6</v>
      </c>
      <c r="E713">
        <v>37.4</v>
      </c>
      <c r="F713">
        <v>11</v>
      </c>
      <c r="G713">
        <v>0</v>
      </c>
      <c r="H713">
        <v>21</v>
      </c>
      <c r="I713">
        <v>1</v>
      </c>
      <c r="J713">
        <v>2015</v>
      </c>
      <c r="K713">
        <v>12</v>
      </c>
      <c r="L713">
        <v>276</v>
      </c>
      <c r="M713" t="s">
        <v>16</v>
      </c>
    </row>
    <row r="714" spans="1:13" x14ac:dyDescent="0.3">
      <c r="A714" s="1">
        <v>42353</v>
      </c>
      <c r="B714">
        <v>4.99</v>
      </c>
      <c r="C714">
        <v>2</v>
      </c>
      <c r="D714">
        <v>5</v>
      </c>
      <c r="E714">
        <v>42</v>
      </c>
      <c r="F714">
        <v>3</v>
      </c>
      <c r="G714">
        <v>1</v>
      </c>
      <c r="H714">
        <v>2</v>
      </c>
      <c r="I714">
        <v>1</v>
      </c>
      <c r="J714">
        <v>2015</v>
      </c>
      <c r="K714">
        <v>12</v>
      </c>
      <c r="L714">
        <v>276</v>
      </c>
      <c r="M714" t="s">
        <v>17</v>
      </c>
    </row>
    <row r="715" spans="1:13" x14ac:dyDescent="0.3">
      <c r="A715" s="1">
        <v>42354</v>
      </c>
      <c r="B715">
        <v>6.67</v>
      </c>
      <c r="C715">
        <v>4</v>
      </c>
      <c r="D715">
        <v>4</v>
      </c>
      <c r="E715">
        <v>42</v>
      </c>
      <c r="F715">
        <v>11</v>
      </c>
      <c r="G715">
        <v>1</v>
      </c>
      <c r="H715">
        <v>11</v>
      </c>
      <c r="I715">
        <v>0</v>
      </c>
      <c r="J715">
        <v>2015</v>
      </c>
      <c r="K715">
        <v>12</v>
      </c>
      <c r="L715">
        <v>276</v>
      </c>
      <c r="M715" t="s">
        <v>18</v>
      </c>
    </row>
    <row r="716" spans="1:13" x14ac:dyDescent="0.3">
      <c r="A716" s="1">
        <v>42355</v>
      </c>
      <c r="B716">
        <v>9</v>
      </c>
      <c r="C716">
        <v>3.01</v>
      </c>
      <c r="D716">
        <v>3</v>
      </c>
      <c r="E716">
        <v>25</v>
      </c>
      <c r="F716">
        <v>7</v>
      </c>
      <c r="G716">
        <v>0</v>
      </c>
      <c r="H716">
        <v>0</v>
      </c>
      <c r="I716">
        <v>2</v>
      </c>
      <c r="J716">
        <v>2015</v>
      </c>
      <c r="K716">
        <v>12</v>
      </c>
      <c r="L716">
        <v>276</v>
      </c>
      <c r="M716" t="s">
        <v>12</v>
      </c>
    </row>
    <row r="717" spans="1:13" x14ac:dyDescent="0.3">
      <c r="A717" s="1">
        <v>42356</v>
      </c>
      <c r="B717">
        <v>4.33</v>
      </c>
      <c r="C717">
        <v>8.9009999999999998</v>
      </c>
      <c r="D717">
        <v>4.3</v>
      </c>
      <c r="E717">
        <v>27.2</v>
      </c>
      <c r="F717">
        <v>12</v>
      </c>
      <c r="G717">
        <v>4</v>
      </c>
      <c r="H717">
        <v>2</v>
      </c>
      <c r="I717">
        <v>1</v>
      </c>
      <c r="J717">
        <v>2015</v>
      </c>
      <c r="K717">
        <v>12</v>
      </c>
      <c r="L717">
        <v>276</v>
      </c>
      <c r="M717" t="s">
        <v>13</v>
      </c>
    </row>
    <row r="718" spans="1:13" x14ac:dyDescent="0.3">
      <c r="A718" s="1">
        <v>42357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2015</v>
      </c>
      <c r="K718">
        <v>12</v>
      </c>
      <c r="L718">
        <v>276</v>
      </c>
      <c r="M718" t="s">
        <v>14</v>
      </c>
    </row>
    <row r="719" spans="1:13" x14ac:dyDescent="0.3">
      <c r="A719" s="1">
        <v>42358</v>
      </c>
      <c r="B719">
        <v>3</v>
      </c>
      <c r="C719">
        <v>3.4740000000000002</v>
      </c>
      <c r="D719">
        <v>2.2000000000000002</v>
      </c>
      <c r="E719">
        <v>43</v>
      </c>
      <c r="F719">
        <v>3</v>
      </c>
      <c r="G719">
        <v>0</v>
      </c>
      <c r="H719">
        <v>16</v>
      </c>
      <c r="I719">
        <v>1</v>
      </c>
      <c r="J719">
        <v>2015</v>
      </c>
      <c r="K719">
        <v>12</v>
      </c>
      <c r="L719">
        <v>276</v>
      </c>
      <c r="M719" t="s">
        <v>15</v>
      </c>
    </row>
    <row r="720" spans="1:13" x14ac:dyDescent="0.3">
      <c r="A720" s="1">
        <v>42359</v>
      </c>
      <c r="B720">
        <v>5</v>
      </c>
      <c r="C720">
        <v>6.34</v>
      </c>
      <c r="D720">
        <v>2</v>
      </c>
      <c r="E720">
        <v>53.6</v>
      </c>
      <c r="F720">
        <v>14</v>
      </c>
      <c r="G720">
        <v>0</v>
      </c>
      <c r="H720">
        <v>6</v>
      </c>
      <c r="I720">
        <v>0.4</v>
      </c>
      <c r="J720">
        <v>2015</v>
      </c>
      <c r="K720">
        <v>12</v>
      </c>
      <c r="L720">
        <v>276</v>
      </c>
      <c r="M720" t="s">
        <v>16</v>
      </c>
    </row>
    <row r="721" spans="1:13" x14ac:dyDescent="0.3">
      <c r="A721" s="1">
        <v>42360</v>
      </c>
      <c r="B721">
        <v>5.66</v>
      </c>
      <c r="C721">
        <v>0</v>
      </c>
      <c r="D721">
        <v>5</v>
      </c>
      <c r="E721">
        <v>48</v>
      </c>
      <c r="F721">
        <v>6</v>
      </c>
      <c r="G721">
        <v>0</v>
      </c>
      <c r="H721">
        <v>13</v>
      </c>
      <c r="I721">
        <v>1</v>
      </c>
      <c r="J721">
        <v>2015</v>
      </c>
      <c r="K721">
        <v>12</v>
      </c>
      <c r="L721">
        <v>276</v>
      </c>
      <c r="M721" t="s">
        <v>17</v>
      </c>
    </row>
    <row r="722" spans="1:13" x14ac:dyDescent="0.3">
      <c r="A722" s="1">
        <v>42361</v>
      </c>
      <c r="B722">
        <v>3.33</v>
      </c>
      <c r="C722">
        <v>4.01</v>
      </c>
      <c r="D722">
        <v>2.2999999999999998</v>
      </c>
      <c r="E722">
        <v>28.8</v>
      </c>
      <c r="F722">
        <v>3</v>
      </c>
      <c r="G722">
        <v>0</v>
      </c>
      <c r="H722">
        <v>0</v>
      </c>
      <c r="I722">
        <v>0</v>
      </c>
      <c r="J722">
        <v>2015</v>
      </c>
      <c r="K722">
        <v>12</v>
      </c>
      <c r="L722">
        <v>276</v>
      </c>
      <c r="M722" t="s">
        <v>18</v>
      </c>
    </row>
    <row r="723" spans="1:13" x14ac:dyDescent="0.3">
      <c r="A723" s="1">
        <v>42362</v>
      </c>
      <c r="B723">
        <v>7.33</v>
      </c>
      <c r="C723">
        <v>3.3959999999999999</v>
      </c>
      <c r="D723">
        <v>5</v>
      </c>
      <c r="E723">
        <v>28.3</v>
      </c>
      <c r="F723">
        <v>5</v>
      </c>
      <c r="G723">
        <v>0</v>
      </c>
      <c r="H723">
        <v>16</v>
      </c>
      <c r="I723">
        <v>0</v>
      </c>
      <c r="J723">
        <v>2015</v>
      </c>
      <c r="K723">
        <v>12</v>
      </c>
      <c r="L723">
        <v>276</v>
      </c>
      <c r="M723" t="s">
        <v>12</v>
      </c>
    </row>
    <row r="724" spans="1:13" x14ac:dyDescent="0.3">
      <c r="A724" s="1">
        <v>42363</v>
      </c>
      <c r="B724">
        <v>0.66</v>
      </c>
      <c r="C724">
        <v>4.66</v>
      </c>
      <c r="D724">
        <v>2</v>
      </c>
      <c r="E724">
        <v>20.661999999999999</v>
      </c>
      <c r="F724">
        <v>28</v>
      </c>
      <c r="G724">
        <v>2</v>
      </c>
      <c r="H724">
        <v>1</v>
      </c>
      <c r="I724">
        <v>1</v>
      </c>
      <c r="J724">
        <v>2015</v>
      </c>
      <c r="K724">
        <v>12</v>
      </c>
      <c r="L724">
        <v>276</v>
      </c>
      <c r="M724" t="s">
        <v>13</v>
      </c>
    </row>
    <row r="725" spans="1:13" x14ac:dyDescent="0.3">
      <c r="A725" s="1">
        <v>42364</v>
      </c>
      <c r="B725">
        <v>4.67</v>
      </c>
      <c r="C725">
        <v>1.66</v>
      </c>
      <c r="D725">
        <v>5</v>
      </c>
      <c r="E725">
        <v>87.2</v>
      </c>
      <c r="F725">
        <v>15</v>
      </c>
      <c r="G725">
        <v>3</v>
      </c>
      <c r="H725">
        <v>0</v>
      </c>
      <c r="I725">
        <v>4.3</v>
      </c>
      <c r="J725">
        <v>2015</v>
      </c>
      <c r="K725">
        <v>12</v>
      </c>
      <c r="L725">
        <v>276</v>
      </c>
      <c r="M725" t="s">
        <v>14</v>
      </c>
    </row>
    <row r="726" spans="1:13" x14ac:dyDescent="0.3">
      <c r="A726" s="1">
        <v>42365</v>
      </c>
      <c r="B726">
        <v>5.33</v>
      </c>
      <c r="C726">
        <v>6.7919999999999998</v>
      </c>
      <c r="D726">
        <v>5.2</v>
      </c>
      <c r="E726">
        <v>63.5</v>
      </c>
      <c r="F726">
        <v>4</v>
      </c>
      <c r="G726">
        <v>0</v>
      </c>
      <c r="H726">
        <v>14</v>
      </c>
      <c r="I726">
        <v>4.5999999999999996</v>
      </c>
      <c r="J726">
        <v>2015</v>
      </c>
      <c r="K726">
        <v>12</v>
      </c>
      <c r="L726">
        <v>276</v>
      </c>
      <c r="M726" t="s">
        <v>15</v>
      </c>
    </row>
    <row r="727" spans="1:13" x14ac:dyDescent="0.3">
      <c r="A727" s="1">
        <v>42366</v>
      </c>
      <c r="B727">
        <v>4</v>
      </c>
      <c r="C727">
        <v>5.0990000000000002</v>
      </c>
      <c r="D727">
        <v>9.1999999999999993</v>
      </c>
      <c r="E727">
        <v>61.5</v>
      </c>
      <c r="F727">
        <v>18</v>
      </c>
      <c r="G727">
        <v>3</v>
      </c>
      <c r="H727">
        <v>26</v>
      </c>
      <c r="I727">
        <v>1</v>
      </c>
      <c r="J727">
        <v>2015</v>
      </c>
      <c r="K727">
        <v>12</v>
      </c>
      <c r="L727">
        <v>276</v>
      </c>
      <c r="M727" t="s">
        <v>16</v>
      </c>
    </row>
    <row r="728" spans="1:13" x14ac:dyDescent="0.3">
      <c r="A728" s="1">
        <v>42367</v>
      </c>
      <c r="B728">
        <v>10.67</v>
      </c>
      <c r="C728">
        <v>2.33</v>
      </c>
      <c r="D728">
        <v>2</v>
      </c>
      <c r="E728">
        <v>71.599999999999994</v>
      </c>
      <c r="F728">
        <v>9</v>
      </c>
      <c r="G728">
        <v>0</v>
      </c>
      <c r="H728">
        <v>2</v>
      </c>
      <c r="I728">
        <v>3</v>
      </c>
      <c r="J728">
        <v>2015</v>
      </c>
      <c r="K728">
        <v>12</v>
      </c>
      <c r="L728">
        <v>276</v>
      </c>
      <c r="M728" t="s">
        <v>17</v>
      </c>
    </row>
    <row r="729" spans="1:13" x14ac:dyDescent="0.3">
      <c r="A729" s="1">
        <v>42368</v>
      </c>
      <c r="B729">
        <v>6.66</v>
      </c>
      <c r="C729">
        <v>7.0890000000000004</v>
      </c>
      <c r="D729">
        <v>2</v>
      </c>
      <c r="E729">
        <v>56.4</v>
      </c>
      <c r="F729">
        <v>12</v>
      </c>
      <c r="G729">
        <v>0</v>
      </c>
      <c r="H729">
        <v>4</v>
      </c>
      <c r="I729">
        <v>2</v>
      </c>
      <c r="J729">
        <v>2015</v>
      </c>
      <c r="K729">
        <v>12</v>
      </c>
      <c r="L729">
        <v>276</v>
      </c>
      <c r="M729" t="s">
        <v>18</v>
      </c>
    </row>
    <row r="730" spans="1:13" x14ac:dyDescent="0.3">
      <c r="A730" s="1">
        <v>42369</v>
      </c>
      <c r="B730">
        <v>7.66</v>
      </c>
      <c r="C730">
        <v>6.0990000000000002</v>
      </c>
      <c r="D730">
        <v>7.6</v>
      </c>
      <c r="E730">
        <v>44.35</v>
      </c>
      <c r="F730">
        <v>18</v>
      </c>
      <c r="G730">
        <v>0</v>
      </c>
      <c r="H730">
        <v>6</v>
      </c>
      <c r="I730">
        <v>1</v>
      </c>
      <c r="J730">
        <v>2015</v>
      </c>
      <c r="K730">
        <v>12</v>
      </c>
      <c r="L730">
        <v>276</v>
      </c>
      <c r="M730" t="s">
        <v>12</v>
      </c>
    </row>
    <row r="731" spans="1:13" x14ac:dyDescent="0.3">
      <c r="A731" s="1">
        <v>42370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2016</v>
      </c>
      <c r="K731">
        <v>1</v>
      </c>
      <c r="L731">
        <v>276</v>
      </c>
      <c r="M731" t="s">
        <v>13</v>
      </c>
    </row>
    <row r="732" spans="1:13" x14ac:dyDescent="0.3">
      <c r="A732" s="1">
        <v>42371</v>
      </c>
      <c r="B732">
        <v>0.34</v>
      </c>
      <c r="C732">
        <v>1.02</v>
      </c>
      <c r="D732">
        <v>1</v>
      </c>
      <c r="E732">
        <v>51.2</v>
      </c>
      <c r="F732">
        <v>0</v>
      </c>
      <c r="G732">
        <v>1</v>
      </c>
      <c r="H732">
        <v>5</v>
      </c>
      <c r="I732">
        <v>5</v>
      </c>
      <c r="J732">
        <v>2016</v>
      </c>
      <c r="K732">
        <v>1</v>
      </c>
      <c r="L732">
        <v>276</v>
      </c>
      <c r="M732" t="s">
        <v>14</v>
      </c>
    </row>
    <row r="733" spans="1:13" x14ac:dyDescent="0.3">
      <c r="A733" s="1">
        <v>42372</v>
      </c>
      <c r="B733">
        <v>4</v>
      </c>
      <c r="C733">
        <v>4</v>
      </c>
      <c r="D733">
        <v>2.5</v>
      </c>
      <c r="E733">
        <v>56.1</v>
      </c>
      <c r="F733">
        <v>1</v>
      </c>
      <c r="G733">
        <v>0</v>
      </c>
      <c r="H733">
        <v>5</v>
      </c>
      <c r="I733">
        <v>1</v>
      </c>
      <c r="J733">
        <v>2016</v>
      </c>
      <c r="K733">
        <v>1</v>
      </c>
      <c r="L733">
        <v>276</v>
      </c>
      <c r="M733" t="s">
        <v>15</v>
      </c>
    </row>
    <row r="734" spans="1:13" x14ac:dyDescent="0.3">
      <c r="A734" s="1">
        <v>42373</v>
      </c>
      <c r="B734">
        <v>7.33</v>
      </c>
      <c r="C734">
        <v>5.99</v>
      </c>
      <c r="D734">
        <v>6</v>
      </c>
      <c r="E734">
        <v>46.6</v>
      </c>
      <c r="F734">
        <v>6</v>
      </c>
      <c r="G734">
        <v>0</v>
      </c>
      <c r="H734">
        <v>12</v>
      </c>
      <c r="I734">
        <v>1</v>
      </c>
      <c r="J734">
        <v>2016</v>
      </c>
      <c r="K734">
        <v>1</v>
      </c>
      <c r="L734">
        <v>276</v>
      </c>
      <c r="M734" t="s">
        <v>16</v>
      </c>
    </row>
    <row r="735" spans="1:13" x14ac:dyDescent="0.3">
      <c r="A735" s="1">
        <v>42374</v>
      </c>
      <c r="B735">
        <v>5.33</v>
      </c>
      <c r="C735">
        <v>5.99</v>
      </c>
      <c r="D735">
        <v>4.5999999999999996</v>
      </c>
      <c r="E735">
        <v>38.6</v>
      </c>
      <c r="F735">
        <v>15</v>
      </c>
      <c r="G735">
        <v>0</v>
      </c>
      <c r="H735">
        <v>5</v>
      </c>
      <c r="I735">
        <v>1</v>
      </c>
      <c r="J735">
        <v>2016</v>
      </c>
      <c r="K735">
        <v>1</v>
      </c>
      <c r="L735">
        <v>276</v>
      </c>
      <c r="M735" t="s">
        <v>17</v>
      </c>
    </row>
    <row r="736" spans="1:13" x14ac:dyDescent="0.3">
      <c r="A736" s="1">
        <v>42375</v>
      </c>
      <c r="B736">
        <v>6.66</v>
      </c>
      <c r="C736">
        <v>3</v>
      </c>
      <c r="D736">
        <v>6</v>
      </c>
      <c r="E736">
        <v>61.9</v>
      </c>
      <c r="F736">
        <v>2</v>
      </c>
      <c r="G736">
        <v>0</v>
      </c>
      <c r="H736">
        <v>12</v>
      </c>
      <c r="I736">
        <v>2</v>
      </c>
      <c r="J736">
        <v>2016</v>
      </c>
      <c r="K736">
        <v>1</v>
      </c>
      <c r="L736">
        <v>276</v>
      </c>
      <c r="M736" t="s">
        <v>18</v>
      </c>
    </row>
    <row r="737" spans="1:13" x14ac:dyDescent="0.3">
      <c r="A737" s="1">
        <v>42376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2016</v>
      </c>
      <c r="K737">
        <v>1</v>
      </c>
      <c r="L737">
        <v>276</v>
      </c>
      <c r="M737" t="s">
        <v>12</v>
      </c>
    </row>
    <row r="738" spans="1:13" x14ac:dyDescent="0.3">
      <c r="A738" s="1">
        <v>42377</v>
      </c>
      <c r="B738">
        <v>8</v>
      </c>
      <c r="C738">
        <v>3.4630000000000001</v>
      </c>
      <c r="D738">
        <v>7.7</v>
      </c>
      <c r="E738">
        <v>39.200000000000003</v>
      </c>
      <c r="F738">
        <v>8</v>
      </c>
      <c r="G738">
        <v>3</v>
      </c>
      <c r="H738">
        <v>2</v>
      </c>
      <c r="I738">
        <v>2</v>
      </c>
      <c r="J738">
        <v>2016</v>
      </c>
      <c r="K738">
        <v>1</v>
      </c>
      <c r="L738">
        <v>276</v>
      </c>
      <c r="M738" t="s">
        <v>13</v>
      </c>
    </row>
    <row r="739" spans="1:13" x14ac:dyDescent="0.3">
      <c r="A739" s="1">
        <v>42378</v>
      </c>
      <c r="B739">
        <v>7.33</v>
      </c>
      <c r="C739">
        <v>2.66</v>
      </c>
      <c r="D739">
        <v>5</v>
      </c>
      <c r="E739">
        <v>88.3</v>
      </c>
      <c r="F739">
        <v>9</v>
      </c>
      <c r="G739">
        <v>0</v>
      </c>
      <c r="H739">
        <v>3</v>
      </c>
      <c r="I739">
        <v>3</v>
      </c>
      <c r="J739">
        <v>2016</v>
      </c>
      <c r="K739">
        <v>1</v>
      </c>
      <c r="L739">
        <v>276</v>
      </c>
      <c r="M739" t="s">
        <v>14</v>
      </c>
    </row>
    <row r="740" spans="1:13" x14ac:dyDescent="0.3">
      <c r="A740" s="1">
        <v>42379</v>
      </c>
      <c r="B740">
        <v>7</v>
      </c>
      <c r="C740">
        <v>4.0330000000000004</v>
      </c>
      <c r="D740">
        <v>12</v>
      </c>
      <c r="E740">
        <v>67.599999999999994</v>
      </c>
      <c r="F740">
        <v>8</v>
      </c>
      <c r="G740">
        <v>1</v>
      </c>
      <c r="H740">
        <v>1</v>
      </c>
      <c r="I740">
        <v>0</v>
      </c>
      <c r="J740">
        <v>2016</v>
      </c>
      <c r="K740">
        <v>1</v>
      </c>
      <c r="L740">
        <v>276</v>
      </c>
      <c r="M740" t="s">
        <v>15</v>
      </c>
    </row>
    <row r="741" spans="1:13" x14ac:dyDescent="0.3">
      <c r="A741" s="1">
        <v>42380</v>
      </c>
      <c r="B741">
        <v>9.34</v>
      </c>
      <c r="C741">
        <v>5.66</v>
      </c>
      <c r="D741">
        <v>7</v>
      </c>
      <c r="E741">
        <v>64.900000000000006</v>
      </c>
      <c r="F741">
        <v>18</v>
      </c>
      <c r="G741">
        <v>0</v>
      </c>
      <c r="H741">
        <v>0</v>
      </c>
      <c r="I741">
        <v>4</v>
      </c>
      <c r="J741">
        <v>2016</v>
      </c>
      <c r="K741">
        <v>1</v>
      </c>
      <c r="L741">
        <v>276</v>
      </c>
      <c r="M741" t="s">
        <v>16</v>
      </c>
    </row>
    <row r="742" spans="1:13" x14ac:dyDescent="0.3">
      <c r="A742" s="1">
        <v>42381</v>
      </c>
      <c r="B742">
        <v>12</v>
      </c>
      <c r="C742">
        <v>3.1320000000000001</v>
      </c>
      <c r="D742">
        <v>12</v>
      </c>
      <c r="E742">
        <v>61.35</v>
      </c>
      <c r="F742">
        <v>8</v>
      </c>
      <c r="G742">
        <v>0</v>
      </c>
      <c r="H742">
        <v>0</v>
      </c>
      <c r="I742">
        <v>0</v>
      </c>
      <c r="J742">
        <v>2016</v>
      </c>
      <c r="K742">
        <v>1</v>
      </c>
      <c r="L742">
        <v>276</v>
      </c>
      <c r="M742" t="s">
        <v>17</v>
      </c>
    </row>
    <row r="743" spans="1:13" x14ac:dyDescent="0.3">
      <c r="A743" s="1">
        <v>42382</v>
      </c>
      <c r="B743">
        <v>9</v>
      </c>
      <c r="C743">
        <v>1.66</v>
      </c>
      <c r="D743">
        <v>5</v>
      </c>
      <c r="E743">
        <v>41.7</v>
      </c>
      <c r="F743">
        <v>15</v>
      </c>
      <c r="G743">
        <v>0</v>
      </c>
      <c r="H743">
        <v>1</v>
      </c>
      <c r="I743">
        <v>2</v>
      </c>
      <c r="J743">
        <v>2016</v>
      </c>
      <c r="K743">
        <v>1</v>
      </c>
      <c r="L743">
        <v>276</v>
      </c>
      <c r="M743" t="s">
        <v>18</v>
      </c>
    </row>
    <row r="744" spans="1:13" x14ac:dyDescent="0.3">
      <c r="A744" s="1">
        <v>42383</v>
      </c>
      <c r="B744">
        <v>2</v>
      </c>
      <c r="C744">
        <v>5.1550000000000002</v>
      </c>
      <c r="D744">
        <v>6</v>
      </c>
      <c r="E744">
        <v>69</v>
      </c>
      <c r="F744">
        <v>18</v>
      </c>
      <c r="G744">
        <v>0</v>
      </c>
      <c r="H744">
        <v>8</v>
      </c>
      <c r="I744">
        <v>2</v>
      </c>
      <c r="J744">
        <v>2016</v>
      </c>
      <c r="K744">
        <v>1</v>
      </c>
      <c r="L744">
        <v>276</v>
      </c>
      <c r="M744" t="s">
        <v>12</v>
      </c>
    </row>
    <row r="745" spans="1:13" x14ac:dyDescent="0.3">
      <c r="A745" s="1">
        <v>42384</v>
      </c>
      <c r="B745">
        <v>8.98</v>
      </c>
      <c r="C745">
        <v>4.66</v>
      </c>
      <c r="D745">
        <v>10.6</v>
      </c>
      <c r="E745">
        <v>18.100000000000001</v>
      </c>
      <c r="F745">
        <v>8</v>
      </c>
      <c r="G745">
        <v>0</v>
      </c>
      <c r="H745">
        <v>10</v>
      </c>
      <c r="I745">
        <v>2</v>
      </c>
      <c r="J745">
        <v>2016</v>
      </c>
      <c r="K745">
        <v>1</v>
      </c>
      <c r="L745">
        <v>276</v>
      </c>
      <c r="M745" t="s">
        <v>13</v>
      </c>
    </row>
    <row r="746" spans="1:13" x14ac:dyDescent="0.3">
      <c r="A746" s="1">
        <v>42385</v>
      </c>
      <c r="B746">
        <v>3.34</v>
      </c>
      <c r="C746">
        <v>5.34</v>
      </c>
      <c r="D746">
        <v>6</v>
      </c>
      <c r="E746">
        <v>63.6</v>
      </c>
      <c r="F746">
        <v>11</v>
      </c>
      <c r="G746">
        <v>0</v>
      </c>
      <c r="H746">
        <v>2</v>
      </c>
      <c r="I746">
        <v>1</v>
      </c>
      <c r="J746">
        <v>2016</v>
      </c>
      <c r="K746">
        <v>1</v>
      </c>
      <c r="L746">
        <v>276</v>
      </c>
      <c r="M746" t="s">
        <v>14</v>
      </c>
    </row>
    <row r="747" spans="1:13" x14ac:dyDescent="0.3">
      <c r="A747" s="1">
        <v>42386</v>
      </c>
      <c r="B747">
        <v>7.01</v>
      </c>
      <c r="C747">
        <v>1.6040000000000001</v>
      </c>
      <c r="D747">
        <v>3.9</v>
      </c>
      <c r="E747">
        <v>46.6</v>
      </c>
      <c r="F747">
        <v>4</v>
      </c>
      <c r="G747">
        <v>0</v>
      </c>
      <c r="H747">
        <v>0</v>
      </c>
      <c r="I747">
        <v>1</v>
      </c>
      <c r="J747">
        <v>2016</v>
      </c>
      <c r="K747">
        <v>1</v>
      </c>
      <c r="L747">
        <v>276</v>
      </c>
      <c r="M747" t="s">
        <v>15</v>
      </c>
    </row>
    <row r="748" spans="1:13" x14ac:dyDescent="0.3">
      <c r="A748" s="1">
        <v>42387</v>
      </c>
      <c r="B748">
        <v>3.5</v>
      </c>
      <c r="C748">
        <v>2.99</v>
      </c>
      <c r="D748">
        <v>4.3</v>
      </c>
      <c r="E748">
        <v>62.8</v>
      </c>
      <c r="F748">
        <v>3</v>
      </c>
      <c r="G748">
        <v>2</v>
      </c>
      <c r="H748">
        <v>9</v>
      </c>
      <c r="I748">
        <v>2</v>
      </c>
      <c r="J748">
        <v>2016</v>
      </c>
      <c r="K748">
        <v>1</v>
      </c>
      <c r="L748">
        <v>276</v>
      </c>
      <c r="M748" t="s">
        <v>16</v>
      </c>
    </row>
    <row r="749" spans="1:13" x14ac:dyDescent="0.3">
      <c r="A749" s="1">
        <v>42388</v>
      </c>
      <c r="B749">
        <v>6</v>
      </c>
      <c r="C749">
        <v>5.66</v>
      </c>
      <c r="D749">
        <v>6</v>
      </c>
      <c r="E749">
        <v>49.8</v>
      </c>
      <c r="F749">
        <v>7</v>
      </c>
      <c r="G749">
        <v>0</v>
      </c>
      <c r="H749">
        <v>0</v>
      </c>
      <c r="I749">
        <v>3</v>
      </c>
      <c r="J749">
        <v>2016</v>
      </c>
      <c r="K749">
        <v>1</v>
      </c>
      <c r="L749">
        <v>276</v>
      </c>
      <c r="M749" t="s">
        <v>17</v>
      </c>
    </row>
    <row r="750" spans="1:13" x14ac:dyDescent="0.3">
      <c r="A750" s="1">
        <v>42389</v>
      </c>
      <c r="B750">
        <v>2.3199999999999998</v>
      </c>
      <c r="C750">
        <v>3.363</v>
      </c>
      <c r="D750">
        <v>3</v>
      </c>
      <c r="E750">
        <v>15.1</v>
      </c>
      <c r="F750">
        <v>29</v>
      </c>
      <c r="G750">
        <v>3</v>
      </c>
      <c r="H750">
        <v>3</v>
      </c>
      <c r="I750">
        <v>2</v>
      </c>
      <c r="J750">
        <v>2016</v>
      </c>
      <c r="K750">
        <v>1</v>
      </c>
      <c r="L750">
        <v>276</v>
      </c>
      <c r="M750" t="s">
        <v>18</v>
      </c>
    </row>
    <row r="751" spans="1:13" x14ac:dyDescent="0.3">
      <c r="A751" s="1">
        <v>42390</v>
      </c>
      <c r="B751">
        <v>5</v>
      </c>
      <c r="C751">
        <v>1.43</v>
      </c>
      <c r="D751">
        <v>1</v>
      </c>
      <c r="E751">
        <v>68.400000000000006</v>
      </c>
      <c r="F751">
        <v>8</v>
      </c>
      <c r="G751">
        <v>4</v>
      </c>
      <c r="H751">
        <v>6</v>
      </c>
      <c r="I751">
        <v>5</v>
      </c>
      <c r="J751">
        <v>2016</v>
      </c>
      <c r="K751">
        <v>1</v>
      </c>
      <c r="L751">
        <v>276</v>
      </c>
      <c r="M751" t="s">
        <v>12</v>
      </c>
    </row>
    <row r="752" spans="1:13" x14ac:dyDescent="0.3">
      <c r="A752" s="1">
        <v>42391</v>
      </c>
      <c r="B752">
        <v>0.83</v>
      </c>
      <c r="C752">
        <v>7.6779999999999999</v>
      </c>
      <c r="D752">
        <v>7</v>
      </c>
      <c r="E752">
        <v>39.5</v>
      </c>
      <c r="F752">
        <v>11</v>
      </c>
      <c r="G752">
        <v>0</v>
      </c>
      <c r="H752">
        <v>10</v>
      </c>
      <c r="I752">
        <v>0</v>
      </c>
      <c r="J752">
        <v>2016</v>
      </c>
      <c r="K752">
        <v>1</v>
      </c>
      <c r="L752">
        <v>276</v>
      </c>
      <c r="M752" t="s">
        <v>13</v>
      </c>
    </row>
    <row r="753" spans="1:13" x14ac:dyDescent="0.3">
      <c r="A753" s="1">
        <v>42392</v>
      </c>
      <c r="B753">
        <v>6.33</v>
      </c>
      <c r="C753">
        <v>6.1319999999999997</v>
      </c>
      <c r="D753">
        <v>7.1</v>
      </c>
      <c r="E753">
        <v>36.799999999999997</v>
      </c>
      <c r="F753">
        <v>4</v>
      </c>
      <c r="G753">
        <v>0</v>
      </c>
      <c r="H753">
        <v>6</v>
      </c>
      <c r="I753">
        <v>2</v>
      </c>
      <c r="J753">
        <v>2016</v>
      </c>
      <c r="K753">
        <v>1</v>
      </c>
      <c r="L753">
        <v>276</v>
      </c>
      <c r="M753" t="s">
        <v>14</v>
      </c>
    </row>
    <row r="754" spans="1:13" x14ac:dyDescent="0.3">
      <c r="A754" s="1">
        <v>42393</v>
      </c>
      <c r="B754">
        <v>4</v>
      </c>
      <c r="C754">
        <v>6.1219999999999999</v>
      </c>
      <c r="D754">
        <v>11.3</v>
      </c>
      <c r="E754">
        <v>48.1</v>
      </c>
      <c r="F754">
        <v>3</v>
      </c>
      <c r="G754">
        <v>0</v>
      </c>
      <c r="H754">
        <v>12</v>
      </c>
      <c r="I754">
        <v>3</v>
      </c>
      <c r="J754">
        <v>2016</v>
      </c>
      <c r="K754">
        <v>1</v>
      </c>
      <c r="L754">
        <v>276</v>
      </c>
      <c r="M754" t="s">
        <v>15</v>
      </c>
    </row>
    <row r="755" spans="1:13" x14ac:dyDescent="0.3">
      <c r="A755" s="1">
        <v>42394</v>
      </c>
      <c r="B755">
        <v>10.33</v>
      </c>
      <c r="C755">
        <v>4.26</v>
      </c>
      <c r="D755">
        <v>4</v>
      </c>
      <c r="E755">
        <v>46.95</v>
      </c>
      <c r="F755">
        <v>12</v>
      </c>
      <c r="G755">
        <v>2</v>
      </c>
      <c r="H755">
        <v>10</v>
      </c>
      <c r="I755">
        <v>1.5</v>
      </c>
      <c r="J755">
        <v>2016</v>
      </c>
      <c r="K755">
        <v>1</v>
      </c>
      <c r="L755">
        <v>276</v>
      </c>
      <c r="M755" t="s">
        <v>16</v>
      </c>
    </row>
    <row r="756" spans="1:13" x14ac:dyDescent="0.3">
      <c r="A756" s="1">
        <v>42395</v>
      </c>
      <c r="B756">
        <v>5.68</v>
      </c>
      <c r="C756">
        <v>4.069</v>
      </c>
      <c r="D756">
        <v>8</v>
      </c>
      <c r="E756">
        <v>30.3</v>
      </c>
      <c r="F756">
        <v>9</v>
      </c>
      <c r="G756">
        <v>0</v>
      </c>
      <c r="H756">
        <v>15</v>
      </c>
      <c r="I756">
        <v>0</v>
      </c>
      <c r="J756">
        <v>2016</v>
      </c>
      <c r="K756">
        <v>1</v>
      </c>
      <c r="L756">
        <v>276</v>
      </c>
      <c r="M756" t="s">
        <v>17</v>
      </c>
    </row>
    <row r="757" spans="1:13" x14ac:dyDescent="0.3">
      <c r="A757" s="1">
        <v>42396</v>
      </c>
      <c r="B757">
        <v>4.34</v>
      </c>
      <c r="C757">
        <v>4.4290000000000003</v>
      </c>
      <c r="D757">
        <v>3.4</v>
      </c>
      <c r="E757">
        <v>30.062000000000001</v>
      </c>
      <c r="F757">
        <v>18</v>
      </c>
      <c r="G757">
        <v>5</v>
      </c>
      <c r="H757">
        <v>5</v>
      </c>
      <c r="I757">
        <v>2</v>
      </c>
      <c r="J757">
        <v>2016</v>
      </c>
      <c r="K757">
        <v>1</v>
      </c>
      <c r="L757">
        <v>276</v>
      </c>
      <c r="M757" t="s">
        <v>18</v>
      </c>
    </row>
    <row r="758" spans="1:13" x14ac:dyDescent="0.3">
      <c r="A758" s="1">
        <v>42397</v>
      </c>
      <c r="B758">
        <v>7.33</v>
      </c>
      <c r="C758">
        <v>6.66</v>
      </c>
      <c r="D758">
        <v>4.4000000000000004</v>
      </c>
      <c r="E758">
        <v>33</v>
      </c>
      <c r="F758">
        <v>4</v>
      </c>
      <c r="G758">
        <v>0</v>
      </c>
      <c r="H758">
        <v>4</v>
      </c>
      <c r="I758">
        <v>3</v>
      </c>
      <c r="J758">
        <v>2016</v>
      </c>
      <c r="K758">
        <v>1</v>
      </c>
      <c r="L758">
        <v>276</v>
      </c>
      <c r="M758" t="s">
        <v>12</v>
      </c>
    </row>
    <row r="759" spans="1:13" x14ac:dyDescent="0.3">
      <c r="A759" s="1">
        <v>42398</v>
      </c>
      <c r="B759">
        <v>5</v>
      </c>
      <c r="C759">
        <v>8.67</v>
      </c>
      <c r="D759">
        <v>8.6</v>
      </c>
      <c r="E759">
        <v>74.400000000000006</v>
      </c>
      <c r="F759">
        <v>3</v>
      </c>
      <c r="G759">
        <v>1</v>
      </c>
      <c r="H759">
        <v>17</v>
      </c>
      <c r="I759">
        <v>2</v>
      </c>
      <c r="J759">
        <v>2016</v>
      </c>
      <c r="K759">
        <v>1</v>
      </c>
      <c r="L759">
        <v>276</v>
      </c>
      <c r="M759" t="s">
        <v>13</v>
      </c>
    </row>
    <row r="760" spans="1:13" x14ac:dyDescent="0.3">
      <c r="A760" s="1">
        <v>42399</v>
      </c>
      <c r="B760">
        <v>9</v>
      </c>
      <c r="C760">
        <v>4.4290000000000003</v>
      </c>
      <c r="D760">
        <v>5.3</v>
      </c>
      <c r="E760">
        <v>47.462000000000003</v>
      </c>
      <c r="F760">
        <v>3</v>
      </c>
      <c r="G760">
        <v>2</v>
      </c>
      <c r="H760">
        <v>5</v>
      </c>
      <c r="I760">
        <v>2</v>
      </c>
      <c r="J760">
        <v>2016</v>
      </c>
      <c r="K760">
        <v>1</v>
      </c>
      <c r="L760">
        <v>276</v>
      </c>
      <c r="M760" t="s">
        <v>14</v>
      </c>
    </row>
    <row r="761" spans="1:13" x14ac:dyDescent="0.3">
      <c r="A761" s="1">
        <v>42400</v>
      </c>
      <c r="B761">
        <v>4.33</v>
      </c>
      <c r="C761">
        <v>5.1429999999999998</v>
      </c>
      <c r="D761">
        <v>3.8</v>
      </c>
      <c r="E761">
        <v>78.900000000000006</v>
      </c>
      <c r="F761">
        <v>3</v>
      </c>
      <c r="G761">
        <v>0</v>
      </c>
      <c r="H761">
        <v>6</v>
      </c>
      <c r="I761">
        <v>2</v>
      </c>
      <c r="J761">
        <v>2016</v>
      </c>
      <c r="K761">
        <v>1</v>
      </c>
      <c r="L761">
        <v>276</v>
      </c>
      <c r="M761" t="s">
        <v>15</v>
      </c>
    </row>
    <row r="762" spans="1:13" x14ac:dyDescent="0.3">
      <c r="A762" s="1">
        <v>42401</v>
      </c>
      <c r="B762">
        <v>6.34</v>
      </c>
      <c r="C762">
        <v>5</v>
      </c>
      <c r="D762">
        <v>7.1</v>
      </c>
      <c r="E762">
        <v>18</v>
      </c>
      <c r="F762">
        <v>7</v>
      </c>
      <c r="G762">
        <v>0</v>
      </c>
      <c r="H762">
        <v>6</v>
      </c>
      <c r="I762">
        <v>1</v>
      </c>
      <c r="J762">
        <v>2016</v>
      </c>
      <c r="K762">
        <v>2</v>
      </c>
      <c r="L762">
        <v>276</v>
      </c>
      <c r="M762" t="s">
        <v>16</v>
      </c>
    </row>
    <row r="763" spans="1:13" x14ac:dyDescent="0.3">
      <c r="A763" s="1">
        <v>42402</v>
      </c>
      <c r="B763">
        <v>14.33</v>
      </c>
      <c r="C763">
        <v>4.8780000000000001</v>
      </c>
      <c r="D763">
        <v>1.3</v>
      </c>
      <c r="E763">
        <v>39</v>
      </c>
      <c r="F763">
        <v>6</v>
      </c>
      <c r="G763">
        <v>0</v>
      </c>
      <c r="H763">
        <v>0</v>
      </c>
      <c r="I763">
        <v>1</v>
      </c>
      <c r="J763">
        <v>2016</v>
      </c>
      <c r="K763">
        <v>2</v>
      </c>
      <c r="L763">
        <v>276</v>
      </c>
      <c r="M763" t="s">
        <v>17</v>
      </c>
    </row>
    <row r="764" spans="1:13" x14ac:dyDescent="0.3">
      <c r="A764" s="1">
        <v>42403</v>
      </c>
      <c r="B764">
        <v>8</v>
      </c>
      <c r="C764">
        <v>6.6929999999999996</v>
      </c>
      <c r="D764">
        <v>11.5</v>
      </c>
      <c r="E764">
        <v>39.061999999999998</v>
      </c>
      <c r="F764">
        <v>11</v>
      </c>
      <c r="G764">
        <v>5</v>
      </c>
      <c r="H764">
        <v>0</v>
      </c>
      <c r="I764">
        <v>0</v>
      </c>
      <c r="J764">
        <v>2016</v>
      </c>
      <c r="K764">
        <v>2</v>
      </c>
      <c r="L764">
        <v>276</v>
      </c>
      <c r="M764" t="s">
        <v>18</v>
      </c>
    </row>
    <row r="765" spans="1:13" x14ac:dyDescent="0.3">
      <c r="A765" s="1">
        <v>42404</v>
      </c>
      <c r="B765">
        <v>8.34</v>
      </c>
      <c r="C765">
        <v>4</v>
      </c>
      <c r="D765">
        <v>4.2</v>
      </c>
      <c r="E765">
        <v>28.8</v>
      </c>
      <c r="F765">
        <v>5</v>
      </c>
      <c r="G765">
        <v>0</v>
      </c>
      <c r="H765">
        <v>4</v>
      </c>
      <c r="I765">
        <v>4</v>
      </c>
      <c r="J765">
        <v>2016</v>
      </c>
      <c r="K765">
        <v>2</v>
      </c>
      <c r="L765">
        <v>276</v>
      </c>
      <c r="M765" t="s">
        <v>12</v>
      </c>
    </row>
    <row r="766" spans="1:13" x14ac:dyDescent="0.3">
      <c r="A766" s="1">
        <v>42405</v>
      </c>
      <c r="B766">
        <v>5.66</v>
      </c>
      <c r="C766">
        <v>2</v>
      </c>
      <c r="D766">
        <v>3</v>
      </c>
      <c r="E766">
        <v>51.6</v>
      </c>
      <c r="F766">
        <v>7</v>
      </c>
      <c r="G766">
        <v>0</v>
      </c>
      <c r="H766">
        <v>3</v>
      </c>
      <c r="I766">
        <v>1</v>
      </c>
      <c r="J766">
        <v>2016</v>
      </c>
      <c r="K766">
        <v>2</v>
      </c>
      <c r="L766">
        <v>276</v>
      </c>
      <c r="M766" t="s">
        <v>13</v>
      </c>
    </row>
    <row r="767" spans="1:13" x14ac:dyDescent="0.3">
      <c r="A767" s="1">
        <v>42406</v>
      </c>
      <c r="B767">
        <v>5.33</v>
      </c>
      <c r="C767">
        <v>10.33</v>
      </c>
      <c r="D767">
        <v>3</v>
      </c>
      <c r="E767">
        <v>57.161999999999999</v>
      </c>
      <c r="F767">
        <v>1</v>
      </c>
      <c r="G767">
        <v>0</v>
      </c>
      <c r="H767">
        <v>11</v>
      </c>
      <c r="I767">
        <v>2</v>
      </c>
      <c r="J767">
        <v>2016</v>
      </c>
      <c r="K767">
        <v>2</v>
      </c>
      <c r="L767">
        <v>276</v>
      </c>
      <c r="M767" t="s">
        <v>14</v>
      </c>
    </row>
    <row r="768" spans="1:13" x14ac:dyDescent="0.3">
      <c r="A768" s="1">
        <v>42407</v>
      </c>
      <c r="B768">
        <v>3.66</v>
      </c>
      <c r="C768">
        <v>6.056</v>
      </c>
      <c r="D768">
        <v>4.5</v>
      </c>
      <c r="E768">
        <v>88.2</v>
      </c>
      <c r="F768">
        <v>2</v>
      </c>
      <c r="G768">
        <v>0</v>
      </c>
      <c r="H768">
        <v>13</v>
      </c>
      <c r="I768">
        <v>1</v>
      </c>
      <c r="J768">
        <v>2016</v>
      </c>
      <c r="K768">
        <v>2</v>
      </c>
      <c r="L768">
        <v>276</v>
      </c>
      <c r="M768" t="s">
        <v>15</v>
      </c>
    </row>
    <row r="769" spans="1:13" x14ac:dyDescent="0.3">
      <c r="A769" s="1">
        <v>42408</v>
      </c>
      <c r="B769">
        <v>6.33</v>
      </c>
      <c r="C769">
        <v>6.99</v>
      </c>
      <c r="D769">
        <v>5.5</v>
      </c>
      <c r="E769">
        <v>28.038</v>
      </c>
      <c r="F769">
        <v>5</v>
      </c>
      <c r="G769">
        <v>0</v>
      </c>
      <c r="H769">
        <v>23</v>
      </c>
      <c r="I769">
        <v>1</v>
      </c>
      <c r="J769">
        <v>2016</v>
      </c>
      <c r="K769">
        <v>2</v>
      </c>
      <c r="L769">
        <v>276</v>
      </c>
      <c r="M769" t="s">
        <v>16</v>
      </c>
    </row>
    <row r="770" spans="1:13" x14ac:dyDescent="0.3">
      <c r="A770" s="1">
        <v>42409</v>
      </c>
      <c r="B770">
        <v>7</v>
      </c>
      <c r="C770">
        <v>3.33</v>
      </c>
      <c r="D770">
        <v>4.4000000000000004</v>
      </c>
      <c r="E770">
        <v>47.7</v>
      </c>
      <c r="F770">
        <v>16</v>
      </c>
      <c r="G770">
        <v>2</v>
      </c>
      <c r="H770">
        <v>1</v>
      </c>
      <c r="I770">
        <v>2</v>
      </c>
      <c r="J770">
        <v>2016</v>
      </c>
      <c r="K770">
        <v>2</v>
      </c>
      <c r="L770">
        <v>276</v>
      </c>
      <c r="M770" t="s">
        <v>17</v>
      </c>
    </row>
    <row r="771" spans="1:13" x14ac:dyDescent="0.3">
      <c r="A771" s="1">
        <v>42410</v>
      </c>
      <c r="B771">
        <v>4.34</v>
      </c>
      <c r="C771">
        <v>4.7030000000000003</v>
      </c>
      <c r="D771">
        <v>7.2</v>
      </c>
      <c r="E771">
        <v>34.1</v>
      </c>
      <c r="F771">
        <v>29</v>
      </c>
      <c r="G771">
        <v>0</v>
      </c>
      <c r="H771">
        <v>4</v>
      </c>
      <c r="I771">
        <v>2</v>
      </c>
      <c r="J771">
        <v>2016</v>
      </c>
      <c r="K771">
        <v>2</v>
      </c>
      <c r="L771">
        <v>276</v>
      </c>
      <c r="M771" t="s">
        <v>18</v>
      </c>
    </row>
    <row r="772" spans="1:13" x14ac:dyDescent="0.3">
      <c r="A772" s="1">
        <v>42411</v>
      </c>
      <c r="B772">
        <v>1.66</v>
      </c>
      <c r="C772">
        <v>4.1559999999999997</v>
      </c>
      <c r="D772">
        <v>2.7</v>
      </c>
      <c r="E772">
        <v>38.1</v>
      </c>
      <c r="F772">
        <v>10</v>
      </c>
      <c r="G772">
        <v>1</v>
      </c>
      <c r="H772">
        <v>13</v>
      </c>
      <c r="I772">
        <v>4</v>
      </c>
      <c r="J772">
        <v>2016</v>
      </c>
      <c r="K772">
        <v>2</v>
      </c>
      <c r="L772">
        <v>276</v>
      </c>
      <c r="M772" t="s">
        <v>12</v>
      </c>
    </row>
    <row r="773" spans="1:13" x14ac:dyDescent="0.3">
      <c r="A773" s="1">
        <v>42412</v>
      </c>
      <c r="B773">
        <v>5.99</v>
      </c>
      <c r="C773">
        <v>6.4290000000000003</v>
      </c>
      <c r="D773">
        <v>8.5</v>
      </c>
      <c r="E773">
        <v>60.674999999999997</v>
      </c>
      <c r="F773">
        <v>4</v>
      </c>
      <c r="G773">
        <v>0</v>
      </c>
      <c r="H773">
        <v>20</v>
      </c>
      <c r="I773">
        <v>1</v>
      </c>
      <c r="J773">
        <v>2016</v>
      </c>
      <c r="K773">
        <v>2</v>
      </c>
      <c r="L773">
        <v>276</v>
      </c>
      <c r="M773" t="s">
        <v>13</v>
      </c>
    </row>
    <row r="774" spans="1:13" x14ac:dyDescent="0.3">
      <c r="A774" s="1">
        <v>42413</v>
      </c>
      <c r="B774">
        <v>2.67</v>
      </c>
      <c r="C774">
        <v>3.67</v>
      </c>
      <c r="D774">
        <v>5</v>
      </c>
      <c r="E774">
        <v>42.4</v>
      </c>
      <c r="F774">
        <v>2</v>
      </c>
      <c r="G774">
        <v>0</v>
      </c>
      <c r="H774">
        <v>10</v>
      </c>
      <c r="I774">
        <v>2</v>
      </c>
      <c r="J774">
        <v>2016</v>
      </c>
      <c r="K774">
        <v>2</v>
      </c>
      <c r="L774">
        <v>276</v>
      </c>
      <c r="M774" t="s">
        <v>14</v>
      </c>
    </row>
    <row r="775" spans="1:13" x14ac:dyDescent="0.3">
      <c r="A775" s="1">
        <v>42414</v>
      </c>
      <c r="B775">
        <v>5.84</v>
      </c>
      <c r="C775">
        <v>7.34</v>
      </c>
      <c r="D775">
        <v>3.8</v>
      </c>
      <c r="E775">
        <v>43.6</v>
      </c>
      <c r="F775">
        <v>5</v>
      </c>
      <c r="G775">
        <v>0</v>
      </c>
      <c r="H775">
        <v>7</v>
      </c>
      <c r="I775">
        <v>4</v>
      </c>
      <c r="J775">
        <v>2016</v>
      </c>
      <c r="K775">
        <v>2</v>
      </c>
      <c r="L775">
        <v>276</v>
      </c>
      <c r="M775" t="s">
        <v>15</v>
      </c>
    </row>
    <row r="776" spans="1:13" x14ac:dyDescent="0.3">
      <c r="A776" s="1">
        <v>42415</v>
      </c>
      <c r="B776">
        <v>5.33</v>
      </c>
      <c r="C776">
        <v>5.33</v>
      </c>
      <c r="D776">
        <v>5.3</v>
      </c>
      <c r="E776">
        <v>52.2</v>
      </c>
      <c r="F776">
        <v>6</v>
      </c>
      <c r="G776">
        <v>0</v>
      </c>
      <c r="H776">
        <v>0</v>
      </c>
      <c r="I776">
        <v>0</v>
      </c>
      <c r="J776">
        <v>2016</v>
      </c>
      <c r="K776">
        <v>2</v>
      </c>
      <c r="L776">
        <v>276</v>
      </c>
      <c r="M776" t="s">
        <v>16</v>
      </c>
    </row>
    <row r="777" spans="1:13" x14ac:dyDescent="0.3">
      <c r="A777" s="1">
        <v>42416</v>
      </c>
      <c r="B777">
        <v>7.33</v>
      </c>
      <c r="C777">
        <v>2.3199999999999998</v>
      </c>
      <c r="D777">
        <v>3</v>
      </c>
      <c r="E777">
        <v>29</v>
      </c>
      <c r="F777">
        <v>3</v>
      </c>
      <c r="G777">
        <v>2</v>
      </c>
      <c r="H777">
        <v>9</v>
      </c>
      <c r="I777">
        <v>3</v>
      </c>
      <c r="J777">
        <v>2016</v>
      </c>
      <c r="K777">
        <v>2</v>
      </c>
      <c r="L777">
        <v>276</v>
      </c>
      <c r="M777" t="s">
        <v>17</v>
      </c>
    </row>
    <row r="778" spans="1:13" x14ac:dyDescent="0.3">
      <c r="A778" s="1">
        <v>42417</v>
      </c>
      <c r="B778">
        <v>3</v>
      </c>
      <c r="C778">
        <v>5</v>
      </c>
      <c r="D778">
        <v>4</v>
      </c>
      <c r="E778">
        <v>26.6</v>
      </c>
      <c r="F778">
        <v>12</v>
      </c>
      <c r="G778">
        <v>1</v>
      </c>
      <c r="H778">
        <v>1</v>
      </c>
      <c r="I778">
        <v>0</v>
      </c>
      <c r="J778">
        <v>2016</v>
      </c>
      <c r="K778">
        <v>2</v>
      </c>
      <c r="L778">
        <v>276</v>
      </c>
      <c r="M778" t="s">
        <v>18</v>
      </c>
    </row>
    <row r="779" spans="1:13" x14ac:dyDescent="0.3">
      <c r="A779" s="1">
        <v>42418</v>
      </c>
      <c r="B779">
        <v>2.34</v>
      </c>
      <c r="C779">
        <v>1</v>
      </c>
      <c r="D779">
        <v>4.3</v>
      </c>
      <c r="E779">
        <v>43.85</v>
      </c>
      <c r="F779">
        <v>3</v>
      </c>
      <c r="G779">
        <v>0</v>
      </c>
      <c r="H779">
        <v>9</v>
      </c>
      <c r="I779">
        <v>1</v>
      </c>
      <c r="J779">
        <v>2016</v>
      </c>
      <c r="K779">
        <v>2</v>
      </c>
      <c r="L779">
        <v>276</v>
      </c>
      <c r="M779" t="s">
        <v>12</v>
      </c>
    </row>
    <row r="780" spans="1:13" x14ac:dyDescent="0.3">
      <c r="A780" s="1">
        <v>42419</v>
      </c>
      <c r="B780">
        <v>4</v>
      </c>
      <c r="C780">
        <v>1.67</v>
      </c>
      <c r="D780">
        <v>4</v>
      </c>
      <c r="E780">
        <v>28.7</v>
      </c>
      <c r="F780">
        <v>18</v>
      </c>
      <c r="G780">
        <v>2</v>
      </c>
      <c r="H780">
        <v>26</v>
      </c>
      <c r="I780">
        <v>1</v>
      </c>
      <c r="J780">
        <v>2016</v>
      </c>
      <c r="K780">
        <v>2</v>
      </c>
      <c r="L780">
        <v>276</v>
      </c>
      <c r="M780" t="s">
        <v>13</v>
      </c>
    </row>
    <row r="781" spans="1:13" x14ac:dyDescent="0.3">
      <c r="A781" s="1">
        <v>42420</v>
      </c>
      <c r="B781">
        <v>10.33</v>
      </c>
      <c r="C781">
        <v>4.1219999999999999</v>
      </c>
      <c r="D781">
        <v>4</v>
      </c>
      <c r="E781">
        <v>36.9</v>
      </c>
      <c r="F781">
        <v>5</v>
      </c>
      <c r="G781">
        <v>0</v>
      </c>
      <c r="H781">
        <v>8</v>
      </c>
      <c r="I781">
        <v>3</v>
      </c>
      <c r="J781">
        <v>2016</v>
      </c>
      <c r="K781">
        <v>2</v>
      </c>
      <c r="L781">
        <v>276</v>
      </c>
      <c r="M781" t="s">
        <v>14</v>
      </c>
    </row>
    <row r="782" spans="1:13" x14ac:dyDescent="0.3">
      <c r="A782" s="1">
        <v>42421</v>
      </c>
      <c r="B782">
        <v>6.34</v>
      </c>
      <c r="C782">
        <v>4</v>
      </c>
      <c r="D782">
        <v>0</v>
      </c>
      <c r="E782">
        <v>55.7</v>
      </c>
      <c r="F782">
        <v>5</v>
      </c>
      <c r="G782">
        <v>2</v>
      </c>
      <c r="H782">
        <v>7</v>
      </c>
      <c r="I782">
        <v>4</v>
      </c>
      <c r="J782">
        <v>2016</v>
      </c>
      <c r="K782">
        <v>2</v>
      </c>
      <c r="L782">
        <v>276</v>
      </c>
      <c r="M782" t="s">
        <v>15</v>
      </c>
    </row>
    <row r="783" spans="1:13" x14ac:dyDescent="0.3">
      <c r="A783" s="1">
        <v>42422</v>
      </c>
      <c r="B783">
        <v>3</v>
      </c>
      <c r="C783">
        <v>5.32</v>
      </c>
      <c r="D783">
        <v>3</v>
      </c>
      <c r="E783">
        <v>51.125</v>
      </c>
      <c r="F783">
        <v>10</v>
      </c>
      <c r="G783">
        <v>0</v>
      </c>
      <c r="H783">
        <v>12</v>
      </c>
      <c r="I783">
        <v>4</v>
      </c>
      <c r="J783">
        <v>2016</v>
      </c>
      <c r="K783">
        <v>2</v>
      </c>
      <c r="L783">
        <v>276</v>
      </c>
      <c r="M783" t="s">
        <v>16</v>
      </c>
    </row>
    <row r="784" spans="1:13" x14ac:dyDescent="0.3">
      <c r="A784" s="1">
        <v>42423</v>
      </c>
      <c r="B784">
        <v>3</v>
      </c>
      <c r="C784">
        <v>2.33</v>
      </c>
      <c r="D784">
        <v>2.6</v>
      </c>
      <c r="E784">
        <v>41.3</v>
      </c>
      <c r="F784">
        <v>11</v>
      </c>
      <c r="G784">
        <v>0</v>
      </c>
      <c r="H784">
        <v>15</v>
      </c>
      <c r="I784">
        <v>3</v>
      </c>
      <c r="J784">
        <v>2016</v>
      </c>
      <c r="K784">
        <v>2</v>
      </c>
      <c r="L784">
        <v>276</v>
      </c>
      <c r="M784" t="s">
        <v>17</v>
      </c>
    </row>
    <row r="785" spans="1:13" x14ac:dyDescent="0.3">
      <c r="A785" s="1">
        <v>42424</v>
      </c>
      <c r="B785">
        <v>7.66</v>
      </c>
      <c r="C785">
        <v>2.33</v>
      </c>
      <c r="D785">
        <v>2.1</v>
      </c>
      <c r="E785">
        <v>35</v>
      </c>
      <c r="F785">
        <v>6</v>
      </c>
      <c r="G785">
        <v>2</v>
      </c>
      <c r="H785">
        <v>5</v>
      </c>
      <c r="I785">
        <v>1</v>
      </c>
      <c r="J785">
        <v>2016</v>
      </c>
      <c r="K785">
        <v>2</v>
      </c>
      <c r="L785">
        <v>276</v>
      </c>
      <c r="M785" t="s">
        <v>18</v>
      </c>
    </row>
    <row r="786" spans="1:13" x14ac:dyDescent="0.3">
      <c r="A786" s="1">
        <v>42425</v>
      </c>
      <c r="B786">
        <v>7.99</v>
      </c>
      <c r="C786">
        <v>3.99</v>
      </c>
      <c r="D786">
        <v>5</v>
      </c>
      <c r="E786">
        <v>41</v>
      </c>
      <c r="F786">
        <v>22</v>
      </c>
      <c r="G786">
        <v>1</v>
      </c>
      <c r="H786">
        <v>4</v>
      </c>
      <c r="I786">
        <v>3</v>
      </c>
      <c r="J786">
        <v>2016</v>
      </c>
      <c r="K786">
        <v>2</v>
      </c>
      <c r="L786">
        <v>276</v>
      </c>
      <c r="M786" t="s">
        <v>12</v>
      </c>
    </row>
    <row r="787" spans="1:13" x14ac:dyDescent="0.3">
      <c r="A787" s="1">
        <v>42426</v>
      </c>
      <c r="B787">
        <v>5</v>
      </c>
      <c r="C787">
        <v>5.8479999999999999</v>
      </c>
      <c r="D787">
        <v>4.5</v>
      </c>
      <c r="E787">
        <v>28.55</v>
      </c>
      <c r="F787">
        <v>6</v>
      </c>
      <c r="G787">
        <v>2</v>
      </c>
      <c r="H787">
        <v>0</v>
      </c>
      <c r="I787">
        <v>1</v>
      </c>
      <c r="J787">
        <v>2016</v>
      </c>
      <c r="K787">
        <v>2</v>
      </c>
      <c r="L787">
        <v>276</v>
      </c>
      <c r="M787" t="s">
        <v>13</v>
      </c>
    </row>
    <row r="788" spans="1:13" x14ac:dyDescent="0.3">
      <c r="A788" s="1">
        <v>42427</v>
      </c>
      <c r="B788">
        <v>8</v>
      </c>
      <c r="C788">
        <v>7</v>
      </c>
      <c r="D788">
        <v>6.6</v>
      </c>
      <c r="E788">
        <v>25.8</v>
      </c>
      <c r="F788">
        <v>3</v>
      </c>
      <c r="G788">
        <v>0</v>
      </c>
      <c r="H788">
        <v>5</v>
      </c>
      <c r="I788">
        <v>2</v>
      </c>
      <c r="J788">
        <v>2016</v>
      </c>
      <c r="K788">
        <v>2</v>
      </c>
      <c r="L788">
        <v>276</v>
      </c>
      <c r="M788" t="s">
        <v>14</v>
      </c>
    </row>
    <row r="789" spans="1:13" x14ac:dyDescent="0.3">
      <c r="A789" s="1">
        <v>42428</v>
      </c>
      <c r="B789">
        <v>8</v>
      </c>
      <c r="C789">
        <v>4.0330000000000004</v>
      </c>
      <c r="D789">
        <v>10.1</v>
      </c>
      <c r="E789">
        <v>66.5</v>
      </c>
      <c r="F789">
        <v>6</v>
      </c>
      <c r="G789">
        <v>0</v>
      </c>
      <c r="H789">
        <v>26</v>
      </c>
      <c r="I789">
        <v>5</v>
      </c>
      <c r="J789">
        <v>2016</v>
      </c>
      <c r="K789">
        <v>2</v>
      </c>
      <c r="L789">
        <v>276</v>
      </c>
      <c r="M789" t="s">
        <v>15</v>
      </c>
    </row>
    <row r="790" spans="1:13" x14ac:dyDescent="0.3">
      <c r="A790" s="1">
        <v>42429</v>
      </c>
      <c r="B790">
        <v>7</v>
      </c>
      <c r="C790">
        <v>7.66</v>
      </c>
      <c r="D790">
        <v>4</v>
      </c>
      <c r="E790">
        <v>46.2</v>
      </c>
      <c r="F790">
        <v>13</v>
      </c>
      <c r="G790">
        <v>0</v>
      </c>
      <c r="H790">
        <v>3</v>
      </c>
      <c r="I790">
        <v>1</v>
      </c>
      <c r="J790">
        <v>2016</v>
      </c>
      <c r="K790">
        <v>2</v>
      </c>
      <c r="L790">
        <v>276</v>
      </c>
      <c r="M790" t="s">
        <v>16</v>
      </c>
    </row>
    <row r="791" spans="1:13" x14ac:dyDescent="0.3">
      <c r="A791" s="1">
        <v>42430</v>
      </c>
      <c r="B791">
        <v>10</v>
      </c>
      <c r="C791">
        <v>4</v>
      </c>
      <c r="D791">
        <v>2.2000000000000002</v>
      </c>
      <c r="E791">
        <v>31</v>
      </c>
      <c r="F791">
        <v>11</v>
      </c>
      <c r="G791">
        <v>2</v>
      </c>
      <c r="H791">
        <v>0</v>
      </c>
      <c r="I791">
        <v>2</v>
      </c>
      <c r="J791">
        <v>2016</v>
      </c>
      <c r="K791">
        <v>3</v>
      </c>
      <c r="L791">
        <v>276</v>
      </c>
      <c r="M791" t="s">
        <v>17</v>
      </c>
    </row>
    <row r="792" spans="1:13" x14ac:dyDescent="0.3">
      <c r="A792" s="1">
        <v>42431</v>
      </c>
      <c r="B792">
        <v>3.33</v>
      </c>
      <c r="C792">
        <v>10.396000000000001</v>
      </c>
      <c r="D792">
        <v>5.3</v>
      </c>
      <c r="E792">
        <v>21.3</v>
      </c>
      <c r="F792">
        <v>15</v>
      </c>
      <c r="G792">
        <v>2</v>
      </c>
      <c r="H792">
        <v>1</v>
      </c>
      <c r="I792">
        <v>0</v>
      </c>
      <c r="J792">
        <v>2016</v>
      </c>
      <c r="K792">
        <v>3</v>
      </c>
      <c r="L792">
        <v>276</v>
      </c>
      <c r="M792" t="s">
        <v>18</v>
      </c>
    </row>
    <row r="793" spans="1:13" x14ac:dyDescent="0.3">
      <c r="A793" s="1">
        <v>42432</v>
      </c>
      <c r="B793">
        <v>2.83</v>
      </c>
      <c r="C793">
        <v>2</v>
      </c>
      <c r="D793">
        <v>5</v>
      </c>
      <c r="E793">
        <v>55.8</v>
      </c>
      <c r="F793">
        <v>2</v>
      </c>
      <c r="G793">
        <v>0</v>
      </c>
      <c r="H793">
        <v>9</v>
      </c>
      <c r="I793">
        <v>4</v>
      </c>
      <c r="J793">
        <v>2016</v>
      </c>
      <c r="K793">
        <v>3</v>
      </c>
      <c r="L793">
        <v>276</v>
      </c>
      <c r="M793" t="s">
        <v>12</v>
      </c>
    </row>
    <row r="794" spans="1:13" x14ac:dyDescent="0.3">
      <c r="A794" s="1">
        <v>42433</v>
      </c>
      <c r="B794">
        <v>5</v>
      </c>
      <c r="C794">
        <v>0.99</v>
      </c>
      <c r="D794">
        <v>4.4000000000000004</v>
      </c>
      <c r="E794">
        <v>26.6</v>
      </c>
      <c r="F794">
        <v>3</v>
      </c>
      <c r="G794">
        <v>0</v>
      </c>
      <c r="H794">
        <v>0</v>
      </c>
      <c r="I794">
        <v>0</v>
      </c>
      <c r="J794">
        <v>2016</v>
      </c>
      <c r="K794">
        <v>3</v>
      </c>
      <c r="L794">
        <v>276</v>
      </c>
      <c r="M794" t="s">
        <v>13</v>
      </c>
    </row>
    <row r="795" spans="1:13" x14ac:dyDescent="0.3">
      <c r="A795" s="1">
        <v>42434</v>
      </c>
      <c r="B795">
        <v>5</v>
      </c>
      <c r="C795">
        <v>4.891</v>
      </c>
      <c r="D795">
        <v>8</v>
      </c>
      <c r="E795">
        <v>38</v>
      </c>
      <c r="F795">
        <v>9</v>
      </c>
      <c r="G795">
        <v>0</v>
      </c>
      <c r="H795">
        <v>10</v>
      </c>
      <c r="I795">
        <v>5</v>
      </c>
      <c r="J795">
        <v>2016</v>
      </c>
      <c r="K795">
        <v>3</v>
      </c>
      <c r="L795">
        <v>276</v>
      </c>
      <c r="M795" t="s">
        <v>14</v>
      </c>
    </row>
    <row r="796" spans="1:13" x14ac:dyDescent="0.3">
      <c r="A796" s="1">
        <v>42435</v>
      </c>
      <c r="B796">
        <v>5</v>
      </c>
      <c r="C796">
        <v>8.1449999999999996</v>
      </c>
      <c r="D796">
        <v>4.9000000000000004</v>
      </c>
      <c r="E796">
        <v>79.900000000000006</v>
      </c>
      <c r="F796">
        <v>2</v>
      </c>
      <c r="G796">
        <v>0</v>
      </c>
      <c r="H796">
        <v>5</v>
      </c>
      <c r="I796">
        <v>7</v>
      </c>
      <c r="J796">
        <v>2016</v>
      </c>
      <c r="K796">
        <v>3</v>
      </c>
      <c r="L796">
        <v>276</v>
      </c>
      <c r="M796" t="s">
        <v>15</v>
      </c>
    </row>
    <row r="797" spans="1:13" x14ac:dyDescent="0.3">
      <c r="A797" s="1">
        <v>42436</v>
      </c>
      <c r="B797">
        <v>5.33</v>
      </c>
      <c r="C797">
        <v>7.34</v>
      </c>
      <c r="D797">
        <v>4</v>
      </c>
      <c r="E797">
        <v>43.5</v>
      </c>
      <c r="F797">
        <v>3</v>
      </c>
      <c r="G797">
        <v>1</v>
      </c>
      <c r="H797">
        <v>6</v>
      </c>
      <c r="I797">
        <v>1</v>
      </c>
      <c r="J797">
        <v>2016</v>
      </c>
      <c r="K797">
        <v>3</v>
      </c>
      <c r="L797">
        <v>276</v>
      </c>
      <c r="M797" t="s">
        <v>16</v>
      </c>
    </row>
    <row r="798" spans="1:13" x14ac:dyDescent="0.3">
      <c r="A798" s="1">
        <v>42437</v>
      </c>
      <c r="B798">
        <v>4</v>
      </c>
      <c r="C798">
        <v>6.66</v>
      </c>
      <c r="D798">
        <v>3</v>
      </c>
      <c r="E798">
        <v>44</v>
      </c>
      <c r="F798">
        <v>7</v>
      </c>
      <c r="G798">
        <v>0</v>
      </c>
      <c r="H798">
        <v>3</v>
      </c>
      <c r="I798">
        <v>3</v>
      </c>
      <c r="J798">
        <v>2016</v>
      </c>
      <c r="K798">
        <v>3</v>
      </c>
      <c r="L798">
        <v>276</v>
      </c>
      <c r="M798" t="s">
        <v>17</v>
      </c>
    </row>
    <row r="799" spans="1:13" x14ac:dyDescent="0.3">
      <c r="A799" s="1">
        <v>42438</v>
      </c>
      <c r="B799">
        <v>4.34</v>
      </c>
      <c r="C799">
        <v>5.67</v>
      </c>
      <c r="D799">
        <v>7</v>
      </c>
      <c r="E799">
        <v>21.8</v>
      </c>
      <c r="F799">
        <v>7</v>
      </c>
      <c r="G799">
        <v>1</v>
      </c>
      <c r="H799">
        <v>6</v>
      </c>
      <c r="I799">
        <v>4</v>
      </c>
      <c r="J799">
        <v>2016</v>
      </c>
      <c r="K799">
        <v>3</v>
      </c>
      <c r="L799">
        <v>276</v>
      </c>
      <c r="M799" t="s">
        <v>18</v>
      </c>
    </row>
    <row r="800" spans="1:13" x14ac:dyDescent="0.3">
      <c r="A800" s="1">
        <v>42439</v>
      </c>
      <c r="B800">
        <v>6.33</v>
      </c>
      <c r="C800">
        <v>10.33</v>
      </c>
      <c r="D800">
        <v>2</v>
      </c>
      <c r="E800">
        <v>23.4</v>
      </c>
      <c r="F800">
        <v>8</v>
      </c>
      <c r="G800">
        <v>0</v>
      </c>
      <c r="H800">
        <v>2</v>
      </c>
      <c r="I800">
        <v>2</v>
      </c>
      <c r="J800">
        <v>2016</v>
      </c>
      <c r="K800">
        <v>3</v>
      </c>
      <c r="L800">
        <v>276</v>
      </c>
      <c r="M800" t="s">
        <v>12</v>
      </c>
    </row>
    <row r="801" spans="1:13" x14ac:dyDescent="0.3">
      <c r="A801" s="1">
        <v>42440</v>
      </c>
      <c r="B801">
        <v>3.33</v>
      </c>
      <c r="C801">
        <v>4.3630000000000004</v>
      </c>
      <c r="D801">
        <v>6.2</v>
      </c>
      <c r="E801">
        <v>22</v>
      </c>
      <c r="F801">
        <v>8</v>
      </c>
      <c r="G801">
        <v>0</v>
      </c>
      <c r="H801">
        <v>18</v>
      </c>
      <c r="I801">
        <v>1</v>
      </c>
      <c r="J801">
        <v>2016</v>
      </c>
      <c r="K801">
        <v>3</v>
      </c>
      <c r="L801">
        <v>276</v>
      </c>
      <c r="M801" t="s">
        <v>13</v>
      </c>
    </row>
    <row r="802" spans="1:13" x14ac:dyDescent="0.3">
      <c r="A802" s="1">
        <v>42441</v>
      </c>
      <c r="B802">
        <v>3</v>
      </c>
      <c r="C802">
        <v>6.3730000000000002</v>
      </c>
      <c r="D802">
        <v>1.4</v>
      </c>
      <c r="E802">
        <v>41.8</v>
      </c>
      <c r="F802">
        <v>4</v>
      </c>
      <c r="G802">
        <v>0</v>
      </c>
      <c r="H802">
        <v>23</v>
      </c>
      <c r="I802">
        <v>1</v>
      </c>
      <c r="J802">
        <v>2016</v>
      </c>
      <c r="K802">
        <v>3</v>
      </c>
      <c r="L802">
        <v>276</v>
      </c>
      <c r="M802" t="s">
        <v>14</v>
      </c>
    </row>
    <row r="803" spans="1:13" x14ac:dyDescent="0.3">
      <c r="A803" s="1">
        <v>42442</v>
      </c>
      <c r="B803">
        <v>2.5</v>
      </c>
      <c r="C803">
        <v>4.1340000000000003</v>
      </c>
      <c r="D803">
        <v>1.5</v>
      </c>
      <c r="E803">
        <v>59.2</v>
      </c>
      <c r="F803">
        <v>4</v>
      </c>
      <c r="G803">
        <v>0</v>
      </c>
      <c r="H803">
        <v>4</v>
      </c>
      <c r="I803">
        <v>0.34</v>
      </c>
      <c r="J803">
        <v>2016</v>
      </c>
      <c r="K803">
        <v>3</v>
      </c>
      <c r="L803">
        <v>276</v>
      </c>
      <c r="M803" t="s">
        <v>15</v>
      </c>
    </row>
    <row r="804" spans="1:13" x14ac:dyDescent="0.3">
      <c r="A804" s="1">
        <v>42443</v>
      </c>
      <c r="B804">
        <v>4.33</v>
      </c>
      <c r="C804">
        <v>3.32</v>
      </c>
      <c r="D804">
        <v>10</v>
      </c>
      <c r="E804">
        <v>35.9</v>
      </c>
      <c r="F804">
        <v>12</v>
      </c>
      <c r="G804">
        <v>0</v>
      </c>
      <c r="H804">
        <v>23</v>
      </c>
      <c r="I804">
        <v>1</v>
      </c>
      <c r="J804">
        <v>2016</v>
      </c>
      <c r="K804">
        <v>3</v>
      </c>
      <c r="L804">
        <v>276</v>
      </c>
      <c r="M804" t="s">
        <v>16</v>
      </c>
    </row>
    <row r="805" spans="1:13" x14ac:dyDescent="0.3">
      <c r="A805" s="1">
        <v>42444</v>
      </c>
      <c r="B805">
        <v>5.33</v>
      </c>
      <c r="C805">
        <v>3.32</v>
      </c>
      <c r="D805">
        <v>2</v>
      </c>
      <c r="E805">
        <v>24</v>
      </c>
      <c r="F805">
        <v>7</v>
      </c>
      <c r="G805">
        <v>0</v>
      </c>
      <c r="H805">
        <v>18</v>
      </c>
      <c r="I805">
        <v>3</v>
      </c>
      <c r="J805">
        <v>2016</v>
      </c>
      <c r="K805">
        <v>3</v>
      </c>
      <c r="L805">
        <v>276</v>
      </c>
      <c r="M805" t="s">
        <v>17</v>
      </c>
    </row>
    <row r="806" spans="1:13" x14ac:dyDescent="0.3">
      <c r="A806" s="1">
        <v>42445</v>
      </c>
      <c r="B806">
        <v>5.33</v>
      </c>
      <c r="C806">
        <v>13.34</v>
      </c>
      <c r="D806">
        <v>5.7</v>
      </c>
      <c r="E806">
        <v>37.4</v>
      </c>
      <c r="F806">
        <v>16</v>
      </c>
      <c r="G806">
        <v>0</v>
      </c>
      <c r="H806">
        <v>4</v>
      </c>
      <c r="I806">
        <v>4</v>
      </c>
      <c r="J806">
        <v>2016</v>
      </c>
      <c r="K806">
        <v>3</v>
      </c>
      <c r="L806">
        <v>276</v>
      </c>
      <c r="M806" t="s">
        <v>18</v>
      </c>
    </row>
    <row r="807" spans="1:13" x14ac:dyDescent="0.3">
      <c r="A807" s="1">
        <v>42446</v>
      </c>
      <c r="B807">
        <v>5.66</v>
      </c>
      <c r="C807">
        <v>5.3959999999999999</v>
      </c>
      <c r="D807">
        <v>5</v>
      </c>
      <c r="E807">
        <v>60.2</v>
      </c>
      <c r="F807">
        <v>10</v>
      </c>
      <c r="G807">
        <v>0</v>
      </c>
      <c r="H807">
        <v>8</v>
      </c>
      <c r="I807">
        <v>5</v>
      </c>
      <c r="J807">
        <v>2016</v>
      </c>
      <c r="K807">
        <v>3</v>
      </c>
      <c r="L807">
        <v>276</v>
      </c>
      <c r="M807" t="s">
        <v>12</v>
      </c>
    </row>
    <row r="808" spans="1:13" x14ac:dyDescent="0.3">
      <c r="A808" s="1">
        <v>42447</v>
      </c>
      <c r="B808">
        <v>3.34</v>
      </c>
      <c r="C808">
        <v>5.3529999999999998</v>
      </c>
      <c r="D808">
        <v>5.2</v>
      </c>
      <c r="E808">
        <v>25.462</v>
      </c>
      <c r="F808">
        <v>15</v>
      </c>
      <c r="G808">
        <v>2</v>
      </c>
      <c r="H808">
        <v>8</v>
      </c>
      <c r="I808">
        <v>3</v>
      </c>
      <c r="J808">
        <v>2016</v>
      </c>
      <c r="K808">
        <v>3</v>
      </c>
      <c r="L808">
        <v>276</v>
      </c>
      <c r="M808" t="s">
        <v>13</v>
      </c>
    </row>
    <row r="809" spans="1:13" x14ac:dyDescent="0.3">
      <c r="A809" s="1">
        <v>42448</v>
      </c>
      <c r="B809">
        <v>10.66</v>
      </c>
      <c r="C809">
        <v>8.33</v>
      </c>
      <c r="D809">
        <v>2.8</v>
      </c>
      <c r="E809">
        <v>19.5</v>
      </c>
      <c r="F809">
        <v>6</v>
      </c>
      <c r="G809">
        <v>1</v>
      </c>
      <c r="H809">
        <v>5</v>
      </c>
      <c r="I809">
        <v>5</v>
      </c>
      <c r="J809">
        <v>2016</v>
      </c>
      <c r="K809">
        <v>3</v>
      </c>
      <c r="L809">
        <v>276</v>
      </c>
      <c r="M809" t="s">
        <v>14</v>
      </c>
    </row>
    <row r="810" spans="1:13" x14ac:dyDescent="0.3">
      <c r="A810" s="1">
        <v>42449</v>
      </c>
      <c r="B810">
        <v>7.99</v>
      </c>
      <c r="C810">
        <v>9.6929999999999996</v>
      </c>
      <c r="D810">
        <v>2.2000000000000002</v>
      </c>
      <c r="E810">
        <v>42.2</v>
      </c>
      <c r="F810">
        <v>1</v>
      </c>
      <c r="G810">
        <v>0</v>
      </c>
      <c r="H810">
        <v>15</v>
      </c>
      <c r="I810">
        <v>5</v>
      </c>
      <c r="J810">
        <v>2016</v>
      </c>
      <c r="K810">
        <v>3</v>
      </c>
      <c r="L810">
        <v>276</v>
      </c>
      <c r="M810" t="s">
        <v>15</v>
      </c>
    </row>
    <row r="811" spans="1:13" x14ac:dyDescent="0.3">
      <c r="A811" s="1">
        <v>42450</v>
      </c>
      <c r="B811">
        <v>5</v>
      </c>
      <c r="C811">
        <v>8.0559999999999992</v>
      </c>
      <c r="D811">
        <v>6</v>
      </c>
      <c r="E811">
        <v>45.7</v>
      </c>
      <c r="F811">
        <v>11</v>
      </c>
      <c r="G811">
        <v>0</v>
      </c>
      <c r="H811">
        <v>36</v>
      </c>
      <c r="I811">
        <v>7</v>
      </c>
      <c r="J811">
        <v>2016</v>
      </c>
      <c r="K811">
        <v>3</v>
      </c>
      <c r="L811">
        <v>276</v>
      </c>
      <c r="M811" t="s">
        <v>16</v>
      </c>
    </row>
    <row r="812" spans="1:13" x14ac:dyDescent="0.3">
      <c r="A812" s="1">
        <v>42451</v>
      </c>
      <c r="B812">
        <v>2.33</v>
      </c>
      <c r="C812">
        <v>0</v>
      </c>
      <c r="D812">
        <v>5</v>
      </c>
      <c r="E812">
        <v>42.188000000000002</v>
      </c>
      <c r="F812">
        <v>12</v>
      </c>
      <c r="G812">
        <v>2</v>
      </c>
      <c r="H812">
        <v>4</v>
      </c>
      <c r="I812">
        <v>2</v>
      </c>
      <c r="J812">
        <v>2016</v>
      </c>
      <c r="K812">
        <v>3</v>
      </c>
      <c r="L812">
        <v>276</v>
      </c>
      <c r="M812" t="s">
        <v>17</v>
      </c>
    </row>
    <row r="813" spans="1:13" x14ac:dyDescent="0.3">
      <c r="A813" s="1">
        <v>42452</v>
      </c>
      <c r="B813">
        <v>4</v>
      </c>
      <c r="C813">
        <v>3</v>
      </c>
      <c r="D813">
        <v>6</v>
      </c>
      <c r="E813">
        <v>24.25</v>
      </c>
      <c r="F813">
        <v>22</v>
      </c>
      <c r="G813">
        <v>1</v>
      </c>
      <c r="H813">
        <v>0</v>
      </c>
      <c r="I813">
        <v>3</v>
      </c>
      <c r="J813">
        <v>2016</v>
      </c>
      <c r="K813">
        <v>3</v>
      </c>
      <c r="L813">
        <v>276</v>
      </c>
      <c r="M813" t="s">
        <v>18</v>
      </c>
    </row>
    <row r="814" spans="1:13" x14ac:dyDescent="0.3">
      <c r="A814" s="1">
        <v>42453</v>
      </c>
      <c r="B814">
        <v>6.84</v>
      </c>
      <c r="C814">
        <v>2</v>
      </c>
      <c r="D814">
        <v>3</v>
      </c>
      <c r="E814">
        <v>32</v>
      </c>
      <c r="F814">
        <v>4</v>
      </c>
      <c r="G814">
        <v>0</v>
      </c>
      <c r="H814">
        <v>8</v>
      </c>
      <c r="I814">
        <v>2</v>
      </c>
      <c r="J814">
        <v>2016</v>
      </c>
      <c r="K814">
        <v>3</v>
      </c>
      <c r="L814">
        <v>276</v>
      </c>
      <c r="M814" t="s">
        <v>12</v>
      </c>
    </row>
    <row r="815" spans="1:13" x14ac:dyDescent="0.3">
      <c r="A815" s="1">
        <v>42454</v>
      </c>
      <c r="B815">
        <v>7</v>
      </c>
      <c r="C815">
        <v>7.35</v>
      </c>
      <c r="D815">
        <v>4.2</v>
      </c>
      <c r="E815">
        <v>42.8</v>
      </c>
      <c r="F815">
        <v>8</v>
      </c>
      <c r="G815">
        <v>0</v>
      </c>
      <c r="H815">
        <v>3</v>
      </c>
      <c r="I815">
        <v>3</v>
      </c>
      <c r="J815">
        <v>2016</v>
      </c>
      <c r="K815">
        <v>3</v>
      </c>
      <c r="L815">
        <v>276</v>
      </c>
      <c r="M815" t="s">
        <v>13</v>
      </c>
    </row>
    <row r="816" spans="1:13" x14ac:dyDescent="0.3">
      <c r="A816" s="1">
        <v>42455</v>
      </c>
      <c r="B816">
        <v>2.5</v>
      </c>
      <c r="C816">
        <v>0.66</v>
      </c>
      <c r="D816">
        <v>7.5</v>
      </c>
      <c r="E816">
        <v>33.25</v>
      </c>
      <c r="F816">
        <v>4</v>
      </c>
      <c r="G816">
        <v>0</v>
      </c>
      <c r="H816">
        <v>0</v>
      </c>
      <c r="I816">
        <v>5</v>
      </c>
      <c r="J816">
        <v>2016</v>
      </c>
      <c r="K816">
        <v>3</v>
      </c>
      <c r="L816">
        <v>276</v>
      </c>
      <c r="M816" t="s">
        <v>14</v>
      </c>
    </row>
    <row r="817" spans="1:13" x14ac:dyDescent="0.3">
      <c r="A817" s="1">
        <v>42456</v>
      </c>
      <c r="B817">
        <v>7.83</v>
      </c>
      <c r="C817">
        <v>5.4489999999999998</v>
      </c>
      <c r="D817">
        <v>13.7</v>
      </c>
      <c r="E817">
        <v>63.3</v>
      </c>
      <c r="F817">
        <v>11</v>
      </c>
      <c r="G817">
        <v>1</v>
      </c>
      <c r="H817">
        <v>1</v>
      </c>
      <c r="I817">
        <v>4</v>
      </c>
      <c r="J817">
        <v>2016</v>
      </c>
      <c r="K817">
        <v>3</v>
      </c>
      <c r="L817">
        <v>276</v>
      </c>
      <c r="M817" t="s">
        <v>15</v>
      </c>
    </row>
    <row r="818" spans="1:13" x14ac:dyDescent="0.3">
      <c r="A818" s="1">
        <v>42457</v>
      </c>
      <c r="B818">
        <v>3.34</v>
      </c>
      <c r="C818">
        <v>2.34</v>
      </c>
      <c r="D818">
        <v>1.7</v>
      </c>
      <c r="E818">
        <v>24.6</v>
      </c>
      <c r="F818">
        <v>20</v>
      </c>
      <c r="G818">
        <v>0</v>
      </c>
      <c r="H818">
        <v>4</v>
      </c>
      <c r="I818">
        <v>4.5</v>
      </c>
      <c r="J818">
        <v>2016</v>
      </c>
      <c r="K818">
        <v>3</v>
      </c>
      <c r="L818">
        <v>276</v>
      </c>
      <c r="M818" t="s">
        <v>16</v>
      </c>
    </row>
    <row r="819" spans="1:13" x14ac:dyDescent="0.3">
      <c r="A819" s="1">
        <v>42458</v>
      </c>
      <c r="B819">
        <v>5.68</v>
      </c>
      <c r="C819">
        <v>1.33</v>
      </c>
      <c r="D819">
        <v>3.2</v>
      </c>
      <c r="E819">
        <v>36.200000000000003</v>
      </c>
      <c r="F819">
        <v>4</v>
      </c>
      <c r="G819">
        <v>0</v>
      </c>
      <c r="H819">
        <v>12</v>
      </c>
      <c r="I819">
        <v>1</v>
      </c>
      <c r="J819">
        <v>2016</v>
      </c>
      <c r="K819">
        <v>3</v>
      </c>
      <c r="L819">
        <v>276</v>
      </c>
      <c r="M819" t="s">
        <v>17</v>
      </c>
    </row>
    <row r="820" spans="1:13" x14ac:dyDescent="0.3">
      <c r="A820" s="1">
        <v>42459</v>
      </c>
      <c r="B820">
        <v>7.16</v>
      </c>
      <c r="C820">
        <v>2.68</v>
      </c>
      <c r="D820">
        <v>7.4</v>
      </c>
      <c r="E820">
        <v>22.2</v>
      </c>
      <c r="F820">
        <v>3</v>
      </c>
      <c r="G820">
        <v>0</v>
      </c>
      <c r="H820">
        <v>12</v>
      </c>
      <c r="I820">
        <v>5</v>
      </c>
      <c r="J820">
        <v>2016</v>
      </c>
      <c r="K820">
        <v>3</v>
      </c>
      <c r="L820">
        <v>276</v>
      </c>
      <c r="M820" t="s">
        <v>18</v>
      </c>
    </row>
    <row r="821" spans="1:13" x14ac:dyDescent="0.3">
      <c r="A821" s="1">
        <v>42460</v>
      </c>
      <c r="B821">
        <v>2.33</v>
      </c>
      <c r="C821">
        <v>8.68</v>
      </c>
      <c r="D821">
        <v>2.9</v>
      </c>
      <c r="E821">
        <v>31.25</v>
      </c>
      <c r="F821">
        <v>1</v>
      </c>
      <c r="G821">
        <v>0</v>
      </c>
      <c r="H821">
        <v>5</v>
      </c>
      <c r="I821">
        <v>5</v>
      </c>
      <c r="J821">
        <v>2016</v>
      </c>
      <c r="K821">
        <v>3</v>
      </c>
      <c r="L821">
        <v>276</v>
      </c>
      <c r="M821" t="s">
        <v>12</v>
      </c>
    </row>
    <row r="822" spans="1:13" x14ac:dyDescent="0.3">
      <c r="A822" s="1">
        <v>42461</v>
      </c>
      <c r="B822">
        <v>6.33</v>
      </c>
      <c r="C822">
        <v>3.01</v>
      </c>
      <c r="D822">
        <v>2.7</v>
      </c>
      <c r="E822">
        <v>50.4</v>
      </c>
      <c r="F822">
        <v>4</v>
      </c>
      <c r="G822">
        <v>0</v>
      </c>
      <c r="H822">
        <v>16</v>
      </c>
      <c r="I822">
        <v>10.5</v>
      </c>
      <c r="J822">
        <v>2016</v>
      </c>
      <c r="K822">
        <v>4</v>
      </c>
      <c r="L822">
        <v>276</v>
      </c>
      <c r="M822" t="s">
        <v>13</v>
      </c>
    </row>
    <row r="823" spans="1:13" x14ac:dyDescent="0.3">
      <c r="A823" s="1">
        <v>42462</v>
      </c>
      <c r="B823">
        <v>3.67</v>
      </c>
      <c r="C823">
        <v>2</v>
      </c>
      <c r="D823">
        <v>7</v>
      </c>
      <c r="E823">
        <v>32.299999999999997</v>
      </c>
      <c r="F823">
        <v>4</v>
      </c>
      <c r="G823">
        <v>0</v>
      </c>
      <c r="H823">
        <v>19</v>
      </c>
      <c r="I823">
        <v>7.4</v>
      </c>
      <c r="J823">
        <v>2016</v>
      </c>
      <c r="K823">
        <v>4</v>
      </c>
      <c r="L823">
        <v>276</v>
      </c>
      <c r="M823" t="s">
        <v>14</v>
      </c>
    </row>
    <row r="824" spans="1:13" x14ac:dyDescent="0.3">
      <c r="A824" s="1">
        <v>42463</v>
      </c>
      <c r="B824">
        <v>9.67</v>
      </c>
      <c r="C824">
        <v>7.3959999999999999</v>
      </c>
      <c r="D824">
        <v>5.3</v>
      </c>
      <c r="E824">
        <v>73.5</v>
      </c>
      <c r="F824">
        <v>5</v>
      </c>
      <c r="G824">
        <v>0</v>
      </c>
      <c r="H824">
        <v>6</v>
      </c>
      <c r="I824">
        <v>11</v>
      </c>
      <c r="J824">
        <v>2016</v>
      </c>
      <c r="K824">
        <v>4</v>
      </c>
      <c r="L824">
        <v>276</v>
      </c>
      <c r="M824" t="s">
        <v>15</v>
      </c>
    </row>
    <row r="825" spans="1:13" x14ac:dyDescent="0.3">
      <c r="A825" s="1">
        <v>42464</v>
      </c>
      <c r="B825">
        <v>7</v>
      </c>
      <c r="C825">
        <v>5.2309999999999999</v>
      </c>
      <c r="D825">
        <v>5</v>
      </c>
      <c r="E825">
        <v>21.6</v>
      </c>
      <c r="F825">
        <v>3</v>
      </c>
      <c r="G825">
        <v>1</v>
      </c>
      <c r="H825">
        <v>11</v>
      </c>
      <c r="I825">
        <v>2</v>
      </c>
      <c r="J825">
        <v>2016</v>
      </c>
      <c r="K825">
        <v>4</v>
      </c>
      <c r="L825">
        <v>276</v>
      </c>
      <c r="M825" t="s">
        <v>16</v>
      </c>
    </row>
    <row r="826" spans="1:13" x14ac:dyDescent="0.3">
      <c r="A826" s="1">
        <v>42465</v>
      </c>
      <c r="B826">
        <v>6</v>
      </c>
      <c r="C826">
        <v>5.33</v>
      </c>
      <c r="D826">
        <v>4</v>
      </c>
      <c r="E826">
        <v>40.299999999999997</v>
      </c>
      <c r="F826">
        <v>5</v>
      </c>
      <c r="G826">
        <v>1</v>
      </c>
      <c r="H826">
        <v>11</v>
      </c>
      <c r="I826">
        <v>12</v>
      </c>
      <c r="J826">
        <v>2016</v>
      </c>
      <c r="K826">
        <v>4</v>
      </c>
      <c r="L826">
        <v>276</v>
      </c>
      <c r="M826" t="s">
        <v>17</v>
      </c>
    </row>
    <row r="827" spans="1:13" x14ac:dyDescent="0.3">
      <c r="A827" s="1">
        <v>42466</v>
      </c>
      <c r="B827">
        <v>6.66</v>
      </c>
      <c r="C827">
        <v>5.3630000000000004</v>
      </c>
      <c r="D827">
        <v>2</v>
      </c>
      <c r="E827">
        <v>15.25</v>
      </c>
      <c r="F827">
        <v>7</v>
      </c>
      <c r="G827">
        <v>0</v>
      </c>
      <c r="H827">
        <v>6</v>
      </c>
      <c r="I827">
        <v>3</v>
      </c>
      <c r="J827">
        <v>2016</v>
      </c>
      <c r="K827">
        <v>4</v>
      </c>
      <c r="L827">
        <v>276</v>
      </c>
      <c r="M827" t="s">
        <v>18</v>
      </c>
    </row>
    <row r="828" spans="1:13" x14ac:dyDescent="0.3">
      <c r="A828" s="1">
        <v>42467</v>
      </c>
      <c r="B828">
        <v>6.33</v>
      </c>
      <c r="C828">
        <v>5.98</v>
      </c>
      <c r="D828">
        <v>4</v>
      </c>
      <c r="E828">
        <v>21</v>
      </c>
      <c r="F828">
        <v>7</v>
      </c>
      <c r="G828">
        <v>2</v>
      </c>
      <c r="H828">
        <v>4</v>
      </c>
      <c r="I828">
        <v>8.1999999999999993</v>
      </c>
      <c r="J828">
        <v>2016</v>
      </c>
      <c r="K828">
        <v>4</v>
      </c>
      <c r="L828">
        <v>276</v>
      </c>
      <c r="M828" t="s">
        <v>12</v>
      </c>
    </row>
    <row r="829" spans="1:13" x14ac:dyDescent="0.3">
      <c r="A829" s="1">
        <v>42468</v>
      </c>
      <c r="B829">
        <v>7.67</v>
      </c>
      <c r="C829">
        <v>3.66</v>
      </c>
      <c r="D829">
        <v>5</v>
      </c>
      <c r="E829">
        <v>42.3</v>
      </c>
      <c r="F829">
        <v>2</v>
      </c>
      <c r="G829">
        <v>1</v>
      </c>
      <c r="H829">
        <v>3</v>
      </c>
      <c r="I829">
        <v>4.4000000000000004</v>
      </c>
      <c r="J829">
        <v>2016</v>
      </c>
      <c r="K829">
        <v>4</v>
      </c>
      <c r="L829">
        <v>276</v>
      </c>
      <c r="M829" t="s">
        <v>13</v>
      </c>
    </row>
    <row r="830" spans="1:13" x14ac:dyDescent="0.3">
      <c r="A830" s="1">
        <v>42469</v>
      </c>
      <c r="B830">
        <v>9</v>
      </c>
      <c r="C830">
        <v>9.01</v>
      </c>
      <c r="D830">
        <v>3.1</v>
      </c>
      <c r="E830">
        <v>38.799999999999997</v>
      </c>
      <c r="F830">
        <v>7</v>
      </c>
      <c r="G830">
        <v>0</v>
      </c>
      <c r="H830">
        <v>14</v>
      </c>
      <c r="I830">
        <v>3</v>
      </c>
      <c r="J830">
        <v>2016</v>
      </c>
      <c r="K830">
        <v>4</v>
      </c>
      <c r="L830">
        <v>276</v>
      </c>
      <c r="M830" t="s">
        <v>14</v>
      </c>
    </row>
    <row r="831" spans="1:13" x14ac:dyDescent="0.3">
      <c r="A831" s="1">
        <v>42470</v>
      </c>
      <c r="B831">
        <v>5</v>
      </c>
      <c r="C831">
        <v>6.67</v>
      </c>
      <c r="D831">
        <v>5.15</v>
      </c>
      <c r="E831">
        <v>21.4</v>
      </c>
      <c r="F831">
        <v>4</v>
      </c>
      <c r="G831">
        <v>1</v>
      </c>
      <c r="H831">
        <v>11</v>
      </c>
      <c r="I831">
        <v>8</v>
      </c>
      <c r="J831">
        <v>2016</v>
      </c>
      <c r="K831">
        <v>4</v>
      </c>
      <c r="L831">
        <v>276</v>
      </c>
      <c r="M831" t="s">
        <v>15</v>
      </c>
    </row>
    <row r="832" spans="1:13" x14ac:dyDescent="0.3">
      <c r="A832" s="1">
        <v>42471</v>
      </c>
      <c r="B832">
        <v>0.33</v>
      </c>
      <c r="C832">
        <v>4.99</v>
      </c>
      <c r="D832">
        <v>3</v>
      </c>
      <c r="E832">
        <v>26</v>
      </c>
      <c r="F832">
        <v>11</v>
      </c>
      <c r="G832">
        <v>2</v>
      </c>
      <c r="H832">
        <v>17</v>
      </c>
      <c r="I832">
        <v>6</v>
      </c>
      <c r="J832">
        <v>2016</v>
      </c>
      <c r="K832">
        <v>4</v>
      </c>
      <c r="L832">
        <v>276</v>
      </c>
      <c r="M832" t="s">
        <v>16</v>
      </c>
    </row>
    <row r="833" spans="1:13" x14ac:dyDescent="0.3">
      <c r="A833" s="1">
        <v>42472</v>
      </c>
      <c r="B833">
        <v>4.34</v>
      </c>
      <c r="C833">
        <v>4.6500000000000004</v>
      </c>
      <c r="D833">
        <v>6</v>
      </c>
      <c r="E833">
        <v>41.6</v>
      </c>
      <c r="F833">
        <v>19</v>
      </c>
      <c r="G833">
        <v>1</v>
      </c>
      <c r="H833">
        <v>2</v>
      </c>
      <c r="I833">
        <v>5</v>
      </c>
      <c r="J833">
        <v>2016</v>
      </c>
      <c r="K833">
        <v>4</v>
      </c>
      <c r="L833">
        <v>276</v>
      </c>
      <c r="M833" t="s">
        <v>17</v>
      </c>
    </row>
    <row r="834" spans="1:13" x14ac:dyDescent="0.3">
      <c r="A834" s="1">
        <v>42473</v>
      </c>
      <c r="B834">
        <v>6.33</v>
      </c>
      <c r="C834">
        <v>3.0659999999999998</v>
      </c>
      <c r="D834">
        <v>3</v>
      </c>
      <c r="E834">
        <v>34</v>
      </c>
      <c r="F834">
        <v>22.333333329999999</v>
      </c>
      <c r="G834">
        <v>0</v>
      </c>
      <c r="H834">
        <v>2</v>
      </c>
      <c r="I834">
        <v>3</v>
      </c>
      <c r="J834">
        <v>2016</v>
      </c>
      <c r="K834">
        <v>4</v>
      </c>
      <c r="L834">
        <v>276</v>
      </c>
      <c r="M834" t="s">
        <v>18</v>
      </c>
    </row>
    <row r="835" spans="1:13" x14ac:dyDescent="0.3">
      <c r="A835" s="1">
        <v>42474</v>
      </c>
      <c r="B835">
        <v>2.66</v>
      </c>
      <c r="C835">
        <v>2.3199999999999998</v>
      </c>
      <c r="D835">
        <v>8.5</v>
      </c>
      <c r="E835">
        <v>44.225000000000001</v>
      </c>
      <c r="F835">
        <v>9</v>
      </c>
      <c r="G835">
        <v>0</v>
      </c>
      <c r="H835">
        <v>4</v>
      </c>
      <c r="I835">
        <v>6</v>
      </c>
      <c r="J835">
        <v>2016</v>
      </c>
      <c r="K835">
        <v>4</v>
      </c>
      <c r="L835">
        <v>276</v>
      </c>
      <c r="M835" t="s">
        <v>12</v>
      </c>
    </row>
    <row r="836" spans="1:13" x14ac:dyDescent="0.3">
      <c r="A836" s="1">
        <v>42475</v>
      </c>
      <c r="B836">
        <v>4.33</v>
      </c>
      <c r="C836">
        <v>3.056</v>
      </c>
      <c r="D836">
        <v>2.7</v>
      </c>
      <c r="E836">
        <v>23.6</v>
      </c>
      <c r="F836">
        <v>6</v>
      </c>
      <c r="G836">
        <v>0</v>
      </c>
      <c r="H836">
        <v>10</v>
      </c>
      <c r="I836">
        <v>4.2</v>
      </c>
      <c r="J836">
        <v>2016</v>
      </c>
      <c r="K836">
        <v>4</v>
      </c>
      <c r="L836">
        <v>276</v>
      </c>
      <c r="M836" t="s">
        <v>13</v>
      </c>
    </row>
    <row r="837" spans="1:13" x14ac:dyDescent="0.3">
      <c r="A837" s="1">
        <v>42476</v>
      </c>
      <c r="B837">
        <v>5.34</v>
      </c>
      <c r="C837">
        <v>6.66</v>
      </c>
      <c r="D837">
        <v>5.3</v>
      </c>
      <c r="E837">
        <v>33</v>
      </c>
      <c r="F837">
        <v>11</v>
      </c>
      <c r="G837">
        <v>0</v>
      </c>
      <c r="H837">
        <v>8</v>
      </c>
      <c r="I837">
        <v>8.5</v>
      </c>
      <c r="J837">
        <v>2016</v>
      </c>
      <c r="K837">
        <v>4</v>
      </c>
      <c r="L837">
        <v>276</v>
      </c>
      <c r="M837" t="s">
        <v>14</v>
      </c>
    </row>
    <row r="838" spans="1:13" x14ac:dyDescent="0.3">
      <c r="A838" s="1">
        <v>42477</v>
      </c>
      <c r="B838">
        <v>4.33</v>
      </c>
      <c r="C838">
        <v>8.1750000000000007</v>
      </c>
      <c r="D838">
        <v>3</v>
      </c>
      <c r="E838">
        <v>52.8</v>
      </c>
      <c r="F838">
        <v>2</v>
      </c>
      <c r="G838">
        <v>0</v>
      </c>
      <c r="H838">
        <v>7</v>
      </c>
      <c r="I838">
        <v>7.2</v>
      </c>
      <c r="J838">
        <v>2016</v>
      </c>
      <c r="K838">
        <v>4</v>
      </c>
      <c r="L838">
        <v>276</v>
      </c>
      <c r="M838" t="s">
        <v>15</v>
      </c>
    </row>
    <row r="839" spans="1:13" x14ac:dyDescent="0.3">
      <c r="A839" s="1">
        <v>42478</v>
      </c>
      <c r="B839">
        <v>3.66</v>
      </c>
      <c r="C839">
        <v>2</v>
      </c>
      <c r="D839">
        <v>5</v>
      </c>
      <c r="E839">
        <v>22.1</v>
      </c>
      <c r="F839">
        <v>15</v>
      </c>
      <c r="G839">
        <v>3</v>
      </c>
      <c r="H839">
        <v>7</v>
      </c>
      <c r="I839">
        <v>7</v>
      </c>
      <c r="J839">
        <v>2016</v>
      </c>
      <c r="K839">
        <v>4</v>
      </c>
      <c r="L839">
        <v>276</v>
      </c>
      <c r="M839" t="s">
        <v>16</v>
      </c>
    </row>
    <row r="840" spans="1:13" x14ac:dyDescent="0.3">
      <c r="A840" s="1">
        <v>42479</v>
      </c>
      <c r="B840">
        <v>3</v>
      </c>
      <c r="C840">
        <v>1.34</v>
      </c>
      <c r="D840">
        <v>8.3000000000000007</v>
      </c>
      <c r="E840">
        <v>24.3</v>
      </c>
      <c r="F840">
        <v>7</v>
      </c>
      <c r="G840">
        <v>0</v>
      </c>
      <c r="H840">
        <v>6</v>
      </c>
      <c r="I840">
        <v>4</v>
      </c>
      <c r="J840">
        <v>2016</v>
      </c>
      <c r="K840">
        <v>4</v>
      </c>
      <c r="L840">
        <v>276</v>
      </c>
      <c r="M840" t="s">
        <v>17</v>
      </c>
    </row>
    <row r="841" spans="1:13" x14ac:dyDescent="0.3">
      <c r="A841" s="1">
        <v>42480</v>
      </c>
      <c r="B841">
        <v>2.66</v>
      </c>
      <c r="C841">
        <v>3.33</v>
      </c>
      <c r="D841">
        <v>2.4</v>
      </c>
      <c r="E841">
        <v>17.100000000000001</v>
      </c>
      <c r="F841">
        <v>11</v>
      </c>
      <c r="G841">
        <v>5</v>
      </c>
      <c r="H841">
        <v>15</v>
      </c>
      <c r="I841">
        <v>3</v>
      </c>
      <c r="J841">
        <v>2016</v>
      </c>
      <c r="K841">
        <v>4</v>
      </c>
      <c r="L841">
        <v>276</v>
      </c>
      <c r="M841" t="s">
        <v>18</v>
      </c>
    </row>
    <row r="842" spans="1:13" x14ac:dyDescent="0.3">
      <c r="A842" s="1">
        <v>42481</v>
      </c>
      <c r="B842">
        <v>3</v>
      </c>
      <c r="C842">
        <v>3.464</v>
      </c>
      <c r="D842">
        <v>3</v>
      </c>
      <c r="E842">
        <v>21.6</v>
      </c>
      <c r="F842">
        <v>6</v>
      </c>
      <c r="G842">
        <v>0</v>
      </c>
      <c r="H842">
        <v>0</v>
      </c>
      <c r="I842">
        <v>2.2999999999999998</v>
      </c>
      <c r="J842">
        <v>2016</v>
      </c>
      <c r="K842">
        <v>4</v>
      </c>
      <c r="L842">
        <v>276</v>
      </c>
      <c r="M842" t="s">
        <v>12</v>
      </c>
    </row>
    <row r="843" spans="1:13" x14ac:dyDescent="0.3">
      <c r="A843" s="1">
        <v>42482</v>
      </c>
      <c r="B843">
        <v>6</v>
      </c>
      <c r="C843">
        <v>5.67</v>
      </c>
      <c r="D843">
        <v>4</v>
      </c>
      <c r="E843">
        <v>21.9</v>
      </c>
      <c r="F843">
        <v>4</v>
      </c>
      <c r="G843">
        <v>0</v>
      </c>
      <c r="H843">
        <v>6</v>
      </c>
      <c r="I843">
        <v>1</v>
      </c>
      <c r="J843">
        <v>2016</v>
      </c>
      <c r="K843">
        <v>4</v>
      </c>
      <c r="L843">
        <v>276</v>
      </c>
      <c r="M843" t="s">
        <v>13</v>
      </c>
    </row>
    <row r="844" spans="1:13" x14ac:dyDescent="0.3">
      <c r="A844" s="1">
        <v>42483</v>
      </c>
      <c r="B844">
        <v>13.66</v>
      </c>
      <c r="C844">
        <v>3.69</v>
      </c>
      <c r="D844">
        <v>8</v>
      </c>
      <c r="E844">
        <v>33.200000000000003</v>
      </c>
      <c r="F844">
        <v>8</v>
      </c>
      <c r="G844">
        <v>0</v>
      </c>
      <c r="H844">
        <v>0</v>
      </c>
      <c r="I844">
        <v>4.5</v>
      </c>
      <c r="J844">
        <v>2016</v>
      </c>
      <c r="K844">
        <v>4</v>
      </c>
      <c r="L844">
        <v>276</v>
      </c>
      <c r="M844" t="s">
        <v>14</v>
      </c>
    </row>
    <row r="845" spans="1:13" x14ac:dyDescent="0.3">
      <c r="A845" s="1">
        <v>42484</v>
      </c>
      <c r="B845">
        <v>1</v>
      </c>
      <c r="C845">
        <v>6.66</v>
      </c>
      <c r="D845">
        <v>5.5</v>
      </c>
      <c r="E845">
        <v>36.950000000000003</v>
      </c>
      <c r="F845">
        <v>3</v>
      </c>
      <c r="G845">
        <v>0</v>
      </c>
      <c r="H845">
        <v>6</v>
      </c>
      <c r="I845">
        <v>5</v>
      </c>
      <c r="J845">
        <v>2016</v>
      </c>
      <c r="K845">
        <v>4</v>
      </c>
      <c r="L845">
        <v>276</v>
      </c>
      <c r="M845" t="s">
        <v>15</v>
      </c>
    </row>
    <row r="846" spans="1:13" x14ac:dyDescent="0.3">
      <c r="A846" s="1">
        <v>42485</v>
      </c>
      <c r="B846">
        <v>6.67</v>
      </c>
      <c r="C846">
        <v>1.66</v>
      </c>
      <c r="D846">
        <v>7.25</v>
      </c>
      <c r="E846">
        <v>21.7</v>
      </c>
      <c r="F846">
        <v>20</v>
      </c>
      <c r="G846">
        <v>1</v>
      </c>
      <c r="H846">
        <v>3</v>
      </c>
      <c r="I846">
        <v>2.5</v>
      </c>
      <c r="J846">
        <v>2016</v>
      </c>
      <c r="K846">
        <v>4</v>
      </c>
      <c r="L846">
        <v>276</v>
      </c>
      <c r="M846" t="s">
        <v>16</v>
      </c>
    </row>
    <row r="847" spans="1:13" x14ac:dyDescent="0.3">
      <c r="A847" s="1">
        <v>42486</v>
      </c>
      <c r="B847">
        <v>5.33</v>
      </c>
      <c r="C847">
        <v>4.99</v>
      </c>
      <c r="D847">
        <v>7</v>
      </c>
      <c r="E847">
        <v>27.2</v>
      </c>
      <c r="F847">
        <v>19</v>
      </c>
      <c r="G847">
        <v>0</v>
      </c>
      <c r="H847">
        <v>7</v>
      </c>
      <c r="I847">
        <v>2</v>
      </c>
      <c r="J847">
        <v>2016</v>
      </c>
      <c r="K847">
        <v>4</v>
      </c>
      <c r="L847">
        <v>276</v>
      </c>
      <c r="M847" t="s">
        <v>17</v>
      </c>
    </row>
    <row r="848" spans="1:13" x14ac:dyDescent="0.3">
      <c r="A848" s="1">
        <v>42487</v>
      </c>
      <c r="B848">
        <v>5.66</v>
      </c>
      <c r="C848">
        <v>7.4950000000000001</v>
      </c>
      <c r="D848">
        <v>7</v>
      </c>
      <c r="E848">
        <v>47.4</v>
      </c>
      <c r="F848">
        <v>27</v>
      </c>
      <c r="G848">
        <v>0</v>
      </c>
      <c r="H848">
        <v>1</v>
      </c>
      <c r="I848">
        <v>2</v>
      </c>
      <c r="J848">
        <v>2016</v>
      </c>
      <c r="K848">
        <v>4</v>
      </c>
      <c r="L848">
        <v>276</v>
      </c>
      <c r="M848" t="s">
        <v>18</v>
      </c>
    </row>
    <row r="849" spans="1:13" x14ac:dyDescent="0.3">
      <c r="A849" s="1">
        <v>42488</v>
      </c>
      <c r="B849">
        <v>4.66</v>
      </c>
      <c r="C849">
        <v>6.34</v>
      </c>
      <c r="D849">
        <v>6</v>
      </c>
      <c r="E849">
        <v>28</v>
      </c>
      <c r="F849">
        <v>17.666666670000001</v>
      </c>
      <c r="G849">
        <v>0</v>
      </c>
      <c r="H849">
        <v>12</v>
      </c>
      <c r="I849">
        <v>12</v>
      </c>
      <c r="J849">
        <v>2016</v>
      </c>
      <c r="K849">
        <v>4</v>
      </c>
      <c r="L849">
        <v>276</v>
      </c>
      <c r="M849" t="s">
        <v>12</v>
      </c>
    </row>
    <row r="850" spans="1:13" x14ac:dyDescent="0.3">
      <c r="A850" s="1">
        <v>42489</v>
      </c>
      <c r="B850">
        <v>6.66</v>
      </c>
      <c r="C850">
        <v>3</v>
      </c>
      <c r="D850">
        <v>2.5</v>
      </c>
      <c r="E850">
        <v>37</v>
      </c>
      <c r="F850">
        <v>15</v>
      </c>
      <c r="G850">
        <v>0</v>
      </c>
      <c r="H850">
        <v>1</v>
      </c>
      <c r="I850">
        <v>3.2</v>
      </c>
      <c r="J850">
        <v>2016</v>
      </c>
      <c r="K850">
        <v>4</v>
      </c>
      <c r="L850">
        <v>276</v>
      </c>
      <c r="M850" t="s">
        <v>13</v>
      </c>
    </row>
    <row r="851" spans="1:13" x14ac:dyDescent="0.3">
      <c r="A851" s="1">
        <v>42490</v>
      </c>
      <c r="B851">
        <v>9.66</v>
      </c>
      <c r="C851">
        <v>10.32</v>
      </c>
      <c r="D851">
        <v>7</v>
      </c>
      <c r="E851">
        <v>47.811999999999998</v>
      </c>
      <c r="F851">
        <v>11</v>
      </c>
      <c r="G851">
        <v>0</v>
      </c>
      <c r="H851">
        <v>1</v>
      </c>
      <c r="I851">
        <v>4.5</v>
      </c>
      <c r="J851">
        <v>2016</v>
      </c>
      <c r="K851">
        <v>4</v>
      </c>
      <c r="L851">
        <v>276</v>
      </c>
      <c r="M851" t="s">
        <v>14</v>
      </c>
    </row>
    <row r="852" spans="1:13" x14ac:dyDescent="0.3">
      <c r="A852" s="1">
        <v>42491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2016</v>
      </c>
      <c r="K852">
        <v>5</v>
      </c>
      <c r="L852">
        <v>276</v>
      </c>
      <c r="M852" t="s">
        <v>15</v>
      </c>
    </row>
    <row r="853" spans="1:13" x14ac:dyDescent="0.3">
      <c r="A853" s="1">
        <v>42492</v>
      </c>
      <c r="B853">
        <v>4</v>
      </c>
      <c r="C853">
        <v>1.02</v>
      </c>
      <c r="D853">
        <v>1</v>
      </c>
      <c r="E853">
        <v>39.200000000000003</v>
      </c>
      <c r="F853">
        <v>7</v>
      </c>
      <c r="G853">
        <v>0</v>
      </c>
      <c r="H853">
        <v>5</v>
      </c>
      <c r="I853">
        <v>2</v>
      </c>
      <c r="J853">
        <v>2016</v>
      </c>
      <c r="K853">
        <v>5</v>
      </c>
      <c r="L853">
        <v>276</v>
      </c>
      <c r="M853" t="s">
        <v>16</v>
      </c>
    </row>
    <row r="854" spans="1:13" x14ac:dyDescent="0.3">
      <c r="A854" s="1">
        <v>42493</v>
      </c>
      <c r="B854">
        <v>6.33</v>
      </c>
      <c r="C854">
        <v>5.99</v>
      </c>
      <c r="D854">
        <v>3</v>
      </c>
      <c r="E854">
        <v>23.9</v>
      </c>
      <c r="F854">
        <v>3</v>
      </c>
      <c r="G854">
        <v>0</v>
      </c>
      <c r="H854">
        <v>0</v>
      </c>
      <c r="I854">
        <v>2</v>
      </c>
      <c r="J854">
        <v>2016</v>
      </c>
      <c r="K854">
        <v>5</v>
      </c>
      <c r="L854">
        <v>276</v>
      </c>
      <c r="M854" t="s">
        <v>17</v>
      </c>
    </row>
    <row r="855" spans="1:13" x14ac:dyDescent="0.3">
      <c r="A855" s="1">
        <v>42494</v>
      </c>
      <c r="B855">
        <v>7.34</v>
      </c>
      <c r="C855">
        <v>3</v>
      </c>
      <c r="D855">
        <v>5</v>
      </c>
      <c r="E855">
        <v>32.200000000000003</v>
      </c>
      <c r="F855">
        <v>4</v>
      </c>
      <c r="G855">
        <v>0</v>
      </c>
      <c r="H855">
        <v>1</v>
      </c>
      <c r="I855">
        <v>2</v>
      </c>
      <c r="J855">
        <v>2016</v>
      </c>
      <c r="K855">
        <v>5</v>
      </c>
      <c r="L855">
        <v>276</v>
      </c>
      <c r="M855" t="s">
        <v>18</v>
      </c>
    </row>
    <row r="856" spans="1:13" x14ac:dyDescent="0.3">
      <c r="A856" s="1">
        <v>42495</v>
      </c>
      <c r="B856">
        <v>4.66</v>
      </c>
      <c r="C856">
        <v>3</v>
      </c>
      <c r="D856">
        <v>6</v>
      </c>
      <c r="E856">
        <v>41</v>
      </c>
      <c r="F856">
        <v>16</v>
      </c>
      <c r="G856">
        <v>3</v>
      </c>
      <c r="H856">
        <v>1</v>
      </c>
      <c r="I856">
        <v>2</v>
      </c>
      <c r="J856">
        <v>2016</v>
      </c>
      <c r="K856">
        <v>5</v>
      </c>
      <c r="L856">
        <v>276</v>
      </c>
      <c r="M856" t="s">
        <v>12</v>
      </c>
    </row>
    <row r="857" spans="1:13" x14ac:dyDescent="0.3">
      <c r="A857" s="1">
        <v>42496</v>
      </c>
      <c r="B857">
        <v>4</v>
      </c>
      <c r="C857">
        <v>2.99</v>
      </c>
      <c r="D857">
        <v>1</v>
      </c>
      <c r="E857">
        <v>33.6</v>
      </c>
      <c r="F857">
        <v>7</v>
      </c>
      <c r="G857">
        <v>0</v>
      </c>
      <c r="H857">
        <v>1</v>
      </c>
      <c r="I857">
        <v>3</v>
      </c>
      <c r="J857">
        <v>2016</v>
      </c>
      <c r="K857">
        <v>5</v>
      </c>
      <c r="L857">
        <v>276</v>
      </c>
      <c r="M857" t="s">
        <v>13</v>
      </c>
    </row>
    <row r="858" spans="1:13" x14ac:dyDescent="0.3">
      <c r="A858" s="1">
        <v>42497</v>
      </c>
      <c r="B858">
        <v>3.99</v>
      </c>
      <c r="C858">
        <v>8.34</v>
      </c>
      <c r="D858">
        <v>4</v>
      </c>
      <c r="E858">
        <v>47.2</v>
      </c>
      <c r="F858">
        <v>5</v>
      </c>
      <c r="G858">
        <v>1</v>
      </c>
      <c r="H858">
        <v>0</v>
      </c>
      <c r="I858">
        <v>10</v>
      </c>
      <c r="J858">
        <v>2016</v>
      </c>
      <c r="K858">
        <v>5</v>
      </c>
      <c r="L858">
        <v>276</v>
      </c>
      <c r="M858" t="s">
        <v>14</v>
      </c>
    </row>
    <row r="859" spans="1:13" x14ac:dyDescent="0.3">
      <c r="A859" s="1">
        <v>42498</v>
      </c>
      <c r="B859">
        <v>5</v>
      </c>
      <c r="C859">
        <v>10.66</v>
      </c>
      <c r="D859">
        <v>1</v>
      </c>
      <c r="E859">
        <v>40.4</v>
      </c>
      <c r="F859">
        <v>12</v>
      </c>
      <c r="G859">
        <v>0</v>
      </c>
      <c r="H859">
        <v>1</v>
      </c>
      <c r="I859">
        <v>11</v>
      </c>
      <c r="J859">
        <v>2016</v>
      </c>
      <c r="K859">
        <v>5</v>
      </c>
      <c r="L859">
        <v>276</v>
      </c>
      <c r="M859" t="s">
        <v>15</v>
      </c>
    </row>
    <row r="860" spans="1:13" x14ac:dyDescent="0.3">
      <c r="A860" s="1">
        <v>42499</v>
      </c>
      <c r="B860">
        <v>5.67</v>
      </c>
      <c r="C860">
        <v>6.3630000000000004</v>
      </c>
      <c r="D860">
        <v>5</v>
      </c>
      <c r="E860">
        <v>29.2</v>
      </c>
      <c r="F860">
        <v>3</v>
      </c>
      <c r="G860">
        <v>0</v>
      </c>
      <c r="H860">
        <v>2</v>
      </c>
      <c r="I860">
        <v>5</v>
      </c>
      <c r="J860">
        <v>2016</v>
      </c>
      <c r="K860">
        <v>5</v>
      </c>
      <c r="L860">
        <v>276</v>
      </c>
      <c r="M860" t="s">
        <v>16</v>
      </c>
    </row>
    <row r="861" spans="1:13" x14ac:dyDescent="0.3">
      <c r="A861" s="1">
        <v>42500</v>
      </c>
      <c r="B861">
        <v>7.33</v>
      </c>
      <c r="C861">
        <v>3.67</v>
      </c>
      <c r="D861">
        <v>7</v>
      </c>
      <c r="E861">
        <v>28.25</v>
      </c>
      <c r="F861">
        <v>4</v>
      </c>
      <c r="G861">
        <v>0</v>
      </c>
      <c r="H861">
        <v>2</v>
      </c>
      <c r="I861">
        <v>3.5</v>
      </c>
      <c r="J861">
        <v>2016</v>
      </c>
      <c r="K861">
        <v>5</v>
      </c>
      <c r="L861">
        <v>276</v>
      </c>
      <c r="M861" t="s">
        <v>17</v>
      </c>
    </row>
    <row r="862" spans="1:13" x14ac:dyDescent="0.3">
      <c r="A862" s="1">
        <v>42501</v>
      </c>
      <c r="B862">
        <v>5.33</v>
      </c>
      <c r="C862">
        <v>4.66</v>
      </c>
      <c r="D862">
        <v>4</v>
      </c>
      <c r="E862">
        <v>23</v>
      </c>
      <c r="F862">
        <v>13</v>
      </c>
      <c r="G862">
        <v>0</v>
      </c>
      <c r="H862">
        <v>3</v>
      </c>
      <c r="I862">
        <v>2</v>
      </c>
      <c r="J862">
        <v>2016</v>
      </c>
      <c r="K862">
        <v>5</v>
      </c>
      <c r="L862">
        <v>276</v>
      </c>
      <c r="M862" t="s">
        <v>18</v>
      </c>
    </row>
    <row r="863" spans="1:13" x14ac:dyDescent="0.3">
      <c r="A863" s="1">
        <v>42502</v>
      </c>
      <c r="B863">
        <v>3.01</v>
      </c>
      <c r="C863">
        <v>1.7589999999999999</v>
      </c>
      <c r="D863">
        <v>8</v>
      </c>
      <c r="E863">
        <v>28.1</v>
      </c>
      <c r="F863">
        <v>8</v>
      </c>
      <c r="G863">
        <v>1</v>
      </c>
      <c r="H863">
        <v>2</v>
      </c>
      <c r="I863">
        <v>0</v>
      </c>
      <c r="J863">
        <v>2016</v>
      </c>
      <c r="K863">
        <v>5</v>
      </c>
      <c r="L863">
        <v>276</v>
      </c>
      <c r="M863" t="s">
        <v>12</v>
      </c>
    </row>
    <row r="864" spans="1:13" x14ac:dyDescent="0.3">
      <c r="A864" s="1">
        <v>42503</v>
      </c>
      <c r="B864">
        <v>2.33</v>
      </c>
      <c r="C864">
        <v>2.33</v>
      </c>
      <c r="D864">
        <v>3</v>
      </c>
      <c r="E864">
        <v>37</v>
      </c>
      <c r="F864">
        <v>9</v>
      </c>
      <c r="G864">
        <v>0</v>
      </c>
      <c r="H864">
        <v>0</v>
      </c>
      <c r="I864">
        <v>5</v>
      </c>
      <c r="J864">
        <v>2016</v>
      </c>
      <c r="K864">
        <v>5</v>
      </c>
      <c r="L864">
        <v>276</v>
      </c>
      <c r="M864" t="s">
        <v>13</v>
      </c>
    </row>
    <row r="865" spans="1:13" x14ac:dyDescent="0.3">
      <c r="A865" s="1">
        <v>42504</v>
      </c>
      <c r="B865">
        <v>5.34</v>
      </c>
      <c r="C865">
        <v>4.67</v>
      </c>
      <c r="D865">
        <v>5.55</v>
      </c>
      <c r="E865">
        <v>31.25</v>
      </c>
      <c r="F865">
        <v>13</v>
      </c>
      <c r="G865">
        <v>0</v>
      </c>
      <c r="H865">
        <v>21</v>
      </c>
      <c r="I865">
        <v>1</v>
      </c>
      <c r="J865">
        <v>2016</v>
      </c>
      <c r="K865">
        <v>5</v>
      </c>
      <c r="L865">
        <v>276</v>
      </c>
      <c r="M865" t="s">
        <v>14</v>
      </c>
    </row>
    <row r="866" spans="1:13" x14ac:dyDescent="0.3">
      <c r="A866" s="1">
        <v>42505</v>
      </c>
      <c r="B866">
        <v>5.33</v>
      </c>
      <c r="C866">
        <v>8.1880000000000006</v>
      </c>
      <c r="D866">
        <v>1.2</v>
      </c>
      <c r="E866">
        <v>44.1</v>
      </c>
      <c r="F866">
        <v>6</v>
      </c>
      <c r="G866">
        <v>0</v>
      </c>
      <c r="H866">
        <v>5</v>
      </c>
      <c r="I866">
        <v>4</v>
      </c>
      <c r="J866">
        <v>2016</v>
      </c>
      <c r="K866">
        <v>5</v>
      </c>
      <c r="L866">
        <v>276</v>
      </c>
      <c r="M866" t="s">
        <v>15</v>
      </c>
    </row>
    <row r="867" spans="1:13" x14ac:dyDescent="0.3">
      <c r="A867" s="1">
        <v>42506</v>
      </c>
      <c r="B867">
        <v>5</v>
      </c>
      <c r="C867">
        <v>3.66</v>
      </c>
      <c r="D867">
        <v>2</v>
      </c>
      <c r="E867">
        <v>24</v>
      </c>
      <c r="F867">
        <v>17</v>
      </c>
      <c r="G867">
        <v>0</v>
      </c>
      <c r="H867">
        <v>2</v>
      </c>
      <c r="I867">
        <v>3</v>
      </c>
      <c r="J867">
        <v>2016</v>
      </c>
      <c r="K867">
        <v>5</v>
      </c>
      <c r="L867">
        <v>276</v>
      </c>
      <c r="M867" t="s">
        <v>16</v>
      </c>
    </row>
    <row r="868" spans="1:13" x14ac:dyDescent="0.3">
      <c r="A868" s="1">
        <v>42507</v>
      </c>
      <c r="B868">
        <v>4</v>
      </c>
      <c r="C868">
        <v>2.33</v>
      </c>
      <c r="D868">
        <v>7.1</v>
      </c>
      <c r="E868">
        <v>38.4</v>
      </c>
      <c r="F868">
        <v>4</v>
      </c>
      <c r="G868">
        <v>0</v>
      </c>
      <c r="H868">
        <v>1</v>
      </c>
      <c r="I868">
        <v>3.2</v>
      </c>
      <c r="J868">
        <v>2016</v>
      </c>
      <c r="K868">
        <v>5</v>
      </c>
      <c r="L868">
        <v>276</v>
      </c>
      <c r="M868" t="s">
        <v>17</v>
      </c>
    </row>
    <row r="869" spans="1:13" x14ac:dyDescent="0.3">
      <c r="A869" s="1">
        <v>42508</v>
      </c>
      <c r="B869">
        <v>4</v>
      </c>
      <c r="C869">
        <v>5.33</v>
      </c>
      <c r="D869">
        <v>5.25</v>
      </c>
      <c r="E869">
        <v>35</v>
      </c>
      <c r="F869">
        <v>7</v>
      </c>
      <c r="G869">
        <v>0</v>
      </c>
      <c r="H869">
        <v>1</v>
      </c>
      <c r="I869">
        <v>5</v>
      </c>
      <c r="J869">
        <v>2016</v>
      </c>
      <c r="K869">
        <v>5</v>
      </c>
      <c r="L869">
        <v>276</v>
      </c>
      <c r="M869" t="s">
        <v>18</v>
      </c>
    </row>
    <row r="870" spans="1:13" x14ac:dyDescent="0.3">
      <c r="A870" s="1">
        <v>42509</v>
      </c>
      <c r="B870">
        <v>6.34</v>
      </c>
      <c r="C870">
        <v>5.66</v>
      </c>
      <c r="D870">
        <v>2</v>
      </c>
      <c r="E870">
        <v>30.5</v>
      </c>
      <c r="F870">
        <v>10</v>
      </c>
      <c r="G870">
        <v>0</v>
      </c>
      <c r="H870">
        <v>16</v>
      </c>
      <c r="I870">
        <v>3</v>
      </c>
      <c r="J870">
        <v>2016</v>
      </c>
      <c r="K870">
        <v>5</v>
      </c>
      <c r="L870">
        <v>276</v>
      </c>
      <c r="M870" t="s">
        <v>12</v>
      </c>
    </row>
    <row r="871" spans="1:13" x14ac:dyDescent="0.3">
      <c r="A871" s="1">
        <v>42510</v>
      </c>
      <c r="B871">
        <v>3</v>
      </c>
      <c r="C871">
        <v>1.1319999999999999</v>
      </c>
      <c r="D871">
        <v>3</v>
      </c>
      <c r="E871">
        <v>14</v>
      </c>
      <c r="F871">
        <v>14</v>
      </c>
      <c r="G871">
        <v>2</v>
      </c>
      <c r="H871">
        <v>9</v>
      </c>
      <c r="I871">
        <v>5</v>
      </c>
      <c r="J871">
        <v>2016</v>
      </c>
      <c r="K871">
        <v>5</v>
      </c>
      <c r="L871">
        <v>276</v>
      </c>
      <c r="M871" t="s">
        <v>13</v>
      </c>
    </row>
    <row r="872" spans="1:13" x14ac:dyDescent="0.3">
      <c r="A872" s="1">
        <v>42511</v>
      </c>
      <c r="B872">
        <v>2</v>
      </c>
      <c r="C872">
        <v>5.34</v>
      </c>
      <c r="D872">
        <v>5.2</v>
      </c>
      <c r="E872">
        <v>42.5</v>
      </c>
      <c r="F872">
        <v>3</v>
      </c>
      <c r="G872">
        <v>0</v>
      </c>
      <c r="H872">
        <v>17</v>
      </c>
      <c r="I872">
        <v>5</v>
      </c>
      <c r="J872">
        <v>2016</v>
      </c>
      <c r="K872">
        <v>5</v>
      </c>
      <c r="L872">
        <v>276</v>
      </c>
      <c r="M872" t="s">
        <v>14</v>
      </c>
    </row>
    <row r="873" spans="1:13" x14ac:dyDescent="0.3">
      <c r="A873" s="1">
        <v>42512</v>
      </c>
      <c r="B873">
        <v>4.34</v>
      </c>
      <c r="C873">
        <v>4.51</v>
      </c>
      <c r="D873">
        <v>9.0500000000000007</v>
      </c>
      <c r="E873">
        <v>55.6</v>
      </c>
      <c r="F873">
        <v>6</v>
      </c>
      <c r="G873">
        <v>1</v>
      </c>
      <c r="H873">
        <v>0</v>
      </c>
      <c r="I873">
        <v>10</v>
      </c>
      <c r="J873">
        <v>2016</v>
      </c>
      <c r="K873">
        <v>5</v>
      </c>
      <c r="L873">
        <v>276</v>
      </c>
      <c r="M873" t="s">
        <v>15</v>
      </c>
    </row>
    <row r="874" spans="1:13" x14ac:dyDescent="0.3">
      <c r="A874" s="1">
        <v>42513</v>
      </c>
      <c r="B874">
        <v>5</v>
      </c>
      <c r="C874">
        <v>2.363</v>
      </c>
      <c r="D874">
        <v>5</v>
      </c>
      <c r="E874">
        <v>54.7</v>
      </c>
      <c r="F874">
        <v>19</v>
      </c>
      <c r="G874">
        <v>0</v>
      </c>
      <c r="H874">
        <v>7</v>
      </c>
      <c r="I874">
        <v>4</v>
      </c>
      <c r="J874">
        <v>2016</v>
      </c>
      <c r="K874">
        <v>5</v>
      </c>
      <c r="L874">
        <v>276</v>
      </c>
      <c r="M874" t="s">
        <v>16</v>
      </c>
    </row>
    <row r="875" spans="1:13" x14ac:dyDescent="0.3">
      <c r="A875" s="1">
        <v>42514</v>
      </c>
      <c r="B875">
        <v>12</v>
      </c>
      <c r="C875">
        <v>3.1669999999999998</v>
      </c>
      <c r="D875">
        <v>4</v>
      </c>
      <c r="E875">
        <v>32</v>
      </c>
      <c r="F875">
        <v>3</v>
      </c>
      <c r="G875">
        <v>0</v>
      </c>
      <c r="H875">
        <v>3</v>
      </c>
      <c r="I875">
        <v>2</v>
      </c>
      <c r="J875">
        <v>2016</v>
      </c>
      <c r="K875">
        <v>5</v>
      </c>
      <c r="L875">
        <v>276</v>
      </c>
      <c r="M875" t="s">
        <v>17</v>
      </c>
    </row>
    <row r="876" spans="1:13" x14ac:dyDescent="0.3">
      <c r="A876" s="1">
        <v>42515</v>
      </c>
      <c r="B876">
        <v>8.34</v>
      </c>
      <c r="C876">
        <v>1.67</v>
      </c>
      <c r="D876">
        <v>6</v>
      </c>
      <c r="E876">
        <v>25.05</v>
      </c>
      <c r="F876">
        <v>16</v>
      </c>
      <c r="G876">
        <v>1</v>
      </c>
      <c r="H876">
        <v>0</v>
      </c>
      <c r="I876">
        <v>1.2</v>
      </c>
      <c r="J876">
        <v>2016</v>
      </c>
      <c r="K876">
        <v>5</v>
      </c>
      <c r="L876">
        <v>276</v>
      </c>
      <c r="M876" t="s">
        <v>18</v>
      </c>
    </row>
    <row r="877" spans="1:13" x14ac:dyDescent="0.3">
      <c r="A877" s="1">
        <v>42516</v>
      </c>
      <c r="B877">
        <v>4.67</v>
      </c>
      <c r="C877">
        <v>5.33</v>
      </c>
      <c r="D877">
        <v>5.35</v>
      </c>
      <c r="E877">
        <v>24.8</v>
      </c>
      <c r="F877">
        <v>20</v>
      </c>
      <c r="G877">
        <v>1</v>
      </c>
      <c r="H877">
        <v>0</v>
      </c>
      <c r="I877">
        <v>9</v>
      </c>
      <c r="J877">
        <v>2016</v>
      </c>
      <c r="K877">
        <v>5</v>
      </c>
      <c r="L877">
        <v>276</v>
      </c>
      <c r="M877" t="s">
        <v>12</v>
      </c>
    </row>
    <row r="878" spans="1:13" x14ac:dyDescent="0.3">
      <c r="A878" s="1">
        <v>42517</v>
      </c>
      <c r="B878">
        <v>8.67</v>
      </c>
      <c r="C878">
        <v>2.6829999999999998</v>
      </c>
      <c r="D878">
        <v>5.25</v>
      </c>
      <c r="E878">
        <v>17</v>
      </c>
      <c r="F878">
        <v>14</v>
      </c>
      <c r="G878">
        <v>7</v>
      </c>
      <c r="H878">
        <v>2</v>
      </c>
      <c r="I878">
        <v>6</v>
      </c>
      <c r="J878">
        <v>2016</v>
      </c>
      <c r="K878">
        <v>5</v>
      </c>
      <c r="L878">
        <v>276</v>
      </c>
      <c r="M878" t="s">
        <v>13</v>
      </c>
    </row>
    <row r="879" spans="1:13" x14ac:dyDescent="0.3">
      <c r="A879" s="1">
        <v>42518</v>
      </c>
      <c r="B879">
        <v>12.33</v>
      </c>
      <c r="C879">
        <v>0.36299999999999999</v>
      </c>
      <c r="D879">
        <v>3</v>
      </c>
      <c r="E879">
        <v>43</v>
      </c>
      <c r="F879">
        <v>4</v>
      </c>
      <c r="G879">
        <v>0</v>
      </c>
      <c r="H879">
        <v>4</v>
      </c>
      <c r="I879">
        <v>9</v>
      </c>
      <c r="J879">
        <v>2016</v>
      </c>
      <c r="K879">
        <v>5</v>
      </c>
      <c r="L879">
        <v>276</v>
      </c>
      <c r="M879" t="s">
        <v>14</v>
      </c>
    </row>
    <row r="880" spans="1:13" x14ac:dyDescent="0.3">
      <c r="A880" s="1">
        <v>42519</v>
      </c>
      <c r="B880">
        <v>8.67</v>
      </c>
      <c r="C880">
        <v>4.33</v>
      </c>
      <c r="D880">
        <v>6</v>
      </c>
      <c r="E880">
        <v>31.8</v>
      </c>
      <c r="F880">
        <v>2</v>
      </c>
      <c r="G880">
        <v>1</v>
      </c>
      <c r="H880">
        <v>5</v>
      </c>
      <c r="I880">
        <v>9.1999999999999993</v>
      </c>
      <c r="J880">
        <v>2016</v>
      </c>
      <c r="K880">
        <v>5</v>
      </c>
      <c r="L880">
        <v>276</v>
      </c>
      <c r="M880" t="s">
        <v>15</v>
      </c>
    </row>
    <row r="881" spans="1:13" x14ac:dyDescent="0.3">
      <c r="A881" s="1">
        <v>42520</v>
      </c>
      <c r="B881">
        <v>3.34</v>
      </c>
      <c r="C881">
        <v>3.0230000000000001</v>
      </c>
      <c r="D881">
        <v>4.0999999999999996</v>
      </c>
      <c r="E881">
        <v>29.4</v>
      </c>
      <c r="F881">
        <v>3</v>
      </c>
      <c r="G881">
        <v>0</v>
      </c>
      <c r="H881">
        <v>7</v>
      </c>
      <c r="I881">
        <v>8</v>
      </c>
      <c r="J881">
        <v>2016</v>
      </c>
      <c r="K881">
        <v>5</v>
      </c>
      <c r="L881">
        <v>276</v>
      </c>
      <c r="M881" t="s">
        <v>16</v>
      </c>
    </row>
    <row r="882" spans="1:13" x14ac:dyDescent="0.3">
      <c r="A882" s="1">
        <v>42521</v>
      </c>
      <c r="B882">
        <v>6</v>
      </c>
      <c r="C882">
        <v>3.33</v>
      </c>
      <c r="D882">
        <v>3.5</v>
      </c>
      <c r="E882">
        <v>21</v>
      </c>
      <c r="F882">
        <v>3</v>
      </c>
      <c r="G882">
        <v>0</v>
      </c>
      <c r="H882">
        <v>13</v>
      </c>
      <c r="I882">
        <v>2</v>
      </c>
      <c r="J882">
        <v>2016</v>
      </c>
      <c r="K882">
        <v>5</v>
      </c>
      <c r="L882">
        <v>276</v>
      </c>
      <c r="M882" t="s">
        <v>17</v>
      </c>
    </row>
    <row r="883" spans="1:13" x14ac:dyDescent="0.3">
      <c r="A883" s="1">
        <v>42522</v>
      </c>
      <c r="B883">
        <v>9</v>
      </c>
      <c r="C883">
        <v>1.1000000000000001</v>
      </c>
      <c r="D883">
        <v>2</v>
      </c>
      <c r="E883">
        <v>20</v>
      </c>
      <c r="F883">
        <v>11</v>
      </c>
      <c r="G883">
        <v>0</v>
      </c>
      <c r="H883">
        <v>7</v>
      </c>
      <c r="I883">
        <v>5</v>
      </c>
      <c r="J883">
        <v>2016</v>
      </c>
      <c r="K883">
        <v>6</v>
      </c>
      <c r="L883">
        <v>276</v>
      </c>
      <c r="M883" t="s">
        <v>18</v>
      </c>
    </row>
    <row r="884" spans="1:13" x14ac:dyDescent="0.3">
      <c r="A884" s="1">
        <v>42523</v>
      </c>
      <c r="B884">
        <v>2.33</v>
      </c>
      <c r="C884">
        <v>6</v>
      </c>
      <c r="D884">
        <v>1.05</v>
      </c>
      <c r="E884">
        <v>21.25</v>
      </c>
      <c r="F884">
        <v>18</v>
      </c>
      <c r="G884">
        <v>3</v>
      </c>
      <c r="H884">
        <v>4</v>
      </c>
      <c r="I884">
        <v>1</v>
      </c>
      <c r="J884">
        <v>2016</v>
      </c>
      <c r="K884">
        <v>6</v>
      </c>
      <c r="L884">
        <v>276</v>
      </c>
      <c r="M884" t="s">
        <v>12</v>
      </c>
    </row>
    <row r="885" spans="1:13" x14ac:dyDescent="0.3">
      <c r="A885" s="1">
        <v>42524</v>
      </c>
      <c r="B885">
        <v>7.33</v>
      </c>
      <c r="C885">
        <v>3</v>
      </c>
      <c r="D885">
        <v>4</v>
      </c>
      <c r="E885">
        <v>18</v>
      </c>
      <c r="F885">
        <v>8</v>
      </c>
      <c r="G885">
        <v>0</v>
      </c>
      <c r="H885">
        <v>1</v>
      </c>
      <c r="I885">
        <v>7</v>
      </c>
      <c r="J885">
        <v>2016</v>
      </c>
      <c r="K885">
        <v>6</v>
      </c>
      <c r="L885">
        <v>276</v>
      </c>
      <c r="M885" t="s">
        <v>13</v>
      </c>
    </row>
    <row r="886" spans="1:13" x14ac:dyDescent="0.3">
      <c r="A886" s="1">
        <v>42525</v>
      </c>
      <c r="B886">
        <v>3.33</v>
      </c>
      <c r="C886">
        <v>3.34</v>
      </c>
      <c r="D886">
        <v>3.3</v>
      </c>
      <c r="E886">
        <v>21</v>
      </c>
      <c r="F886">
        <v>2</v>
      </c>
      <c r="G886">
        <v>0</v>
      </c>
      <c r="H886">
        <v>0</v>
      </c>
      <c r="I886">
        <v>4</v>
      </c>
      <c r="J886">
        <v>2016</v>
      </c>
      <c r="K886">
        <v>6</v>
      </c>
      <c r="L886">
        <v>276</v>
      </c>
      <c r="M886" t="s">
        <v>14</v>
      </c>
    </row>
    <row r="887" spans="1:13" x14ac:dyDescent="0.3">
      <c r="A887" s="1">
        <v>42526</v>
      </c>
      <c r="B887">
        <v>10.34</v>
      </c>
      <c r="C887">
        <v>3.0659999999999998</v>
      </c>
      <c r="D887">
        <v>4.3</v>
      </c>
      <c r="E887">
        <v>23.4</v>
      </c>
      <c r="F887">
        <v>5</v>
      </c>
      <c r="G887">
        <v>0</v>
      </c>
      <c r="H887">
        <v>3</v>
      </c>
      <c r="I887">
        <v>4</v>
      </c>
      <c r="J887">
        <v>2016</v>
      </c>
      <c r="K887">
        <v>6</v>
      </c>
      <c r="L887">
        <v>276</v>
      </c>
      <c r="M887" t="s">
        <v>15</v>
      </c>
    </row>
    <row r="888" spans="1:13" x14ac:dyDescent="0.3">
      <c r="A888" s="1">
        <v>42527</v>
      </c>
      <c r="B888">
        <v>5.33</v>
      </c>
      <c r="C888">
        <v>2.802</v>
      </c>
      <c r="D888">
        <v>4</v>
      </c>
      <c r="E888">
        <v>26.2</v>
      </c>
      <c r="F888">
        <v>5</v>
      </c>
      <c r="G888">
        <v>0</v>
      </c>
      <c r="H888">
        <v>6</v>
      </c>
      <c r="I888">
        <v>6</v>
      </c>
      <c r="J888">
        <v>2016</v>
      </c>
      <c r="K888">
        <v>6</v>
      </c>
      <c r="L888">
        <v>276</v>
      </c>
      <c r="M888" t="s">
        <v>16</v>
      </c>
    </row>
    <row r="889" spans="1:13" x14ac:dyDescent="0.3">
      <c r="A889" s="1">
        <v>42528</v>
      </c>
      <c r="B889">
        <v>6</v>
      </c>
      <c r="C889">
        <v>3.363</v>
      </c>
      <c r="D889">
        <v>4.0999999999999996</v>
      </c>
      <c r="E889">
        <v>28.5</v>
      </c>
      <c r="F889">
        <v>13</v>
      </c>
      <c r="G889">
        <v>0</v>
      </c>
      <c r="H889">
        <v>10</v>
      </c>
      <c r="I889">
        <v>3</v>
      </c>
      <c r="J889">
        <v>2016</v>
      </c>
      <c r="K889">
        <v>6</v>
      </c>
      <c r="L889">
        <v>276</v>
      </c>
      <c r="M889" t="s">
        <v>17</v>
      </c>
    </row>
    <row r="890" spans="1:13" x14ac:dyDescent="0.3">
      <c r="A890" s="1">
        <v>42529</v>
      </c>
      <c r="B890">
        <v>8.66</v>
      </c>
      <c r="C890">
        <v>1.33</v>
      </c>
      <c r="D890">
        <v>5.5</v>
      </c>
      <c r="E890">
        <v>45.061999999999998</v>
      </c>
      <c r="F890">
        <v>10</v>
      </c>
      <c r="G890">
        <v>0</v>
      </c>
      <c r="H890">
        <v>5</v>
      </c>
      <c r="I890">
        <v>6</v>
      </c>
      <c r="J890">
        <v>2016</v>
      </c>
      <c r="K890">
        <v>6</v>
      </c>
      <c r="L890">
        <v>276</v>
      </c>
      <c r="M890" t="s">
        <v>18</v>
      </c>
    </row>
    <row r="891" spans="1:13" x14ac:dyDescent="0.3">
      <c r="A891" s="1">
        <v>42530</v>
      </c>
      <c r="B891">
        <v>8.67</v>
      </c>
      <c r="C891">
        <v>4.33</v>
      </c>
      <c r="D891">
        <v>2</v>
      </c>
      <c r="E891">
        <v>20.6</v>
      </c>
      <c r="F891">
        <v>7</v>
      </c>
      <c r="G891">
        <v>0</v>
      </c>
      <c r="H891">
        <v>1</v>
      </c>
      <c r="I891">
        <v>4.2</v>
      </c>
      <c r="J891">
        <v>2016</v>
      </c>
      <c r="K891">
        <v>6</v>
      </c>
      <c r="L891">
        <v>276</v>
      </c>
      <c r="M891" t="s">
        <v>12</v>
      </c>
    </row>
    <row r="892" spans="1:13" x14ac:dyDescent="0.3">
      <c r="A892" s="1">
        <v>42531</v>
      </c>
      <c r="B892">
        <v>8.33</v>
      </c>
      <c r="C892">
        <v>4</v>
      </c>
      <c r="D892">
        <v>4</v>
      </c>
      <c r="E892">
        <v>26</v>
      </c>
      <c r="F892">
        <v>11</v>
      </c>
      <c r="G892">
        <v>2</v>
      </c>
      <c r="H892">
        <v>0</v>
      </c>
      <c r="I892">
        <v>5</v>
      </c>
      <c r="J892">
        <v>2016</v>
      </c>
      <c r="K892">
        <v>6</v>
      </c>
      <c r="L892">
        <v>276</v>
      </c>
      <c r="M892" t="s">
        <v>13</v>
      </c>
    </row>
    <row r="893" spans="1:13" x14ac:dyDescent="0.3">
      <c r="A893" s="1">
        <v>42532</v>
      </c>
      <c r="B893">
        <v>10.66</v>
      </c>
      <c r="C893">
        <v>2.8250000000000002</v>
      </c>
      <c r="D893">
        <v>2</v>
      </c>
      <c r="E893">
        <v>35.6</v>
      </c>
      <c r="F893">
        <v>4</v>
      </c>
      <c r="G893">
        <v>1</v>
      </c>
      <c r="H893">
        <v>10</v>
      </c>
      <c r="I893">
        <v>8</v>
      </c>
      <c r="J893">
        <v>2016</v>
      </c>
      <c r="K893">
        <v>6</v>
      </c>
      <c r="L893">
        <v>276</v>
      </c>
      <c r="M893" t="s">
        <v>14</v>
      </c>
    </row>
    <row r="894" spans="1:13" x14ac:dyDescent="0.3">
      <c r="A894" s="1">
        <v>42533</v>
      </c>
      <c r="B894">
        <v>8.34</v>
      </c>
      <c r="C894">
        <v>7.3529999999999998</v>
      </c>
      <c r="D894">
        <v>3.4</v>
      </c>
      <c r="E894">
        <v>47</v>
      </c>
      <c r="F894">
        <v>8</v>
      </c>
      <c r="G894">
        <v>0</v>
      </c>
      <c r="H894">
        <v>4</v>
      </c>
      <c r="I894">
        <v>6</v>
      </c>
      <c r="J894">
        <v>2016</v>
      </c>
      <c r="K894">
        <v>6</v>
      </c>
      <c r="L894">
        <v>276</v>
      </c>
      <c r="M894" t="s">
        <v>15</v>
      </c>
    </row>
    <row r="895" spans="1:13" x14ac:dyDescent="0.3">
      <c r="A895" s="1">
        <v>42534</v>
      </c>
      <c r="B895">
        <v>5.66</v>
      </c>
      <c r="C895">
        <v>4.7359999999999998</v>
      </c>
      <c r="D895">
        <v>1</v>
      </c>
      <c r="E895">
        <v>15</v>
      </c>
      <c r="F895">
        <v>7</v>
      </c>
      <c r="G895">
        <v>0</v>
      </c>
      <c r="H895">
        <v>1</v>
      </c>
      <c r="I895">
        <v>2</v>
      </c>
      <c r="J895">
        <v>2016</v>
      </c>
      <c r="K895">
        <v>6</v>
      </c>
      <c r="L895">
        <v>276</v>
      </c>
      <c r="M895" t="s">
        <v>16</v>
      </c>
    </row>
    <row r="896" spans="1:13" x14ac:dyDescent="0.3">
      <c r="A896" s="1">
        <v>42535</v>
      </c>
      <c r="B896">
        <v>2.33</v>
      </c>
      <c r="C896">
        <v>6</v>
      </c>
      <c r="D896">
        <v>6.1</v>
      </c>
      <c r="E896">
        <v>17.399999999999999</v>
      </c>
      <c r="F896">
        <v>17</v>
      </c>
      <c r="G896">
        <v>1</v>
      </c>
      <c r="H896">
        <v>2</v>
      </c>
      <c r="I896">
        <v>3</v>
      </c>
      <c r="J896">
        <v>2016</v>
      </c>
      <c r="K896">
        <v>6</v>
      </c>
      <c r="L896">
        <v>276</v>
      </c>
      <c r="M896" t="s">
        <v>17</v>
      </c>
    </row>
    <row r="897" spans="1:13" x14ac:dyDescent="0.3">
      <c r="A897" s="1">
        <v>42536</v>
      </c>
      <c r="B897">
        <v>5</v>
      </c>
      <c r="C897">
        <v>5.4950000000000001</v>
      </c>
      <c r="D897">
        <v>7</v>
      </c>
      <c r="E897">
        <v>35</v>
      </c>
      <c r="F897">
        <v>22</v>
      </c>
      <c r="G897">
        <v>1</v>
      </c>
      <c r="H897">
        <v>1</v>
      </c>
      <c r="I897">
        <v>6</v>
      </c>
      <c r="J897">
        <v>2016</v>
      </c>
      <c r="K897">
        <v>6</v>
      </c>
      <c r="L897">
        <v>276</v>
      </c>
      <c r="M897" t="s">
        <v>18</v>
      </c>
    </row>
    <row r="898" spans="1:13" x14ac:dyDescent="0.3">
      <c r="A898" s="1">
        <v>42537</v>
      </c>
      <c r="B898">
        <v>4</v>
      </c>
      <c r="C898">
        <v>0.33</v>
      </c>
      <c r="D898">
        <v>1</v>
      </c>
      <c r="E898">
        <v>20.5</v>
      </c>
      <c r="F898">
        <v>4</v>
      </c>
      <c r="G898">
        <v>0</v>
      </c>
      <c r="H898">
        <v>22</v>
      </c>
      <c r="I898">
        <v>3</v>
      </c>
      <c r="J898">
        <v>2016</v>
      </c>
      <c r="K898">
        <v>6</v>
      </c>
      <c r="L898">
        <v>276</v>
      </c>
      <c r="M898" t="s">
        <v>12</v>
      </c>
    </row>
    <row r="899" spans="1:13" x14ac:dyDescent="0.3">
      <c r="A899" s="1">
        <v>42538</v>
      </c>
      <c r="B899">
        <v>3.34</v>
      </c>
      <c r="C899">
        <v>3.67</v>
      </c>
      <c r="D899">
        <v>3.65</v>
      </c>
      <c r="E899">
        <v>20</v>
      </c>
      <c r="F899">
        <v>8</v>
      </c>
      <c r="G899">
        <v>0</v>
      </c>
      <c r="H899">
        <v>4</v>
      </c>
      <c r="I899">
        <v>4</v>
      </c>
      <c r="J899">
        <v>2016</v>
      </c>
      <c r="K899">
        <v>6</v>
      </c>
      <c r="L899">
        <v>276</v>
      </c>
      <c r="M899" t="s">
        <v>13</v>
      </c>
    </row>
    <row r="900" spans="1:13" x14ac:dyDescent="0.3">
      <c r="A900" s="1">
        <v>42539</v>
      </c>
      <c r="B900">
        <v>2</v>
      </c>
      <c r="C900">
        <v>4.33</v>
      </c>
      <c r="D900">
        <v>6.5</v>
      </c>
      <c r="E900">
        <v>37.5</v>
      </c>
      <c r="F900">
        <v>1</v>
      </c>
      <c r="G900">
        <v>0</v>
      </c>
      <c r="H900">
        <v>5</v>
      </c>
      <c r="I900">
        <v>4</v>
      </c>
      <c r="J900">
        <v>2016</v>
      </c>
      <c r="K900">
        <v>6</v>
      </c>
      <c r="L900">
        <v>276</v>
      </c>
      <c r="M900" t="s">
        <v>14</v>
      </c>
    </row>
    <row r="901" spans="1:13" x14ac:dyDescent="0.3">
      <c r="A901" s="1">
        <v>42540</v>
      </c>
      <c r="B901">
        <v>6.34</v>
      </c>
      <c r="C901">
        <v>6.01</v>
      </c>
      <c r="D901">
        <v>3</v>
      </c>
      <c r="E901">
        <v>40</v>
      </c>
      <c r="F901">
        <v>1</v>
      </c>
      <c r="G901">
        <v>0</v>
      </c>
      <c r="H901">
        <v>7</v>
      </c>
      <c r="I901">
        <v>15</v>
      </c>
      <c r="J901">
        <v>2016</v>
      </c>
      <c r="K901">
        <v>6</v>
      </c>
      <c r="L901">
        <v>276</v>
      </c>
      <c r="M901" t="s">
        <v>15</v>
      </c>
    </row>
    <row r="902" spans="1:13" x14ac:dyDescent="0.3">
      <c r="A902" s="1">
        <v>42541</v>
      </c>
      <c r="B902">
        <v>7.34</v>
      </c>
      <c r="C902">
        <v>3.34</v>
      </c>
      <c r="D902">
        <v>6</v>
      </c>
      <c r="E902">
        <v>22.388000000000002</v>
      </c>
      <c r="F902">
        <v>5</v>
      </c>
      <c r="G902">
        <v>0</v>
      </c>
      <c r="H902">
        <v>8</v>
      </c>
      <c r="I902">
        <v>6</v>
      </c>
      <c r="J902">
        <v>2016</v>
      </c>
      <c r="K902">
        <v>6</v>
      </c>
      <c r="L902">
        <v>276</v>
      </c>
      <c r="M902" t="s">
        <v>16</v>
      </c>
    </row>
    <row r="903" spans="1:13" x14ac:dyDescent="0.3">
      <c r="A903" s="1">
        <v>42542</v>
      </c>
      <c r="B903">
        <v>7.33</v>
      </c>
      <c r="C903">
        <v>4.66</v>
      </c>
      <c r="D903">
        <v>9</v>
      </c>
      <c r="E903">
        <v>23</v>
      </c>
      <c r="F903">
        <v>15</v>
      </c>
      <c r="G903">
        <v>0</v>
      </c>
      <c r="H903">
        <v>7</v>
      </c>
      <c r="I903">
        <v>5.6</v>
      </c>
      <c r="J903">
        <v>2016</v>
      </c>
      <c r="K903">
        <v>6</v>
      </c>
      <c r="L903">
        <v>276</v>
      </c>
      <c r="M903" t="s">
        <v>17</v>
      </c>
    </row>
    <row r="904" spans="1:13" x14ac:dyDescent="0.3">
      <c r="A904" s="1">
        <v>42543</v>
      </c>
      <c r="B904">
        <v>2</v>
      </c>
      <c r="C904">
        <v>6.0670000000000002</v>
      </c>
      <c r="D904">
        <v>2.2999999999999998</v>
      </c>
      <c r="E904">
        <v>42</v>
      </c>
      <c r="F904">
        <v>6</v>
      </c>
      <c r="G904">
        <v>0</v>
      </c>
      <c r="H904">
        <v>2</v>
      </c>
      <c r="I904">
        <v>2</v>
      </c>
      <c r="J904">
        <v>2016</v>
      </c>
      <c r="K904">
        <v>6</v>
      </c>
      <c r="L904">
        <v>276</v>
      </c>
      <c r="M904" t="s">
        <v>18</v>
      </c>
    </row>
    <row r="905" spans="1:13" x14ac:dyDescent="0.3">
      <c r="A905" s="1">
        <v>42544</v>
      </c>
      <c r="B905">
        <v>3</v>
      </c>
      <c r="C905">
        <v>0.33</v>
      </c>
      <c r="D905">
        <v>2.2999999999999998</v>
      </c>
      <c r="E905">
        <v>19</v>
      </c>
      <c r="F905">
        <v>5</v>
      </c>
      <c r="G905">
        <v>0</v>
      </c>
      <c r="H905">
        <v>1</v>
      </c>
      <c r="I905">
        <v>3</v>
      </c>
      <c r="J905">
        <v>2016</v>
      </c>
      <c r="K905">
        <v>6</v>
      </c>
      <c r="L905">
        <v>276</v>
      </c>
      <c r="M905" t="s">
        <v>12</v>
      </c>
    </row>
    <row r="906" spans="1:13" x14ac:dyDescent="0.3">
      <c r="A906" s="1">
        <v>42545</v>
      </c>
      <c r="B906">
        <v>6</v>
      </c>
      <c r="C906">
        <v>2.34</v>
      </c>
      <c r="D906">
        <v>3.05</v>
      </c>
      <c r="E906">
        <v>19</v>
      </c>
      <c r="F906">
        <v>15</v>
      </c>
      <c r="G906">
        <v>0</v>
      </c>
      <c r="H906">
        <v>1</v>
      </c>
      <c r="I906">
        <v>2</v>
      </c>
      <c r="J906">
        <v>2016</v>
      </c>
      <c r="K906">
        <v>6</v>
      </c>
      <c r="L906">
        <v>276</v>
      </c>
      <c r="M906" t="s">
        <v>13</v>
      </c>
    </row>
    <row r="907" spans="1:13" x14ac:dyDescent="0.3">
      <c r="A907" s="1">
        <v>42546</v>
      </c>
      <c r="B907">
        <v>5.68</v>
      </c>
      <c r="C907">
        <v>4.99</v>
      </c>
      <c r="D907">
        <v>8</v>
      </c>
      <c r="E907">
        <v>20.25</v>
      </c>
      <c r="F907">
        <v>5</v>
      </c>
      <c r="G907">
        <v>0</v>
      </c>
      <c r="H907">
        <v>1</v>
      </c>
      <c r="I907">
        <v>4</v>
      </c>
      <c r="J907">
        <v>2016</v>
      </c>
      <c r="K907">
        <v>6</v>
      </c>
      <c r="L907">
        <v>276</v>
      </c>
      <c r="M907" t="s">
        <v>14</v>
      </c>
    </row>
    <row r="908" spans="1:13" x14ac:dyDescent="0.3">
      <c r="A908" s="1">
        <v>42547</v>
      </c>
      <c r="B908">
        <v>3</v>
      </c>
      <c r="C908">
        <v>3.8450000000000002</v>
      </c>
      <c r="D908">
        <v>2</v>
      </c>
      <c r="E908">
        <v>17.399999999999999</v>
      </c>
      <c r="F908">
        <v>20</v>
      </c>
      <c r="G908">
        <v>0</v>
      </c>
      <c r="H908">
        <v>2</v>
      </c>
      <c r="I908">
        <v>3</v>
      </c>
      <c r="J908">
        <v>2016</v>
      </c>
      <c r="K908">
        <v>6</v>
      </c>
      <c r="L908">
        <v>276</v>
      </c>
      <c r="M908" t="s">
        <v>15</v>
      </c>
    </row>
    <row r="909" spans="1:13" x14ac:dyDescent="0.3">
      <c r="A909" s="1">
        <v>42548</v>
      </c>
      <c r="B909">
        <v>6</v>
      </c>
      <c r="C909">
        <v>3.0670000000000002</v>
      </c>
      <c r="D909">
        <v>5.25</v>
      </c>
      <c r="E909">
        <v>24</v>
      </c>
      <c r="F909">
        <v>9</v>
      </c>
      <c r="G909">
        <v>0</v>
      </c>
      <c r="H909">
        <v>9</v>
      </c>
      <c r="I909">
        <v>2</v>
      </c>
      <c r="J909">
        <v>2016</v>
      </c>
      <c r="K909">
        <v>6</v>
      </c>
      <c r="L909">
        <v>276</v>
      </c>
      <c r="M909" t="s">
        <v>16</v>
      </c>
    </row>
    <row r="910" spans="1:13" x14ac:dyDescent="0.3">
      <c r="A910" s="1">
        <v>42549</v>
      </c>
      <c r="B910">
        <v>1.33</v>
      </c>
      <c r="C910">
        <v>1.429</v>
      </c>
      <c r="D910">
        <v>2.25</v>
      </c>
      <c r="E910">
        <v>24</v>
      </c>
      <c r="F910">
        <v>20</v>
      </c>
      <c r="G910">
        <v>5</v>
      </c>
      <c r="H910">
        <v>2</v>
      </c>
      <c r="I910">
        <v>7</v>
      </c>
      <c r="J910">
        <v>2016</v>
      </c>
      <c r="K910">
        <v>6</v>
      </c>
      <c r="L910">
        <v>276</v>
      </c>
      <c r="M910" t="s">
        <v>17</v>
      </c>
    </row>
    <row r="911" spans="1:13" x14ac:dyDescent="0.3">
      <c r="A911" s="1">
        <v>42550</v>
      </c>
      <c r="B911">
        <v>7</v>
      </c>
      <c r="C911">
        <v>8.01</v>
      </c>
      <c r="D911">
        <v>6.5</v>
      </c>
      <c r="E911">
        <v>22</v>
      </c>
      <c r="F911">
        <v>12.5</v>
      </c>
      <c r="G911">
        <v>7</v>
      </c>
      <c r="H911">
        <v>1</v>
      </c>
      <c r="I911">
        <v>2</v>
      </c>
      <c r="J911">
        <v>2016</v>
      </c>
      <c r="K911">
        <v>6</v>
      </c>
      <c r="L911">
        <v>276</v>
      </c>
      <c r="M911" t="s">
        <v>18</v>
      </c>
    </row>
    <row r="912" spans="1:13" x14ac:dyDescent="0.3">
      <c r="A912" s="1">
        <v>42551</v>
      </c>
      <c r="B912">
        <v>4</v>
      </c>
      <c r="C912">
        <v>3.8029999999999999</v>
      </c>
      <c r="D912">
        <v>3.2</v>
      </c>
      <c r="E912">
        <v>9</v>
      </c>
      <c r="F912">
        <v>6</v>
      </c>
      <c r="G912">
        <v>0</v>
      </c>
      <c r="H912">
        <v>0</v>
      </c>
      <c r="I912">
        <v>2</v>
      </c>
      <c r="J912">
        <v>2016</v>
      </c>
      <c r="K912">
        <v>6</v>
      </c>
      <c r="L912">
        <v>276</v>
      </c>
      <c r="M912" t="s">
        <v>12</v>
      </c>
    </row>
    <row r="913" spans="1:13" x14ac:dyDescent="0.3">
      <c r="A913" s="1">
        <v>42552</v>
      </c>
      <c r="B913">
        <v>4</v>
      </c>
      <c r="C913">
        <v>2.0099999999999998</v>
      </c>
      <c r="D913">
        <v>5.5</v>
      </c>
      <c r="E913">
        <v>24</v>
      </c>
      <c r="F913">
        <v>1</v>
      </c>
      <c r="G913">
        <v>0</v>
      </c>
      <c r="H913">
        <v>20</v>
      </c>
      <c r="I913">
        <v>7</v>
      </c>
      <c r="J913">
        <v>2016</v>
      </c>
      <c r="K913">
        <v>7</v>
      </c>
      <c r="L913">
        <v>276</v>
      </c>
      <c r="M913" t="s">
        <v>13</v>
      </c>
    </row>
    <row r="914" spans="1:13" x14ac:dyDescent="0.3">
      <c r="A914" s="1">
        <v>42553</v>
      </c>
      <c r="B914">
        <v>4.66</v>
      </c>
      <c r="C914">
        <v>5.1319999999999997</v>
      </c>
      <c r="D914">
        <v>6</v>
      </c>
      <c r="E914">
        <v>25.4</v>
      </c>
      <c r="F914">
        <v>9</v>
      </c>
      <c r="G914">
        <v>0</v>
      </c>
      <c r="H914">
        <v>2</v>
      </c>
      <c r="I914">
        <v>3</v>
      </c>
      <c r="J914">
        <v>2016</v>
      </c>
      <c r="K914">
        <v>7</v>
      </c>
      <c r="L914">
        <v>276</v>
      </c>
      <c r="M914" t="s">
        <v>14</v>
      </c>
    </row>
    <row r="915" spans="1:13" x14ac:dyDescent="0.3">
      <c r="A915" s="1">
        <v>42554</v>
      </c>
      <c r="B915">
        <v>6.67</v>
      </c>
      <c r="C915">
        <v>4.165</v>
      </c>
      <c r="D915">
        <v>5.4</v>
      </c>
      <c r="E915">
        <v>18.600000000000001</v>
      </c>
      <c r="F915">
        <v>4</v>
      </c>
      <c r="G915">
        <v>0</v>
      </c>
      <c r="H915">
        <v>11</v>
      </c>
      <c r="I915">
        <v>5</v>
      </c>
      <c r="J915">
        <v>2016</v>
      </c>
      <c r="K915">
        <v>7</v>
      </c>
      <c r="L915">
        <v>276</v>
      </c>
      <c r="M915" t="s">
        <v>15</v>
      </c>
    </row>
    <row r="916" spans="1:13" x14ac:dyDescent="0.3">
      <c r="A916" s="1">
        <v>42555</v>
      </c>
      <c r="B916">
        <v>8.34</v>
      </c>
      <c r="C916">
        <v>5.34</v>
      </c>
      <c r="D916">
        <v>1.1499999999999999</v>
      </c>
      <c r="E916">
        <v>14</v>
      </c>
      <c r="F916">
        <v>8</v>
      </c>
      <c r="G916">
        <v>3</v>
      </c>
      <c r="H916">
        <v>7</v>
      </c>
      <c r="I916">
        <v>6</v>
      </c>
      <c r="J916">
        <v>2016</v>
      </c>
      <c r="K916">
        <v>7</v>
      </c>
      <c r="L916">
        <v>276</v>
      </c>
      <c r="M916" t="s">
        <v>16</v>
      </c>
    </row>
    <row r="917" spans="1:13" x14ac:dyDescent="0.3">
      <c r="A917" s="1">
        <v>42556</v>
      </c>
      <c r="B917">
        <v>6</v>
      </c>
      <c r="C917">
        <v>4.01</v>
      </c>
      <c r="D917">
        <v>2</v>
      </c>
      <c r="E917">
        <v>19</v>
      </c>
      <c r="F917">
        <v>10</v>
      </c>
      <c r="G917">
        <v>0</v>
      </c>
      <c r="H917">
        <v>0</v>
      </c>
      <c r="I917">
        <v>3</v>
      </c>
      <c r="J917">
        <v>2016</v>
      </c>
      <c r="K917">
        <v>7</v>
      </c>
      <c r="L917">
        <v>276</v>
      </c>
      <c r="M917" t="s">
        <v>17</v>
      </c>
    </row>
    <row r="918" spans="1:13" x14ac:dyDescent="0.3">
      <c r="A918" s="1">
        <v>42557</v>
      </c>
      <c r="B918">
        <v>9.33</v>
      </c>
      <c r="C918">
        <v>5.726</v>
      </c>
      <c r="D918">
        <v>5</v>
      </c>
      <c r="E918">
        <v>30</v>
      </c>
      <c r="F918">
        <v>5</v>
      </c>
      <c r="G918">
        <v>0</v>
      </c>
      <c r="H918">
        <v>8</v>
      </c>
      <c r="I918">
        <v>4</v>
      </c>
      <c r="J918">
        <v>2016</v>
      </c>
      <c r="K918">
        <v>7</v>
      </c>
      <c r="L918">
        <v>276</v>
      </c>
      <c r="M918" t="s">
        <v>18</v>
      </c>
    </row>
    <row r="919" spans="1:13" x14ac:dyDescent="0.3">
      <c r="A919" s="1">
        <v>42558</v>
      </c>
      <c r="B919">
        <v>7.34</v>
      </c>
      <c r="C919">
        <v>5.01</v>
      </c>
      <c r="D919">
        <v>1</v>
      </c>
      <c r="E919">
        <v>21</v>
      </c>
      <c r="F919">
        <v>11</v>
      </c>
      <c r="G919">
        <v>1</v>
      </c>
      <c r="H919">
        <v>0</v>
      </c>
      <c r="I919">
        <v>2</v>
      </c>
      <c r="J919">
        <v>2016</v>
      </c>
      <c r="K919">
        <v>7</v>
      </c>
      <c r="L919">
        <v>276</v>
      </c>
      <c r="M919" t="s">
        <v>12</v>
      </c>
    </row>
    <row r="920" spans="1:13" x14ac:dyDescent="0.3">
      <c r="A920" s="1">
        <v>42559</v>
      </c>
      <c r="B920">
        <v>1.34</v>
      </c>
      <c r="C920">
        <v>7.056</v>
      </c>
      <c r="D920">
        <v>9.1999999999999993</v>
      </c>
      <c r="E920">
        <v>28</v>
      </c>
      <c r="F920">
        <v>12</v>
      </c>
      <c r="G920">
        <v>1</v>
      </c>
      <c r="H920">
        <v>0</v>
      </c>
      <c r="I920">
        <v>4.3</v>
      </c>
      <c r="J920">
        <v>2016</v>
      </c>
      <c r="K920">
        <v>7</v>
      </c>
      <c r="L920">
        <v>276</v>
      </c>
      <c r="M920" t="s">
        <v>13</v>
      </c>
    </row>
    <row r="921" spans="1:13" x14ac:dyDescent="0.3">
      <c r="A921" s="1">
        <v>42560</v>
      </c>
      <c r="B921">
        <v>3.33</v>
      </c>
      <c r="C921">
        <v>6</v>
      </c>
      <c r="D921">
        <v>4.5</v>
      </c>
      <c r="E921">
        <v>11</v>
      </c>
      <c r="F921">
        <v>12</v>
      </c>
      <c r="G921">
        <v>0</v>
      </c>
      <c r="H921">
        <v>0</v>
      </c>
      <c r="I921">
        <v>2</v>
      </c>
      <c r="J921">
        <v>2016</v>
      </c>
      <c r="K921">
        <v>7</v>
      </c>
      <c r="L921">
        <v>276</v>
      </c>
      <c r="M921" t="s">
        <v>14</v>
      </c>
    </row>
    <row r="922" spans="1:13" x14ac:dyDescent="0.3">
      <c r="A922" s="1">
        <v>42561</v>
      </c>
      <c r="B922">
        <v>5.66</v>
      </c>
      <c r="C922">
        <v>8.32</v>
      </c>
      <c r="D922">
        <v>4.2</v>
      </c>
      <c r="E922">
        <v>29</v>
      </c>
      <c r="F922">
        <v>6</v>
      </c>
      <c r="G922">
        <v>0</v>
      </c>
      <c r="H922">
        <v>0</v>
      </c>
      <c r="I922">
        <v>3</v>
      </c>
      <c r="J922">
        <v>2016</v>
      </c>
      <c r="K922">
        <v>7</v>
      </c>
      <c r="L922">
        <v>276</v>
      </c>
      <c r="M922" t="s">
        <v>15</v>
      </c>
    </row>
    <row r="923" spans="1:13" x14ac:dyDescent="0.3">
      <c r="A923" s="1">
        <v>42562</v>
      </c>
      <c r="B923">
        <v>6.33</v>
      </c>
      <c r="C923">
        <v>1.7030000000000001</v>
      </c>
      <c r="D923">
        <v>3</v>
      </c>
      <c r="E923">
        <v>19.312000000000001</v>
      </c>
      <c r="F923">
        <v>9</v>
      </c>
      <c r="G923">
        <v>0</v>
      </c>
      <c r="H923">
        <v>4</v>
      </c>
      <c r="I923">
        <v>6.2</v>
      </c>
      <c r="J923">
        <v>2016</v>
      </c>
      <c r="K923">
        <v>7</v>
      </c>
      <c r="L923">
        <v>276</v>
      </c>
      <c r="M923" t="s">
        <v>16</v>
      </c>
    </row>
    <row r="924" spans="1:13" x14ac:dyDescent="0.3">
      <c r="A924" s="1">
        <v>42563</v>
      </c>
      <c r="B924">
        <v>5.67</v>
      </c>
      <c r="C924">
        <v>2.67</v>
      </c>
      <c r="D924">
        <v>4</v>
      </c>
      <c r="E924">
        <v>27.2</v>
      </c>
      <c r="F924">
        <v>14</v>
      </c>
      <c r="G924">
        <v>0</v>
      </c>
      <c r="H924">
        <v>3</v>
      </c>
      <c r="I924">
        <v>4</v>
      </c>
      <c r="J924">
        <v>2016</v>
      </c>
      <c r="K924">
        <v>7</v>
      </c>
      <c r="L924">
        <v>276</v>
      </c>
      <c r="M924" t="s">
        <v>17</v>
      </c>
    </row>
    <row r="925" spans="1:13" x14ac:dyDescent="0.3">
      <c r="A925" s="1">
        <v>42564</v>
      </c>
      <c r="B925">
        <v>6.2183333330000004</v>
      </c>
      <c r="C925">
        <v>7</v>
      </c>
      <c r="D925">
        <v>5</v>
      </c>
      <c r="E925">
        <v>26.4</v>
      </c>
      <c r="F925">
        <v>11</v>
      </c>
      <c r="G925">
        <v>0</v>
      </c>
      <c r="H925">
        <v>3</v>
      </c>
      <c r="I925">
        <v>2</v>
      </c>
      <c r="J925">
        <v>2016</v>
      </c>
      <c r="K925">
        <v>7</v>
      </c>
      <c r="L925">
        <v>276</v>
      </c>
      <c r="M925" t="s">
        <v>18</v>
      </c>
    </row>
    <row r="926" spans="1:13" x14ac:dyDescent="0.3">
      <c r="A926" s="1">
        <v>42565</v>
      </c>
      <c r="B926">
        <v>2.34</v>
      </c>
      <c r="C926">
        <v>2.363</v>
      </c>
      <c r="D926">
        <v>5</v>
      </c>
      <c r="E926">
        <v>12.4</v>
      </c>
      <c r="F926">
        <v>3</v>
      </c>
      <c r="G926">
        <v>0</v>
      </c>
      <c r="H926">
        <v>3</v>
      </c>
      <c r="I926">
        <v>5</v>
      </c>
      <c r="J926">
        <v>2016</v>
      </c>
      <c r="K926">
        <v>7</v>
      </c>
      <c r="L926">
        <v>276</v>
      </c>
      <c r="M926" t="s">
        <v>12</v>
      </c>
    </row>
    <row r="927" spans="1:13" x14ac:dyDescent="0.3">
      <c r="A927" s="1">
        <v>42566</v>
      </c>
      <c r="B927">
        <v>3</v>
      </c>
      <c r="C927">
        <v>8</v>
      </c>
      <c r="D927">
        <v>2</v>
      </c>
      <c r="E927">
        <v>15</v>
      </c>
      <c r="F927">
        <v>4</v>
      </c>
      <c r="G927">
        <v>0</v>
      </c>
      <c r="H927">
        <v>0</v>
      </c>
      <c r="I927">
        <v>3.33</v>
      </c>
      <c r="J927">
        <v>2016</v>
      </c>
      <c r="K927">
        <v>7</v>
      </c>
      <c r="L927">
        <v>276</v>
      </c>
      <c r="M927" t="s">
        <v>13</v>
      </c>
    </row>
    <row r="928" spans="1:13" x14ac:dyDescent="0.3">
      <c r="A928" s="1">
        <v>42567</v>
      </c>
      <c r="B928">
        <v>9.33</v>
      </c>
      <c r="C928">
        <v>6.7370000000000001</v>
      </c>
      <c r="D928">
        <v>3</v>
      </c>
      <c r="E928">
        <v>23.3</v>
      </c>
      <c r="F928">
        <v>6</v>
      </c>
      <c r="G928">
        <v>0</v>
      </c>
      <c r="H928">
        <v>1</v>
      </c>
      <c r="I928">
        <v>8</v>
      </c>
      <c r="J928">
        <v>2016</v>
      </c>
      <c r="K928">
        <v>7</v>
      </c>
      <c r="L928">
        <v>276</v>
      </c>
      <c r="M928" t="s">
        <v>14</v>
      </c>
    </row>
    <row r="929" spans="1:13" x14ac:dyDescent="0.3">
      <c r="A929" s="1">
        <v>42568</v>
      </c>
      <c r="B929">
        <v>9.01</v>
      </c>
      <c r="C929">
        <v>4.01</v>
      </c>
      <c r="D929">
        <v>3</v>
      </c>
      <c r="E929">
        <v>26.65</v>
      </c>
      <c r="F929">
        <v>3</v>
      </c>
      <c r="G929">
        <v>0</v>
      </c>
      <c r="H929">
        <v>7</v>
      </c>
      <c r="I929">
        <v>4</v>
      </c>
      <c r="J929">
        <v>2016</v>
      </c>
      <c r="K929">
        <v>7</v>
      </c>
      <c r="L929">
        <v>276</v>
      </c>
      <c r="M929" t="s">
        <v>15</v>
      </c>
    </row>
    <row r="930" spans="1:13" x14ac:dyDescent="0.3">
      <c r="A930" s="1">
        <v>42569</v>
      </c>
      <c r="B930">
        <v>6</v>
      </c>
      <c r="C930">
        <v>2.4969999999999999</v>
      </c>
      <c r="D930">
        <v>8</v>
      </c>
      <c r="E930">
        <v>25.4</v>
      </c>
      <c r="F930">
        <v>2</v>
      </c>
      <c r="G930">
        <v>0</v>
      </c>
      <c r="H930">
        <v>3</v>
      </c>
      <c r="I930">
        <v>4</v>
      </c>
      <c r="J930">
        <v>2016</v>
      </c>
      <c r="K930">
        <v>7</v>
      </c>
      <c r="L930">
        <v>276</v>
      </c>
      <c r="M930" t="s">
        <v>16</v>
      </c>
    </row>
    <row r="931" spans="1:13" x14ac:dyDescent="0.3">
      <c r="A931" s="1">
        <v>42570</v>
      </c>
      <c r="B931">
        <v>7.34</v>
      </c>
      <c r="C931">
        <v>1.33</v>
      </c>
      <c r="D931">
        <v>6</v>
      </c>
      <c r="E931">
        <v>19</v>
      </c>
      <c r="F931">
        <v>5</v>
      </c>
      <c r="G931">
        <v>0</v>
      </c>
      <c r="H931">
        <v>1</v>
      </c>
      <c r="I931">
        <v>2</v>
      </c>
      <c r="J931">
        <v>2016</v>
      </c>
      <c r="K931">
        <v>7</v>
      </c>
      <c r="L931">
        <v>276</v>
      </c>
      <c r="M931" t="s">
        <v>17</v>
      </c>
    </row>
    <row r="932" spans="1:13" x14ac:dyDescent="0.3">
      <c r="A932" s="1">
        <v>42571</v>
      </c>
      <c r="B932">
        <v>10.33</v>
      </c>
      <c r="C932">
        <v>4.66</v>
      </c>
      <c r="D932">
        <v>7.1</v>
      </c>
      <c r="E932">
        <v>25.2</v>
      </c>
      <c r="F932">
        <v>6</v>
      </c>
      <c r="G932">
        <v>0</v>
      </c>
      <c r="H932">
        <v>5</v>
      </c>
      <c r="I932">
        <v>5</v>
      </c>
      <c r="J932">
        <v>2016</v>
      </c>
      <c r="K932">
        <v>7</v>
      </c>
      <c r="L932">
        <v>276</v>
      </c>
      <c r="M932" t="s">
        <v>18</v>
      </c>
    </row>
    <row r="933" spans="1:13" x14ac:dyDescent="0.3">
      <c r="A933" s="1">
        <v>42572</v>
      </c>
      <c r="B933">
        <v>5.66</v>
      </c>
      <c r="C933">
        <v>5.32</v>
      </c>
      <c r="D933">
        <v>4.0999999999999996</v>
      </c>
      <c r="E933">
        <v>17</v>
      </c>
      <c r="F933">
        <v>15</v>
      </c>
      <c r="G933">
        <v>0</v>
      </c>
      <c r="H933">
        <v>1</v>
      </c>
      <c r="I933">
        <v>2</v>
      </c>
      <c r="J933">
        <v>2016</v>
      </c>
      <c r="K933">
        <v>7</v>
      </c>
      <c r="L933">
        <v>276</v>
      </c>
      <c r="M933" t="s">
        <v>12</v>
      </c>
    </row>
    <row r="934" spans="1:13" x14ac:dyDescent="0.3">
      <c r="A934" s="1">
        <v>42573</v>
      </c>
      <c r="B934">
        <v>3.33</v>
      </c>
      <c r="C934">
        <v>1.66</v>
      </c>
      <c r="D934">
        <v>7</v>
      </c>
      <c r="E934">
        <v>14</v>
      </c>
      <c r="F934">
        <v>4</v>
      </c>
      <c r="G934">
        <v>0</v>
      </c>
      <c r="H934">
        <v>0</v>
      </c>
      <c r="I934">
        <v>2</v>
      </c>
      <c r="J934">
        <v>2016</v>
      </c>
      <c r="K934">
        <v>7</v>
      </c>
      <c r="L934">
        <v>276</v>
      </c>
      <c r="M934" t="s">
        <v>13</v>
      </c>
    </row>
    <row r="935" spans="1:13" x14ac:dyDescent="0.3">
      <c r="A935" s="1">
        <v>42574</v>
      </c>
      <c r="B935">
        <v>4.66</v>
      </c>
      <c r="C935">
        <v>5.49</v>
      </c>
      <c r="D935">
        <v>2.1</v>
      </c>
      <c r="E935">
        <v>15</v>
      </c>
      <c r="F935">
        <v>6</v>
      </c>
      <c r="G935">
        <v>0</v>
      </c>
      <c r="H935">
        <v>0</v>
      </c>
      <c r="I935">
        <v>5</v>
      </c>
      <c r="J935">
        <v>2016</v>
      </c>
      <c r="K935">
        <v>7</v>
      </c>
      <c r="L935">
        <v>276</v>
      </c>
      <c r="M935" t="s">
        <v>14</v>
      </c>
    </row>
    <row r="936" spans="1:13" x14ac:dyDescent="0.3">
      <c r="A936" s="1">
        <v>42575</v>
      </c>
      <c r="B936">
        <v>2.33</v>
      </c>
      <c r="C936">
        <v>4.99</v>
      </c>
      <c r="D936">
        <v>4</v>
      </c>
      <c r="E936">
        <v>32</v>
      </c>
      <c r="F936">
        <v>4</v>
      </c>
      <c r="G936">
        <v>0</v>
      </c>
      <c r="H936">
        <v>0</v>
      </c>
      <c r="I936">
        <v>2</v>
      </c>
      <c r="J936">
        <v>2016</v>
      </c>
      <c r="K936">
        <v>7</v>
      </c>
      <c r="L936">
        <v>276</v>
      </c>
      <c r="M936" t="s">
        <v>15</v>
      </c>
    </row>
    <row r="937" spans="1:13" x14ac:dyDescent="0.3">
      <c r="A937" s="1">
        <v>42576</v>
      </c>
      <c r="B937">
        <v>13</v>
      </c>
      <c r="C937">
        <v>3.33</v>
      </c>
      <c r="D937">
        <v>7</v>
      </c>
      <c r="E937">
        <v>22</v>
      </c>
      <c r="F937">
        <v>9</v>
      </c>
      <c r="G937">
        <v>0</v>
      </c>
      <c r="H937">
        <v>4</v>
      </c>
      <c r="I937">
        <v>4</v>
      </c>
      <c r="J937">
        <v>2016</v>
      </c>
      <c r="K937">
        <v>7</v>
      </c>
      <c r="L937">
        <v>276</v>
      </c>
      <c r="M937" t="s">
        <v>16</v>
      </c>
    </row>
    <row r="938" spans="1:13" x14ac:dyDescent="0.3">
      <c r="A938" s="1">
        <v>42577</v>
      </c>
      <c r="B938">
        <v>8.32</v>
      </c>
      <c r="C938">
        <v>2.66</v>
      </c>
      <c r="D938">
        <v>1</v>
      </c>
      <c r="E938">
        <v>10</v>
      </c>
      <c r="F938">
        <v>16</v>
      </c>
      <c r="G938">
        <v>0</v>
      </c>
      <c r="H938">
        <v>0</v>
      </c>
      <c r="I938">
        <v>2</v>
      </c>
      <c r="J938">
        <v>2016</v>
      </c>
      <c r="K938">
        <v>7</v>
      </c>
      <c r="L938">
        <v>276</v>
      </c>
      <c r="M938" t="s">
        <v>17</v>
      </c>
    </row>
    <row r="939" spans="1:13" x14ac:dyDescent="0.3">
      <c r="A939" s="1">
        <v>42578</v>
      </c>
      <c r="B939">
        <v>3</v>
      </c>
      <c r="C939">
        <v>6.33</v>
      </c>
      <c r="D939">
        <v>4.1500000000000004</v>
      </c>
      <c r="E939">
        <v>10</v>
      </c>
      <c r="F939">
        <v>4</v>
      </c>
      <c r="G939">
        <v>1</v>
      </c>
      <c r="H939">
        <v>9</v>
      </c>
      <c r="I939">
        <v>2</v>
      </c>
      <c r="J939">
        <v>2016</v>
      </c>
      <c r="K939">
        <v>7</v>
      </c>
      <c r="L939">
        <v>276</v>
      </c>
      <c r="M939" t="s">
        <v>18</v>
      </c>
    </row>
    <row r="940" spans="1:13" x14ac:dyDescent="0.3">
      <c r="A940" s="1">
        <v>42579</v>
      </c>
      <c r="B940">
        <v>9.67</v>
      </c>
      <c r="C940">
        <v>3.99</v>
      </c>
      <c r="D940">
        <v>4</v>
      </c>
      <c r="E940">
        <v>22.5</v>
      </c>
      <c r="F940">
        <v>12</v>
      </c>
      <c r="G940">
        <v>1</v>
      </c>
      <c r="H940">
        <v>5</v>
      </c>
      <c r="I940">
        <v>3</v>
      </c>
      <c r="J940">
        <v>2016</v>
      </c>
      <c r="K940">
        <v>7</v>
      </c>
      <c r="L940">
        <v>276</v>
      </c>
      <c r="M940" t="s">
        <v>12</v>
      </c>
    </row>
    <row r="941" spans="1:13" x14ac:dyDescent="0.3">
      <c r="A941" s="1">
        <v>42580</v>
      </c>
      <c r="B941">
        <v>9.99</v>
      </c>
      <c r="C941">
        <v>4.51</v>
      </c>
      <c r="D941">
        <v>6</v>
      </c>
      <c r="E941">
        <v>11</v>
      </c>
      <c r="F941">
        <v>17</v>
      </c>
      <c r="G941">
        <v>1</v>
      </c>
      <c r="H941">
        <v>11</v>
      </c>
      <c r="I941">
        <v>2</v>
      </c>
      <c r="J941">
        <v>2016</v>
      </c>
      <c r="K941">
        <v>7</v>
      </c>
      <c r="L941">
        <v>276</v>
      </c>
      <c r="M941" t="s">
        <v>13</v>
      </c>
    </row>
    <row r="942" spans="1:13" x14ac:dyDescent="0.3">
      <c r="A942" s="1">
        <v>42581</v>
      </c>
      <c r="B942">
        <v>6.33</v>
      </c>
      <c r="C942">
        <v>3.99</v>
      </c>
      <c r="D942">
        <v>4</v>
      </c>
      <c r="E942">
        <v>37</v>
      </c>
      <c r="F942">
        <v>7</v>
      </c>
      <c r="G942">
        <v>0</v>
      </c>
      <c r="H942">
        <v>1</v>
      </c>
      <c r="I942">
        <v>6</v>
      </c>
      <c r="J942">
        <v>2016</v>
      </c>
      <c r="K942">
        <v>7</v>
      </c>
      <c r="L942">
        <v>276</v>
      </c>
      <c r="M942" t="s">
        <v>14</v>
      </c>
    </row>
    <row r="943" spans="1:13" x14ac:dyDescent="0.3">
      <c r="A943" s="1">
        <v>42582</v>
      </c>
      <c r="B943">
        <v>6</v>
      </c>
      <c r="C943">
        <v>5.01</v>
      </c>
      <c r="D943">
        <v>4.5</v>
      </c>
      <c r="E943">
        <v>22</v>
      </c>
      <c r="F943">
        <v>5</v>
      </c>
      <c r="G943">
        <v>0</v>
      </c>
      <c r="H943">
        <v>0</v>
      </c>
      <c r="I943">
        <v>4</v>
      </c>
      <c r="J943">
        <v>2016</v>
      </c>
      <c r="K943">
        <v>7</v>
      </c>
      <c r="L943">
        <v>276</v>
      </c>
      <c r="M943" t="s">
        <v>15</v>
      </c>
    </row>
    <row r="944" spans="1:13" x14ac:dyDescent="0.3">
      <c r="A944" s="1">
        <v>42583</v>
      </c>
      <c r="B944">
        <v>8.33</v>
      </c>
      <c r="C944">
        <v>1.3959999999999999</v>
      </c>
      <c r="D944">
        <v>5</v>
      </c>
      <c r="E944">
        <v>14</v>
      </c>
      <c r="F944">
        <v>7.5</v>
      </c>
      <c r="G944">
        <v>1</v>
      </c>
      <c r="H944">
        <v>1</v>
      </c>
      <c r="I944">
        <v>6</v>
      </c>
      <c r="J944">
        <v>2016</v>
      </c>
      <c r="K944">
        <v>8</v>
      </c>
      <c r="L944">
        <v>276</v>
      </c>
      <c r="M944" t="s">
        <v>16</v>
      </c>
    </row>
    <row r="945" spans="1:13" x14ac:dyDescent="0.3">
      <c r="A945" s="1">
        <v>42584</v>
      </c>
      <c r="B945">
        <v>8.33</v>
      </c>
      <c r="C945">
        <v>7</v>
      </c>
      <c r="D945">
        <v>5</v>
      </c>
      <c r="E945">
        <v>12</v>
      </c>
      <c r="F945">
        <v>12</v>
      </c>
      <c r="G945">
        <v>0</v>
      </c>
      <c r="H945">
        <v>1</v>
      </c>
      <c r="I945">
        <v>1</v>
      </c>
      <c r="J945">
        <v>2016</v>
      </c>
      <c r="K945">
        <v>8</v>
      </c>
      <c r="L945">
        <v>276</v>
      </c>
      <c r="M945" t="s">
        <v>17</v>
      </c>
    </row>
    <row r="946" spans="1:13" x14ac:dyDescent="0.3">
      <c r="A946" s="1">
        <v>42585</v>
      </c>
      <c r="B946">
        <v>8</v>
      </c>
      <c r="C946">
        <v>2.98</v>
      </c>
      <c r="D946">
        <v>3.5</v>
      </c>
      <c r="E946">
        <v>21</v>
      </c>
      <c r="F946">
        <v>11</v>
      </c>
      <c r="G946">
        <v>0</v>
      </c>
      <c r="H946">
        <v>13</v>
      </c>
      <c r="I946">
        <v>3</v>
      </c>
      <c r="J946">
        <v>2016</v>
      </c>
      <c r="K946">
        <v>8</v>
      </c>
      <c r="L946">
        <v>276</v>
      </c>
      <c r="M946" t="s">
        <v>18</v>
      </c>
    </row>
    <row r="947" spans="1:13" x14ac:dyDescent="0.3">
      <c r="A947" s="1">
        <v>42586</v>
      </c>
      <c r="B947">
        <v>8</v>
      </c>
      <c r="C947">
        <v>2.6930000000000001</v>
      </c>
      <c r="D947">
        <v>2</v>
      </c>
      <c r="E947">
        <v>34.4</v>
      </c>
      <c r="F947">
        <v>12</v>
      </c>
      <c r="G947">
        <v>0</v>
      </c>
      <c r="H947">
        <v>17</v>
      </c>
      <c r="I947">
        <v>4</v>
      </c>
      <c r="J947">
        <v>2016</v>
      </c>
      <c r="K947">
        <v>8</v>
      </c>
      <c r="L947">
        <v>276</v>
      </c>
      <c r="M947" t="s">
        <v>12</v>
      </c>
    </row>
    <row r="948" spans="1:13" x14ac:dyDescent="0.3">
      <c r="A948" s="1">
        <v>42587</v>
      </c>
      <c r="B948">
        <v>10.33</v>
      </c>
      <c r="C948">
        <v>3.42</v>
      </c>
      <c r="D948">
        <v>3.7</v>
      </c>
      <c r="E948">
        <v>21</v>
      </c>
      <c r="F948">
        <v>24</v>
      </c>
      <c r="G948">
        <v>0</v>
      </c>
      <c r="H948">
        <v>24</v>
      </c>
      <c r="I948">
        <v>1.3</v>
      </c>
      <c r="J948">
        <v>2016</v>
      </c>
      <c r="K948">
        <v>8</v>
      </c>
      <c r="L948">
        <v>276</v>
      </c>
      <c r="M948" t="s">
        <v>13</v>
      </c>
    </row>
    <row r="949" spans="1:13" x14ac:dyDescent="0.3">
      <c r="A949" s="1">
        <v>42588</v>
      </c>
      <c r="B949">
        <v>3</v>
      </c>
      <c r="C949">
        <v>3.6619999999999999</v>
      </c>
      <c r="D949">
        <v>5</v>
      </c>
      <c r="E949">
        <v>20</v>
      </c>
      <c r="F949">
        <v>33</v>
      </c>
      <c r="G949">
        <v>0</v>
      </c>
      <c r="H949">
        <v>1</v>
      </c>
      <c r="I949">
        <v>2</v>
      </c>
      <c r="J949">
        <v>2016</v>
      </c>
      <c r="K949">
        <v>8</v>
      </c>
      <c r="L949">
        <v>276</v>
      </c>
      <c r="M949" t="s">
        <v>14</v>
      </c>
    </row>
    <row r="950" spans="1:13" x14ac:dyDescent="0.3">
      <c r="A950" s="1">
        <v>42589</v>
      </c>
      <c r="B950">
        <v>8</v>
      </c>
      <c r="C950">
        <v>4.1550000000000002</v>
      </c>
      <c r="D950">
        <v>8.1999999999999993</v>
      </c>
      <c r="E950">
        <v>40.200000000000003</v>
      </c>
      <c r="F950">
        <v>12</v>
      </c>
      <c r="G950">
        <v>0</v>
      </c>
      <c r="H950">
        <v>5</v>
      </c>
      <c r="I950">
        <v>3</v>
      </c>
      <c r="J950">
        <v>2016</v>
      </c>
      <c r="K950">
        <v>8</v>
      </c>
      <c r="L950">
        <v>276</v>
      </c>
      <c r="M950" t="s">
        <v>15</v>
      </c>
    </row>
    <row r="951" spans="1:13" x14ac:dyDescent="0.3">
      <c r="A951" s="1">
        <v>42590</v>
      </c>
      <c r="B951">
        <v>8.34</v>
      </c>
      <c r="C951">
        <v>5.99</v>
      </c>
      <c r="D951">
        <v>5.5</v>
      </c>
      <c r="E951">
        <v>15</v>
      </c>
      <c r="F951">
        <v>36</v>
      </c>
      <c r="G951">
        <v>0</v>
      </c>
      <c r="H951">
        <v>1</v>
      </c>
      <c r="I951">
        <v>4</v>
      </c>
      <c r="J951">
        <v>2016</v>
      </c>
      <c r="K951">
        <v>8</v>
      </c>
      <c r="L951">
        <v>276</v>
      </c>
      <c r="M951" t="s">
        <v>16</v>
      </c>
    </row>
    <row r="952" spans="1:13" x14ac:dyDescent="0.3">
      <c r="A952" s="1">
        <v>42591</v>
      </c>
      <c r="B952">
        <v>6.33</v>
      </c>
      <c r="C952">
        <v>4.66</v>
      </c>
      <c r="D952">
        <v>7</v>
      </c>
      <c r="E952">
        <v>29</v>
      </c>
      <c r="F952">
        <v>26</v>
      </c>
      <c r="G952">
        <v>1</v>
      </c>
      <c r="H952">
        <v>2</v>
      </c>
      <c r="I952">
        <v>4</v>
      </c>
      <c r="J952">
        <v>2016</v>
      </c>
      <c r="K952">
        <v>8</v>
      </c>
      <c r="L952">
        <v>276</v>
      </c>
      <c r="M952" t="s">
        <v>17</v>
      </c>
    </row>
    <row r="953" spans="1:13" x14ac:dyDescent="0.3">
      <c r="A953" s="1">
        <v>42592</v>
      </c>
      <c r="B953">
        <v>11.34</v>
      </c>
      <c r="C953">
        <v>2.99</v>
      </c>
      <c r="D953">
        <v>7</v>
      </c>
      <c r="E953">
        <v>24.1</v>
      </c>
      <c r="F953">
        <v>11</v>
      </c>
      <c r="G953">
        <v>0</v>
      </c>
      <c r="H953">
        <v>3</v>
      </c>
      <c r="I953">
        <v>2</v>
      </c>
      <c r="J953">
        <v>2016</v>
      </c>
      <c r="K953">
        <v>8</v>
      </c>
      <c r="L953">
        <v>276</v>
      </c>
      <c r="M953" t="s">
        <v>18</v>
      </c>
    </row>
    <row r="954" spans="1:13" x14ac:dyDescent="0.3">
      <c r="A954" s="1">
        <v>42593</v>
      </c>
      <c r="B954">
        <v>5.67</v>
      </c>
      <c r="C954">
        <v>3.66</v>
      </c>
      <c r="D954">
        <v>0</v>
      </c>
      <c r="E954">
        <v>25</v>
      </c>
      <c r="F954">
        <v>1</v>
      </c>
      <c r="G954">
        <v>0</v>
      </c>
      <c r="H954">
        <v>0</v>
      </c>
      <c r="I954">
        <v>2</v>
      </c>
      <c r="J954">
        <v>2016</v>
      </c>
      <c r="K954">
        <v>8</v>
      </c>
      <c r="L954">
        <v>276</v>
      </c>
      <c r="M954" t="s">
        <v>12</v>
      </c>
    </row>
    <row r="955" spans="1:13" x14ac:dyDescent="0.3">
      <c r="A955" s="1">
        <v>42594</v>
      </c>
      <c r="B955">
        <v>8.66</v>
      </c>
      <c r="C955">
        <v>5.66</v>
      </c>
      <c r="D955">
        <v>6.1</v>
      </c>
      <c r="E955">
        <v>27.6</v>
      </c>
      <c r="F955">
        <v>6</v>
      </c>
      <c r="G955">
        <v>4</v>
      </c>
      <c r="H955">
        <v>0</v>
      </c>
      <c r="I955">
        <v>2</v>
      </c>
      <c r="J955">
        <v>2016</v>
      </c>
      <c r="K955">
        <v>8</v>
      </c>
      <c r="L955">
        <v>276</v>
      </c>
      <c r="M955" t="s">
        <v>13</v>
      </c>
    </row>
    <row r="956" spans="1:13" x14ac:dyDescent="0.3">
      <c r="A956" s="1">
        <v>42595</v>
      </c>
      <c r="B956">
        <v>8</v>
      </c>
      <c r="C956">
        <v>6.7370000000000001</v>
      </c>
      <c r="D956">
        <v>5</v>
      </c>
      <c r="E956">
        <v>32</v>
      </c>
      <c r="F956">
        <v>2</v>
      </c>
      <c r="G956">
        <v>0</v>
      </c>
      <c r="H956">
        <v>0</v>
      </c>
      <c r="I956">
        <v>5</v>
      </c>
      <c r="J956">
        <v>2016</v>
      </c>
      <c r="K956">
        <v>8</v>
      </c>
      <c r="L956">
        <v>276</v>
      </c>
      <c r="M956" t="s">
        <v>14</v>
      </c>
    </row>
    <row r="957" spans="1:13" x14ac:dyDescent="0.3">
      <c r="A957" s="1">
        <v>42596</v>
      </c>
      <c r="B957">
        <v>5</v>
      </c>
      <c r="C957">
        <v>4.8570000000000002</v>
      </c>
      <c r="D957">
        <v>4.5</v>
      </c>
      <c r="E957">
        <v>18.216666669999999</v>
      </c>
      <c r="F957">
        <v>2</v>
      </c>
      <c r="G957">
        <v>0</v>
      </c>
      <c r="H957">
        <v>7</v>
      </c>
      <c r="I957">
        <v>0</v>
      </c>
      <c r="J957">
        <v>2016</v>
      </c>
      <c r="K957">
        <v>8</v>
      </c>
      <c r="L957">
        <v>276</v>
      </c>
      <c r="M957" t="s">
        <v>15</v>
      </c>
    </row>
    <row r="958" spans="1:13" x14ac:dyDescent="0.3">
      <c r="A958" s="1">
        <v>42597</v>
      </c>
      <c r="B958">
        <v>5</v>
      </c>
      <c r="C958">
        <v>2.33</v>
      </c>
      <c r="D958">
        <v>2</v>
      </c>
      <c r="E958">
        <v>21</v>
      </c>
      <c r="F958">
        <v>11</v>
      </c>
      <c r="G958">
        <v>0</v>
      </c>
      <c r="H958">
        <v>0</v>
      </c>
      <c r="I958">
        <v>2</v>
      </c>
      <c r="J958">
        <v>2016</v>
      </c>
      <c r="K958">
        <v>8</v>
      </c>
      <c r="L958">
        <v>276</v>
      </c>
      <c r="M958" t="s">
        <v>16</v>
      </c>
    </row>
    <row r="959" spans="1:13" x14ac:dyDescent="0.3">
      <c r="A959" s="1">
        <v>42598</v>
      </c>
      <c r="B959">
        <v>10</v>
      </c>
      <c r="C959">
        <v>4.66</v>
      </c>
      <c r="D959">
        <v>3</v>
      </c>
      <c r="E959">
        <v>14.45</v>
      </c>
      <c r="F959">
        <v>4</v>
      </c>
      <c r="G959">
        <v>0</v>
      </c>
      <c r="H959">
        <v>11</v>
      </c>
      <c r="I959">
        <v>3.5</v>
      </c>
      <c r="J959">
        <v>2016</v>
      </c>
      <c r="K959">
        <v>8</v>
      </c>
      <c r="L959">
        <v>276</v>
      </c>
      <c r="M959" t="s">
        <v>17</v>
      </c>
    </row>
    <row r="960" spans="1:13" x14ac:dyDescent="0.3">
      <c r="A960" s="1">
        <v>42599</v>
      </c>
      <c r="B960">
        <v>8.66</v>
      </c>
      <c r="C960">
        <v>2.0099999999999998</v>
      </c>
      <c r="D960">
        <v>4</v>
      </c>
      <c r="E960">
        <v>9.5</v>
      </c>
      <c r="F960">
        <v>7</v>
      </c>
      <c r="G960">
        <v>0</v>
      </c>
      <c r="H960">
        <v>5</v>
      </c>
      <c r="I960">
        <v>5</v>
      </c>
      <c r="J960">
        <v>2016</v>
      </c>
      <c r="K960">
        <v>8</v>
      </c>
      <c r="L960">
        <v>276</v>
      </c>
      <c r="M960" t="s">
        <v>18</v>
      </c>
    </row>
    <row r="961" spans="1:13" x14ac:dyDescent="0.3">
      <c r="A961" s="1">
        <v>42600</v>
      </c>
      <c r="B961">
        <v>6.99</v>
      </c>
      <c r="C961">
        <v>3.363</v>
      </c>
      <c r="D961">
        <v>4</v>
      </c>
      <c r="E961">
        <v>25.6</v>
      </c>
      <c r="F961">
        <v>7</v>
      </c>
      <c r="G961">
        <v>0</v>
      </c>
      <c r="H961">
        <v>0</v>
      </c>
      <c r="I961">
        <v>1</v>
      </c>
      <c r="J961">
        <v>2016</v>
      </c>
      <c r="K961">
        <v>8</v>
      </c>
      <c r="L961">
        <v>276</v>
      </c>
      <c r="M961" t="s">
        <v>12</v>
      </c>
    </row>
    <row r="962" spans="1:13" x14ac:dyDescent="0.3">
      <c r="A962" s="1">
        <v>42601</v>
      </c>
      <c r="B962">
        <v>1</v>
      </c>
      <c r="C962">
        <v>4.33</v>
      </c>
      <c r="D962">
        <v>0.6</v>
      </c>
      <c r="E962">
        <v>27</v>
      </c>
      <c r="F962">
        <v>12</v>
      </c>
      <c r="G962">
        <v>0</v>
      </c>
      <c r="H962">
        <v>0</v>
      </c>
      <c r="I962">
        <v>4</v>
      </c>
      <c r="J962">
        <v>2016</v>
      </c>
      <c r="K962">
        <v>8</v>
      </c>
      <c r="L962">
        <v>276</v>
      </c>
      <c r="M962" t="s">
        <v>13</v>
      </c>
    </row>
    <row r="963" spans="1:13" x14ac:dyDescent="0.3">
      <c r="A963" s="1">
        <v>42602</v>
      </c>
      <c r="B963">
        <v>4.33</v>
      </c>
      <c r="C963">
        <v>2.99</v>
      </c>
      <c r="D963">
        <v>6</v>
      </c>
      <c r="E963">
        <v>26.2</v>
      </c>
      <c r="F963">
        <v>1</v>
      </c>
      <c r="G963">
        <v>0</v>
      </c>
      <c r="H963">
        <v>0</v>
      </c>
      <c r="I963">
        <v>6</v>
      </c>
      <c r="J963">
        <v>2016</v>
      </c>
      <c r="K963">
        <v>8</v>
      </c>
      <c r="L963">
        <v>276</v>
      </c>
      <c r="M963" t="s">
        <v>14</v>
      </c>
    </row>
    <row r="964" spans="1:13" x14ac:dyDescent="0.3">
      <c r="A964" s="1">
        <v>42603</v>
      </c>
      <c r="B964">
        <v>8</v>
      </c>
      <c r="C964">
        <v>3.6269999999999998</v>
      </c>
      <c r="D964">
        <v>7.4</v>
      </c>
      <c r="E964">
        <v>39</v>
      </c>
      <c r="F964">
        <v>3</v>
      </c>
      <c r="G964">
        <v>4</v>
      </c>
      <c r="H964">
        <v>1</v>
      </c>
      <c r="I964">
        <v>1</v>
      </c>
      <c r="J964">
        <v>2016</v>
      </c>
      <c r="K964">
        <v>8</v>
      </c>
      <c r="L964">
        <v>276</v>
      </c>
      <c r="M964" t="s">
        <v>15</v>
      </c>
    </row>
    <row r="965" spans="1:13" x14ac:dyDescent="0.3">
      <c r="A965" s="1">
        <v>42604</v>
      </c>
      <c r="B965">
        <v>3.34</v>
      </c>
      <c r="C965">
        <v>3.3860000000000001</v>
      </c>
      <c r="D965">
        <v>0</v>
      </c>
      <c r="E965">
        <v>23.2</v>
      </c>
      <c r="F965">
        <v>3</v>
      </c>
      <c r="G965">
        <v>0</v>
      </c>
      <c r="H965">
        <v>0</v>
      </c>
      <c r="I965">
        <v>6</v>
      </c>
      <c r="J965">
        <v>2016</v>
      </c>
      <c r="K965">
        <v>8</v>
      </c>
      <c r="L965">
        <v>276</v>
      </c>
      <c r="M965" t="s">
        <v>16</v>
      </c>
    </row>
    <row r="966" spans="1:13" x14ac:dyDescent="0.3">
      <c r="A966" s="1">
        <v>42605</v>
      </c>
      <c r="B966">
        <v>3</v>
      </c>
      <c r="C966">
        <v>3.0659999999999998</v>
      </c>
      <c r="D966">
        <v>4</v>
      </c>
      <c r="E966">
        <v>14.7</v>
      </c>
      <c r="F966">
        <v>7</v>
      </c>
      <c r="G966">
        <v>1</v>
      </c>
      <c r="H966">
        <v>0</v>
      </c>
      <c r="I966">
        <v>1.2</v>
      </c>
      <c r="J966">
        <v>2016</v>
      </c>
      <c r="K966">
        <v>8</v>
      </c>
      <c r="L966">
        <v>276</v>
      </c>
      <c r="M966" t="s">
        <v>17</v>
      </c>
    </row>
    <row r="967" spans="1:13" x14ac:dyDescent="0.3">
      <c r="A967" s="1">
        <v>42606</v>
      </c>
      <c r="B967">
        <v>9.33</v>
      </c>
      <c r="C967">
        <v>3.4870000000000001</v>
      </c>
      <c r="D967">
        <v>8</v>
      </c>
      <c r="E967">
        <v>11.3</v>
      </c>
      <c r="F967">
        <v>2</v>
      </c>
      <c r="G967">
        <v>0</v>
      </c>
      <c r="H967">
        <v>0</v>
      </c>
      <c r="I967">
        <v>3</v>
      </c>
      <c r="J967">
        <v>2016</v>
      </c>
      <c r="K967">
        <v>8</v>
      </c>
      <c r="L967">
        <v>276</v>
      </c>
      <c r="M967" t="s">
        <v>18</v>
      </c>
    </row>
    <row r="968" spans="1:13" x14ac:dyDescent="0.3">
      <c r="A968" s="1">
        <v>42607</v>
      </c>
      <c r="B968">
        <v>4.33</v>
      </c>
      <c r="C968">
        <v>2.67</v>
      </c>
      <c r="D968">
        <v>8</v>
      </c>
      <c r="E968">
        <v>19.399999999999999</v>
      </c>
      <c r="F968">
        <v>4</v>
      </c>
      <c r="G968">
        <v>1</v>
      </c>
      <c r="H968">
        <v>4</v>
      </c>
      <c r="I968">
        <v>5</v>
      </c>
      <c r="J968">
        <v>2016</v>
      </c>
      <c r="K968">
        <v>8</v>
      </c>
      <c r="L968">
        <v>276</v>
      </c>
      <c r="M968" t="s">
        <v>12</v>
      </c>
    </row>
    <row r="969" spans="1:13" x14ac:dyDescent="0.3">
      <c r="A969" s="1">
        <v>42608</v>
      </c>
      <c r="B969">
        <v>4</v>
      </c>
      <c r="C969">
        <v>2.0230000000000001</v>
      </c>
      <c r="D969">
        <v>2</v>
      </c>
      <c r="E969">
        <v>20.7</v>
      </c>
      <c r="F969">
        <v>3</v>
      </c>
      <c r="G969">
        <v>0</v>
      </c>
      <c r="H969">
        <v>0</v>
      </c>
      <c r="I969">
        <v>0</v>
      </c>
      <c r="J969">
        <v>2016</v>
      </c>
      <c r="K969">
        <v>8</v>
      </c>
      <c r="L969">
        <v>276</v>
      </c>
      <c r="M969" t="s">
        <v>13</v>
      </c>
    </row>
    <row r="970" spans="1:13" x14ac:dyDescent="0.3">
      <c r="A970" s="1">
        <v>42609</v>
      </c>
      <c r="B970">
        <v>8.83</v>
      </c>
      <c r="C970">
        <v>1.736</v>
      </c>
      <c r="D970">
        <v>1</v>
      </c>
      <c r="E970">
        <v>17.516666669999999</v>
      </c>
      <c r="F970">
        <v>2</v>
      </c>
      <c r="G970">
        <v>0</v>
      </c>
      <c r="H970">
        <v>11</v>
      </c>
      <c r="I970">
        <v>0</v>
      </c>
      <c r="J970">
        <v>2016</v>
      </c>
      <c r="K970">
        <v>8</v>
      </c>
      <c r="L970">
        <v>276</v>
      </c>
      <c r="M970" t="s">
        <v>14</v>
      </c>
    </row>
    <row r="971" spans="1:13" x14ac:dyDescent="0.3">
      <c r="A971" s="1">
        <v>42610</v>
      </c>
      <c r="B971">
        <v>7.33</v>
      </c>
      <c r="C971">
        <v>7.02</v>
      </c>
      <c r="D971">
        <v>6.2</v>
      </c>
      <c r="E971">
        <v>37</v>
      </c>
      <c r="F971">
        <v>3</v>
      </c>
      <c r="G971">
        <v>0</v>
      </c>
      <c r="H971">
        <v>6</v>
      </c>
      <c r="I971">
        <v>2</v>
      </c>
      <c r="J971">
        <v>2016</v>
      </c>
      <c r="K971">
        <v>8</v>
      </c>
      <c r="L971">
        <v>276</v>
      </c>
      <c r="M971" t="s">
        <v>15</v>
      </c>
    </row>
    <row r="972" spans="1:13" x14ac:dyDescent="0.3">
      <c r="A972" s="1">
        <v>42611</v>
      </c>
      <c r="B972">
        <v>9</v>
      </c>
      <c r="C972">
        <v>0.67</v>
      </c>
      <c r="D972">
        <v>2</v>
      </c>
      <c r="E972">
        <v>14.2</v>
      </c>
      <c r="F972">
        <v>4</v>
      </c>
      <c r="G972">
        <v>0</v>
      </c>
      <c r="H972">
        <v>1</v>
      </c>
      <c r="I972">
        <v>1.3</v>
      </c>
      <c r="J972">
        <v>2016</v>
      </c>
      <c r="K972">
        <v>8</v>
      </c>
      <c r="L972">
        <v>276</v>
      </c>
      <c r="M972" t="s">
        <v>16</v>
      </c>
    </row>
    <row r="973" spans="1:13" x14ac:dyDescent="0.3">
      <c r="A973" s="1">
        <v>42612</v>
      </c>
      <c r="B973">
        <v>4.66</v>
      </c>
      <c r="C973">
        <v>1.32</v>
      </c>
      <c r="D973">
        <v>2</v>
      </c>
      <c r="E973">
        <v>8.9</v>
      </c>
      <c r="F973">
        <v>4</v>
      </c>
      <c r="G973">
        <v>0</v>
      </c>
      <c r="H973">
        <v>1</v>
      </c>
      <c r="I973">
        <v>0</v>
      </c>
      <c r="J973">
        <v>2016</v>
      </c>
      <c r="K973">
        <v>8</v>
      </c>
      <c r="L973">
        <v>276</v>
      </c>
      <c r="M973" t="s">
        <v>17</v>
      </c>
    </row>
    <row r="974" spans="1:13" x14ac:dyDescent="0.3">
      <c r="A974" s="1">
        <v>42613</v>
      </c>
      <c r="B974">
        <v>6</v>
      </c>
      <c r="C974">
        <v>5.827</v>
      </c>
      <c r="D974">
        <v>5</v>
      </c>
      <c r="E974">
        <v>23.2</v>
      </c>
      <c r="F974">
        <v>3</v>
      </c>
      <c r="G974">
        <v>0</v>
      </c>
      <c r="H974">
        <v>1</v>
      </c>
      <c r="I974">
        <v>5</v>
      </c>
      <c r="J974">
        <v>2016</v>
      </c>
      <c r="K974">
        <v>8</v>
      </c>
      <c r="L974">
        <v>276</v>
      </c>
      <c r="M974" t="s">
        <v>18</v>
      </c>
    </row>
    <row r="975" spans="1:13" x14ac:dyDescent="0.3">
      <c r="A975" s="1">
        <v>42614</v>
      </c>
      <c r="B975">
        <v>5</v>
      </c>
      <c r="C975">
        <v>3.66</v>
      </c>
      <c r="D975">
        <v>5</v>
      </c>
      <c r="E975">
        <v>31.4</v>
      </c>
      <c r="F975">
        <v>2</v>
      </c>
      <c r="G975">
        <v>0</v>
      </c>
      <c r="H975">
        <v>0</v>
      </c>
      <c r="I975">
        <v>3</v>
      </c>
      <c r="J975">
        <v>2016</v>
      </c>
      <c r="K975">
        <v>9</v>
      </c>
      <c r="L975">
        <v>276</v>
      </c>
      <c r="M975" t="s">
        <v>12</v>
      </c>
    </row>
    <row r="976" spans="1:13" x14ac:dyDescent="0.3">
      <c r="A976" s="1">
        <v>42615</v>
      </c>
      <c r="B976">
        <v>9.34</v>
      </c>
      <c r="C976">
        <v>4.0199999999999996</v>
      </c>
      <c r="D976">
        <v>5</v>
      </c>
      <c r="E976">
        <v>10</v>
      </c>
      <c r="F976">
        <v>25</v>
      </c>
      <c r="G976">
        <v>0</v>
      </c>
      <c r="H976">
        <v>5</v>
      </c>
      <c r="I976">
        <v>2</v>
      </c>
      <c r="J976">
        <v>2016</v>
      </c>
      <c r="K976">
        <v>9</v>
      </c>
      <c r="L976">
        <v>276</v>
      </c>
      <c r="M976" t="s">
        <v>13</v>
      </c>
    </row>
    <row r="977" spans="1:13" x14ac:dyDescent="0.3">
      <c r="A977" s="1">
        <v>42616</v>
      </c>
      <c r="B977">
        <v>5.33</v>
      </c>
      <c r="C977">
        <v>4.0250000000000004</v>
      </c>
      <c r="D977">
        <v>6.5</v>
      </c>
      <c r="E977">
        <v>54.2</v>
      </c>
      <c r="F977">
        <v>5</v>
      </c>
      <c r="G977">
        <v>0</v>
      </c>
      <c r="H977">
        <v>4</v>
      </c>
      <c r="I977">
        <v>4</v>
      </c>
      <c r="J977">
        <v>2016</v>
      </c>
      <c r="K977">
        <v>9</v>
      </c>
      <c r="L977">
        <v>276</v>
      </c>
      <c r="M977" t="s">
        <v>14</v>
      </c>
    </row>
    <row r="978" spans="1:13" x14ac:dyDescent="0.3">
      <c r="A978" s="1">
        <v>42617</v>
      </c>
      <c r="B978">
        <v>8.33</v>
      </c>
      <c r="C978">
        <v>4.3959999999999999</v>
      </c>
      <c r="D978">
        <v>0</v>
      </c>
      <c r="E978">
        <v>30.9</v>
      </c>
      <c r="F978">
        <v>10</v>
      </c>
      <c r="G978">
        <v>0</v>
      </c>
      <c r="H978">
        <v>4</v>
      </c>
      <c r="I978">
        <v>5</v>
      </c>
      <c r="J978">
        <v>2016</v>
      </c>
      <c r="K978">
        <v>9</v>
      </c>
      <c r="L978">
        <v>276</v>
      </c>
      <c r="M978" t="s">
        <v>15</v>
      </c>
    </row>
    <row r="979" spans="1:13" x14ac:dyDescent="0.3">
      <c r="A979" s="1">
        <v>42618</v>
      </c>
      <c r="B979">
        <v>3.32</v>
      </c>
      <c r="C979">
        <v>4.3959999999999999</v>
      </c>
      <c r="D979">
        <v>2</v>
      </c>
      <c r="E979">
        <v>34.299999999999997</v>
      </c>
      <c r="F979">
        <v>8</v>
      </c>
      <c r="G979">
        <v>2</v>
      </c>
      <c r="H979">
        <v>2</v>
      </c>
      <c r="I979">
        <v>4</v>
      </c>
      <c r="J979">
        <v>2016</v>
      </c>
      <c r="K979">
        <v>9</v>
      </c>
      <c r="L979">
        <v>276</v>
      </c>
      <c r="M979" t="s">
        <v>16</v>
      </c>
    </row>
    <row r="980" spans="1:13" x14ac:dyDescent="0.3">
      <c r="A980" s="1">
        <v>42619</v>
      </c>
      <c r="B980">
        <v>5</v>
      </c>
      <c r="C980">
        <v>1.33</v>
      </c>
      <c r="D980">
        <v>1</v>
      </c>
      <c r="E980">
        <v>32.799999999999997</v>
      </c>
      <c r="F980">
        <v>14</v>
      </c>
      <c r="G980">
        <v>3</v>
      </c>
      <c r="H980">
        <v>0</v>
      </c>
      <c r="I980">
        <v>3</v>
      </c>
      <c r="J980">
        <v>2016</v>
      </c>
      <c r="K980">
        <v>9</v>
      </c>
      <c r="L980">
        <v>276</v>
      </c>
      <c r="M980" t="s">
        <v>17</v>
      </c>
    </row>
    <row r="981" spans="1:13" x14ac:dyDescent="0.3">
      <c r="A981" s="1">
        <v>42620</v>
      </c>
      <c r="B981">
        <v>2.33</v>
      </c>
      <c r="C981">
        <v>2.19</v>
      </c>
      <c r="D981">
        <v>3</v>
      </c>
      <c r="E981">
        <v>37.6</v>
      </c>
      <c r="F981">
        <v>14</v>
      </c>
      <c r="G981">
        <v>0</v>
      </c>
      <c r="H981">
        <v>0</v>
      </c>
      <c r="I981">
        <v>3</v>
      </c>
      <c r="J981">
        <v>2016</v>
      </c>
      <c r="K981">
        <v>9</v>
      </c>
      <c r="L981">
        <v>276</v>
      </c>
      <c r="M981" t="s">
        <v>18</v>
      </c>
    </row>
    <row r="982" spans="1:13" x14ac:dyDescent="0.3">
      <c r="A982" s="1">
        <v>42621</v>
      </c>
      <c r="B982">
        <v>6</v>
      </c>
      <c r="C982">
        <v>2.99</v>
      </c>
      <c r="D982">
        <v>4</v>
      </c>
      <c r="E982">
        <v>33</v>
      </c>
      <c r="F982">
        <v>8</v>
      </c>
      <c r="G982">
        <v>1</v>
      </c>
      <c r="H982">
        <v>0</v>
      </c>
      <c r="I982">
        <v>0</v>
      </c>
      <c r="J982">
        <v>2016</v>
      </c>
      <c r="K982">
        <v>9</v>
      </c>
      <c r="L982">
        <v>276</v>
      </c>
      <c r="M982" t="s">
        <v>12</v>
      </c>
    </row>
    <row r="983" spans="1:13" x14ac:dyDescent="0.3">
      <c r="A983" s="1">
        <v>42622</v>
      </c>
      <c r="B983">
        <v>4.99</v>
      </c>
      <c r="C983">
        <v>3.99</v>
      </c>
      <c r="D983">
        <v>3.25</v>
      </c>
      <c r="E983">
        <v>26.123999999999999</v>
      </c>
      <c r="F983">
        <v>11</v>
      </c>
      <c r="G983">
        <v>2</v>
      </c>
      <c r="H983">
        <v>10</v>
      </c>
      <c r="I983">
        <v>3</v>
      </c>
      <c r="J983">
        <v>2016</v>
      </c>
      <c r="K983">
        <v>9</v>
      </c>
      <c r="L983">
        <v>276</v>
      </c>
      <c r="M983" t="s">
        <v>13</v>
      </c>
    </row>
    <row r="984" spans="1:13" x14ac:dyDescent="0.3">
      <c r="A984" s="1">
        <v>42623</v>
      </c>
      <c r="B984">
        <v>8.33</v>
      </c>
      <c r="C984">
        <v>11.31</v>
      </c>
      <c r="D984">
        <v>10</v>
      </c>
      <c r="E984">
        <v>34</v>
      </c>
      <c r="F984">
        <v>9</v>
      </c>
      <c r="G984">
        <v>0</v>
      </c>
      <c r="H984">
        <v>4</v>
      </c>
      <c r="I984">
        <v>3</v>
      </c>
      <c r="J984">
        <v>2016</v>
      </c>
      <c r="K984">
        <v>9</v>
      </c>
      <c r="L984">
        <v>276</v>
      </c>
      <c r="M984" t="s">
        <v>14</v>
      </c>
    </row>
    <row r="985" spans="1:13" x14ac:dyDescent="0.3">
      <c r="A985" s="1">
        <v>42624</v>
      </c>
      <c r="B985">
        <v>2.66</v>
      </c>
      <c r="C985">
        <v>6.99</v>
      </c>
      <c r="D985">
        <v>7.1</v>
      </c>
      <c r="E985">
        <v>57.2</v>
      </c>
      <c r="F985">
        <v>8</v>
      </c>
      <c r="G985">
        <v>0</v>
      </c>
      <c r="H985">
        <v>10</v>
      </c>
      <c r="I985">
        <v>4</v>
      </c>
      <c r="J985">
        <v>2016</v>
      </c>
      <c r="K985">
        <v>9</v>
      </c>
      <c r="L985">
        <v>276</v>
      </c>
      <c r="M985" t="s">
        <v>15</v>
      </c>
    </row>
    <row r="986" spans="1:13" x14ac:dyDescent="0.3">
      <c r="A986" s="1">
        <v>42625</v>
      </c>
      <c r="B986">
        <v>7</v>
      </c>
      <c r="C986">
        <v>6</v>
      </c>
      <c r="D986">
        <v>4</v>
      </c>
      <c r="E986">
        <v>24</v>
      </c>
      <c r="F986">
        <v>10</v>
      </c>
      <c r="G986">
        <v>0</v>
      </c>
      <c r="H986">
        <v>8</v>
      </c>
      <c r="I986">
        <v>4</v>
      </c>
      <c r="J986">
        <v>2016</v>
      </c>
      <c r="K986">
        <v>9</v>
      </c>
      <c r="L986">
        <v>276</v>
      </c>
      <c r="M986" t="s">
        <v>16</v>
      </c>
    </row>
    <row r="987" spans="1:13" x14ac:dyDescent="0.3">
      <c r="A987" s="1">
        <v>42626</v>
      </c>
      <c r="B987">
        <v>7</v>
      </c>
      <c r="C987">
        <v>5.7590000000000003</v>
      </c>
      <c r="D987">
        <v>4</v>
      </c>
      <c r="E987">
        <v>32</v>
      </c>
      <c r="F987">
        <v>13</v>
      </c>
      <c r="G987">
        <v>0</v>
      </c>
      <c r="H987">
        <v>2</v>
      </c>
      <c r="I987">
        <v>0</v>
      </c>
      <c r="J987">
        <v>2016</v>
      </c>
      <c r="K987">
        <v>9</v>
      </c>
      <c r="L987">
        <v>276</v>
      </c>
      <c r="M987" t="s">
        <v>17</v>
      </c>
    </row>
    <row r="988" spans="1:13" x14ac:dyDescent="0.3">
      <c r="A988" s="1">
        <v>42627</v>
      </c>
      <c r="B988">
        <v>6</v>
      </c>
      <c r="C988">
        <v>3.7919999999999998</v>
      </c>
      <c r="D988">
        <v>2.5</v>
      </c>
      <c r="E988">
        <v>24.4</v>
      </c>
      <c r="F988">
        <v>7</v>
      </c>
      <c r="G988">
        <v>0</v>
      </c>
      <c r="H988">
        <v>8</v>
      </c>
      <c r="I988">
        <v>2</v>
      </c>
      <c r="J988">
        <v>2016</v>
      </c>
      <c r="K988">
        <v>9</v>
      </c>
      <c r="L988">
        <v>276</v>
      </c>
      <c r="M988" t="s">
        <v>18</v>
      </c>
    </row>
    <row r="989" spans="1:13" x14ac:dyDescent="0.3">
      <c r="A989" s="1">
        <v>42628</v>
      </c>
      <c r="B989">
        <v>3</v>
      </c>
      <c r="C989">
        <v>6.6280000000000001</v>
      </c>
      <c r="D989">
        <v>2</v>
      </c>
      <c r="E989">
        <v>38</v>
      </c>
      <c r="F989">
        <v>31</v>
      </c>
      <c r="G989">
        <v>0</v>
      </c>
      <c r="H989">
        <v>3</v>
      </c>
      <c r="I989">
        <v>1</v>
      </c>
      <c r="J989">
        <v>2016</v>
      </c>
      <c r="K989">
        <v>9</v>
      </c>
      <c r="L989">
        <v>276</v>
      </c>
      <c r="M989" t="s">
        <v>12</v>
      </c>
    </row>
    <row r="990" spans="1:13" x14ac:dyDescent="0.3">
      <c r="A990" s="1">
        <v>42629</v>
      </c>
      <c r="B990">
        <v>2</v>
      </c>
      <c r="C990">
        <v>1.33</v>
      </c>
      <c r="D990">
        <v>4</v>
      </c>
      <c r="E990">
        <v>26.3</v>
      </c>
      <c r="F990">
        <v>17</v>
      </c>
      <c r="G990">
        <v>0</v>
      </c>
      <c r="H990">
        <v>3</v>
      </c>
      <c r="I990">
        <v>0</v>
      </c>
      <c r="J990">
        <v>2016</v>
      </c>
      <c r="K990">
        <v>9</v>
      </c>
      <c r="L990">
        <v>276</v>
      </c>
      <c r="M990" t="s">
        <v>13</v>
      </c>
    </row>
    <row r="991" spans="1:13" x14ac:dyDescent="0.3">
      <c r="A991" s="1">
        <v>42630</v>
      </c>
      <c r="B991">
        <v>6.67</v>
      </c>
      <c r="C991">
        <v>3.6930000000000001</v>
      </c>
      <c r="D991">
        <v>2.4</v>
      </c>
      <c r="E991">
        <v>56</v>
      </c>
      <c r="F991">
        <v>11</v>
      </c>
      <c r="G991">
        <v>0</v>
      </c>
      <c r="H991">
        <v>5</v>
      </c>
      <c r="I991">
        <v>4.0999999999999996</v>
      </c>
      <c r="J991">
        <v>2016</v>
      </c>
      <c r="K991">
        <v>9</v>
      </c>
      <c r="L991">
        <v>276</v>
      </c>
      <c r="M991" t="s">
        <v>14</v>
      </c>
    </row>
    <row r="992" spans="1:13" x14ac:dyDescent="0.3">
      <c r="A992" s="1">
        <v>42631</v>
      </c>
      <c r="B992">
        <v>5.99</v>
      </c>
      <c r="C992">
        <v>7.32</v>
      </c>
      <c r="D992">
        <v>2</v>
      </c>
      <c r="E992">
        <v>24.45</v>
      </c>
      <c r="F992">
        <v>4</v>
      </c>
      <c r="G992">
        <v>0</v>
      </c>
      <c r="H992">
        <v>8</v>
      </c>
      <c r="I992">
        <v>1</v>
      </c>
      <c r="J992">
        <v>2016</v>
      </c>
      <c r="K992">
        <v>9</v>
      </c>
      <c r="L992">
        <v>276</v>
      </c>
      <c r="M992" t="s">
        <v>15</v>
      </c>
    </row>
    <row r="993" spans="1:13" x14ac:dyDescent="0.3">
      <c r="A993" s="1">
        <v>42632</v>
      </c>
      <c r="B993">
        <v>4</v>
      </c>
      <c r="C993">
        <v>3.3959999999999999</v>
      </c>
      <c r="D993">
        <v>2.15</v>
      </c>
      <c r="E993">
        <v>31</v>
      </c>
      <c r="F993">
        <v>11</v>
      </c>
      <c r="G993">
        <v>2</v>
      </c>
      <c r="H993">
        <v>0</v>
      </c>
      <c r="I993">
        <v>1</v>
      </c>
      <c r="J993">
        <v>2016</v>
      </c>
      <c r="K993">
        <v>9</v>
      </c>
      <c r="L993">
        <v>276</v>
      </c>
      <c r="M993" t="s">
        <v>16</v>
      </c>
    </row>
    <row r="994" spans="1:13" x14ac:dyDescent="0.3">
      <c r="A994" s="1">
        <v>42633</v>
      </c>
      <c r="B994">
        <v>4.67</v>
      </c>
      <c r="C994">
        <v>2.7919999999999998</v>
      </c>
      <c r="D994">
        <v>3</v>
      </c>
      <c r="E994">
        <v>33.4</v>
      </c>
      <c r="F994">
        <v>14</v>
      </c>
      <c r="G994">
        <v>0</v>
      </c>
      <c r="H994">
        <v>4</v>
      </c>
      <c r="I994">
        <v>1</v>
      </c>
      <c r="J994">
        <v>2016</v>
      </c>
      <c r="K994">
        <v>9</v>
      </c>
      <c r="L994">
        <v>276</v>
      </c>
      <c r="M994" t="s">
        <v>17</v>
      </c>
    </row>
    <row r="995" spans="1:13" x14ac:dyDescent="0.3">
      <c r="A995" s="1">
        <v>42634</v>
      </c>
      <c r="B995">
        <v>8.34</v>
      </c>
      <c r="C995">
        <v>4.3099999999999996</v>
      </c>
      <c r="D995">
        <v>3.05</v>
      </c>
      <c r="E995">
        <v>19.7</v>
      </c>
      <c r="F995">
        <v>12</v>
      </c>
      <c r="G995">
        <v>0</v>
      </c>
      <c r="H995">
        <v>3</v>
      </c>
      <c r="I995">
        <v>2</v>
      </c>
      <c r="J995">
        <v>2016</v>
      </c>
      <c r="K995">
        <v>9</v>
      </c>
      <c r="L995">
        <v>276</v>
      </c>
      <c r="M995" t="s">
        <v>18</v>
      </c>
    </row>
    <row r="996" spans="1:13" x14ac:dyDescent="0.3">
      <c r="A996" s="1">
        <v>42635</v>
      </c>
      <c r="B996">
        <v>6.33</v>
      </c>
      <c r="C996">
        <v>2.33</v>
      </c>
      <c r="D996">
        <v>2.1</v>
      </c>
      <c r="E996">
        <v>29.4</v>
      </c>
      <c r="F996">
        <v>6</v>
      </c>
      <c r="G996">
        <v>0</v>
      </c>
      <c r="H996">
        <v>4</v>
      </c>
      <c r="I996">
        <v>3</v>
      </c>
      <c r="J996">
        <v>2016</v>
      </c>
      <c r="K996">
        <v>9</v>
      </c>
      <c r="L996">
        <v>276</v>
      </c>
      <c r="M996" t="s">
        <v>12</v>
      </c>
    </row>
    <row r="997" spans="1:13" x14ac:dyDescent="0.3">
      <c r="A997" s="1">
        <v>42636</v>
      </c>
      <c r="B997">
        <v>2.33</v>
      </c>
      <c r="C997">
        <v>6.99</v>
      </c>
      <c r="D997">
        <v>6</v>
      </c>
      <c r="E997">
        <v>28.4</v>
      </c>
      <c r="F997">
        <v>13</v>
      </c>
      <c r="G997">
        <v>3</v>
      </c>
      <c r="H997">
        <v>7</v>
      </c>
      <c r="I997">
        <v>1</v>
      </c>
      <c r="J997">
        <v>2016</v>
      </c>
      <c r="K997">
        <v>9</v>
      </c>
      <c r="L997">
        <v>276</v>
      </c>
      <c r="M997" t="s">
        <v>13</v>
      </c>
    </row>
    <row r="998" spans="1:13" x14ac:dyDescent="0.3">
      <c r="A998" s="1">
        <v>42637</v>
      </c>
      <c r="B998">
        <v>2</v>
      </c>
      <c r="C998">
        <v>3.7789999999999999</v>
      </c>
      <c r="D998">
        <v>6.2</v>
      </c>
      <c r="E998">
        <v>61.2</v>
      </c>
      <c r="F998">
        <v>8</v>
      </c>
      <c r="G998">
        <v>0</v>
      </c>
      <c r="H998">
        <v>1</v>
      </c>
      <c r="I998">
        <v>1</v>
      </c>
      <c r="J998">
        <v>2016</v>
      </c>
      <c r="K998">
        <v>9</v>
      </c>
      <c r="L998">
        <v>276</v>
      </c>
      <c r="M998" t="s">
        <v>14</v>
      </c>
    </row>
    <row r="999" spans="1:13" x14ac:dyDescent="0.3">
      <c r="A999" s="1">
        <v>42638</v>
      </c>
      <c r="B999">
        <v>6</v>
      </c>
      <c r="C999">
        <v>4.33</v>
      </c>
      <c r="D999">
        <v>3</v>
      </c>
      <c r="E999">
        <v>61.125</v>
      </c>
      <c r="F999">
        <v>3</v>
      </c>
      <c r="G999">
        <v>0</v>
      </c>
      <c r="H999">
        <v>10</v>
      </c>
      <c r="I999">
        <v>2</v>
      </c>
      <c r="J999">
        <v>2016</v>
      </c>
      <c r="K999">
        <v>9</v>
      </c>
      <c r="L999">
        <v>276</v>
      </c>
      <c r="M999" t="s">
        <v>15</v>
      </c>
    </row>
    <row r="1000" spans="1:13" x14ac:dyDescent="0.3">
      <c r="A1000" s="1">
        <v>42639</v>
      </c>
      <c r="B1000">
        <v>5.99</v>
      </c>
      <c r="C1000">
        <v>1</v>
      </c>
      <c r="D1000">
        <v>4</v>
      </c>
      <c r="E1000">
        <v>57.6</v>
      </c>
      <c r="F1000">
        <v>4</v>
      </c>
      <c r="G1000">
        <v>2</v>
      </c>
      <c r="H1000">
        <v>4</v>
      </c>
      <c r="I1000">
        <v>1</v>
      </c>
      <c r="J1000">
        <v>2016</v>
      </c>
      <c r="K1000">
        <v>9</v>
      </c>
      <c r="L1000">
        <v>276</v>
      </c>
      <c r="M1000" t="s">
        <v>16</v>
      </c>
    </row>
    <row r="1001" spans="1:13" x14ac:dyDescent="0.3">
      <c r="A1001" s="1">
        <v>42640</v>
      </c>
      <c r="B1001">
        <v>7</v>
      </c>
      <c r="C1001">
        <v>4.67</v>
      </c>
      <c r="D1001">
        <v>7.4</v>
      </c>
      <c r="E1001">
        <v>51.7</v>
      </c>
      <c r="F1001">
        <v>17</v>
      </c>
      <c r="G1001">
        <v>3</v>
      </c>
      <c r="H1001">
        <v>1</v>
      </c>
      <c r="I1001">
        <v>3</v>
      </c>
      <c r="J1001">
        <v>2016</v>
      </c>
      <c r="K1001">
        <v>9</v>
      </c>
      <c r="L1001">
        <v>276</v>
      </c>
      <c r="M1001" t="s">
        <v>17</v>
      </c>
    </row>
    <row r="1002" spans="1:13" x14ac:dyDescent="0.3">
      <c r="A1002" s="1">
        <v>42641</v>
      </c>
      <c r="B1002">
        <v>13.68</v>
      </c>
      <c r="C1002">
        <v>1.802</v>
      </c>
      <c r="D1002">
        <v>5.45</v>
      </c>
      <c r="E1002">
        <v>64.5</v>
      </c>
      <c r="F1002">
        <v>3</v>
      </c>
      <c r="G1002">
        <v>0</v>
      </c>
      <c r="H1002">
        <v>0</v>
      </c>
      <c r="I1002">
        <v>4</v>
      </c>
      <c r="J1002">
        <v>2016</v>
      </c>
      <c r="K1002">
        <v>9</v>
      </c>
      <c r="L1002">
        <v>276</v>
      </c>
      <c r="M1002" t="s">
        <v>18</v>
      </c>
    </row>
    <row r="1003" spans="1:13" x14ac:dyDescent="0.3">
      <c r="A1003" s="1">
        <v>42642</v>
      </c>
      <c r="B1003">
        <v>7.33</v>
      </c>
      <c r="C1003">
        <v>2</v>
      </c>
      <c r="D1003">
        <v>4</v>
      </c>
      <c r="E1003">
        <v>50.6</v>
      </c>
      <c r="F1003">
        <v>4</v>
      </c>
      <c r="G1003">
        <v>0</v>
      </c>
      <c r="H1003">
        <v>1</v>
      </c>
      <c r="I1003">
        <v>1.2</v>
      </c>
      <c r="J1003">
        <v>2016</v>
      </c>
      <c r="K1003">
        <v>9</v>
      </c>
      <c r="L1003">
        <v>276</v>
      </c>
      <c r="M1003" t="s">
        <v>12</v>
      </c>
    </row>
    <row r="1004" spans="1:13" x14ac:dyDescent="0.3">
      <c r="A1004" s="1">
        <v>42643</v>
      </c>
      <c r="B1004">
        <v>7</v>
      </c>
      <c r="C1004">
        <v>5</v>
      </c>
      <c r="D1004">
        <v>2.6</v>
      </c>
      <c r="E1004">
        <v>23.4</v>
      </c>
      <c r="F1004">
        <v>5</v>
      </c>
      <c r="G1004">
        <v>0</v>
      </c>
      <c r="H1004">
        <v>10</v>
      </c>
      <c r="I1004">
        <v>3</v>
      </c>
      <c r="J1004">
        <v>2016</v>
      </c>
      <c r="K1004">
        <v>9</v>
      </c>
      <c r="L1004">
        <v>276</v>
      </c>
      <c r="M1004" t="s">
        <v>13</v>
      </c>
    </row>
    <row r="1005" spans="1:13" x14ac:dyDescent="0.3">
      <c r="A1005" s="1">
        <v>42644</v>
      </c>
      <c r="B1005">
        <v>7.33</v>
      </c>
      <c r="C1005">
        <v>7.65</v>
      </c>
      <c r="D1005">
        <v>1.2</v>
      </c>
      <c r="E1005">
        <v>54.037999999999997</v>
      </c>
      <c r="F1005">
        <v>5</v>
      </c>
      <c r="G1005">
        <v>0</v>
      </c>
      <c r="H1005">
        <v>4</v>
      </c>
      <c r="I1005">
        <v>2</v>
      </c>
      <c r="J1005">
        <v>2016</v>
      </c>
      <c r="K1005">
        <v>10</v>
      </c>
      <c r="L1005">
        <v>276</v>
      </c>
      <c r="M1005" t="s">
        <v>14</v>
      </c>
    </row>
    <row r="1006" spans="1:13" x14ac:dyDescent="0.3">
      <c r="A1006" s="1">
        <v>42645</v>
      </c>
      <c r="B1006">
        <v>17</v>
      </c>
      <c r="C1006">
        <v>4.056</v>
      </c>
      <c r="D1006">
        <v>9.6999999999999993</v>
      </c>
      <c r="E1006">
        <v>80.5</v>
      </c>
      <c r="F1006">
        <v>6</v>
      </c>
      <c r="G1006">
        <v>0</v>
      </c>
      <c r="H1006">
        <v>18</v>
      </c>
      <c r="I1006">
        <v>3</v>
      </c>
      <c r="J1006">
        <v>2016</v>
      </c>
      <c r="K1006">
        <v>10</v>
      </c>
      <c r="L1006">
        <v>276</v>
      </c>
      <c r="M1006" t="s">
        <v>15</v>
      </c>
    </row>
    <row r="1007" spans="1:13" x14ac:dyDescent="0.3">
      <c r="A1007" s="1">
        <v>42646</v>
      </c>
      <c r="B1007">
        <v>3.33</v>
      </c>
      <c r="C1007">
        <v>5.33</v>
      </c>
      <c r="D1007">
        <v>3</v>
      </c>
      <c r="E1007">
        <v>59.661999999999999</v>
      </c>
      <c r="F1007">
        <v>2</v>
      </c>
      <c r="G1007">
        <v>2</v>
      </c>
      <c r="H1007">
        <v>17</v>
      </c>
      <c r="I1007">
        <v>3</v>
      </c>
      <c r="J1007">
        <v>2016</v>
      </c>
      <c r="K1007">
        <v>10</v>
      </c>
      <c r="L1007">
        <v>276</v>
      </c>
      <c r="M1007" t="s">
        <v>16</v>
      </c>
    </row>
    <row r="1008" spans="1:13" x14ac:dyDescent="0.3">
      <c r="A1008" s="1">
        <v>42647</v>
      </c>
      <c r="B1008">
        <v>6.33</v>
      </c>
      <c r="C1008">
        <v>2.99</v>
      </c>
      <c r="D1008">
        <v>6</v>
      </c>
      <c r="E1008">
        <v>47.6</v>
      </c>
      <c r="F1008">
        <v>8</v>
      </c>
      <c r="G1008">
        <v>0</v>
      </c>
      <c r="H1008">
        <v>10</v>
      </c>
      <c r="I1008">
        <v>2.5</v>
      </c>
      <c r="J1008">
        <v>2016</v>
      </c>
      <c r="K1008">
        <v>10</v>
      </c>
      <c r="L1008">
        <v>276</v>
      </c>
      <c r="M1008" t="s">
        <v>17</v>
      </c>
    </row>
    <row r="1009" spans="1:13" x14ac:dyDescent="0.3">
      <c r="A1009" s="1">
        <v>42648</v>
      </c>
      <c r="B1009">
        <v>4</v>
      </c>
      <c r="C1009">
        <v>4</v>
      </c>
      <c r="D1009">
        <v>4</v>
      </c>
      <c r="E1009">
        <v>78.2</v>
      </c>
      <c r="F1009">
        <v>8</v>
      </c>
      <c r="G1009">
        <v>0</v>
      </c>
      <c r="H1009">
        <v>1</v>
      </c>
      <c r="I1009">
        <v>1</v>
      </c>
      <c r="J1009">
        <v>2016</v>
      </c>
      <c r="K1009">
        <v>10</v>
      </c>
      <c r="L1009">
        <v>276</v>
      </c>
      <c r="M1009" t="s">
        <v>18</v>
      </c>
    </row>
    <row r="1010" spans="1:13" x14ac:dyDescent="0.3">
      <c r="A1010" s="1">
        <v>42649</v>
      </c>
      <c r="B1010">
        <v>4.33</v>
      </c>
      <c r="C1010">
        <v>3.99</v>
      </c>
      <c r="D1010">
        <v>6</v>
      </c>
      <c r="E1010">
        <v>44</v>
      </c>
      <c r="F1010">
        <v>4</v>
      </c>
      <c r="G1010">
        <v>0</v>
      </c>
      <c r="H1010">
        <v>3</v>
      </c>
      <c r="I1010">
        <v>0</v>
      </c>
      <c r="J1010">
        <v>2016</v>
      </c>
      <c r="K1010">
        <v>10</v>
      </c>
      <c r="L1010">
        <v>276</v>
      </c>
      <c r="M1010" t="s">
        <v>12</v>
      </c>
    </row>
    <row r="1011" spans="1:13" x14ac:dyDescent="0.3">
      <c r="A1011" s="1">
        <v>42650</v>
      </c>
      <c r="B1011">
        <v>4.34</v>
      </c>
      <c r="C1011">
        <v>4.2969999999999997</v>
      </c>
      <c r="D1011">
        <v>6</v>
      </c>
      <c r="E1011">
        <v>47.625</v>
      </c>
      <c r="F1011">
        <v>4</v>
      </c>
      <c r="G1011">
        <v>0</v>
      </c>
      <c r="H1011">
        <v>0</v>
      </c>
      <c r="I1011">
        <v>1</v>
      </c>
      <c r="J1011">
        <v>2016</v>
      </c>
      <c r="K1011">
        <v>10</v>
      </c>
      <c r="L1011">
        <v>276</v>
      </c>
      <c r="M1011" t="s">
        <v>13</v>
      </c>
    </row>
    <row r="1012" spans="1:13" x14ac:dyDescent="0.3">
      <c r="A1012" s="1">
        <v>42651</v>
      </c>
      <c r="B1012">
        <v>7.34</v>
      </c>
      <c r="C1012">
        <v>6.33</v>
      </c>
      <c r="D1012">
        <v>5</v>
      </c>
      <c r="E1012">
        <v>52.7</v>
      </c>
      <c r="F1012">
        <v>2</v>
      </c>
      <c r="G1012">
        <v>0</v>
      </c>
      <c r="H1012">
        <v>6</v>
      </c>
      <c r="I1012">
        <v>5</v>
      </c>
      <c r="J1012">
        <v>2016</v>
      </c>
      <c r="K1012">
        <v>10</v>
      </c>
      <c r="L1012">
        <v>276</v>
      </c>
      <c r="M1012" t="s">
        <v>14</v>
      </c>
    </row>
    <row r="1013" spans="1:13" x14ac:dyDescent="0.3">
      <c r="A1013" s="1">
        <v>42652</v>
      </c>
      <c r="B1013">
        <v>6.68</v>
      </c>
      <c r="C1013">
        <v>5.0199999999999996</v>
      </c>
      <c r="D1013">
        <v>5.5</v>
      </c>
      <c r="E1013">
        <v>88.4</v>
      </c>
      <c r="F1013">
        <v>2</v>
      </c>
      <c r="G1013">
        <v>0</v>
      </c>
      <c r="H1013">
        <v>9</v>
      </c>
      <c r="I1013">
        <v>1</v>
      </c>
      <c r="J1013">
        <v>2016</v>
      </c>
      <c r="K1013">
        <v>10</v>
      </c>
      <c r="L1013">
        <v>276</v>
      </c>
      <c r="M1013" t="s">
        <v>15</v>
      </c>
    </row>
    <row r="1014" spans="1:13" x14ac:dyDescent="0.3">
      <c r="A1014" s="1">
        <v>42653</v>
      </c>
      <c r="B1014">
        <v>2</v>
      </c>
      <c r="C1014">
        <v>5.0659999999999998</v>
      </c>
      <c r="D1014">
        <v>5</v>
      </c>
      <c r="E1014">
        <v>31.6</v>
      </c>
      <c r="F1014">
        <v>1</v>
      </c>
      <c r="G1014">
        <v>0</v>
      </c>
      <c r="H1014">
        <v>3</v>
      </c>
      <c r="I1014">
        <v>1</v>
      </c>
      <c r="J1014">
        <v>2016</v>
      </c>
      <c r="K1014">
        <v>10</v>
      </c>
      <c r="L1014">
        <v>276</v>
      </c>
      <c r="M1014" t="s">
        <v>16</v>
      </c>
    </row>
    <row r="1015" spans="1:13" x14ac:dyDescent="0.3">
      <c r="A1015" s="1">
        <v>42654</v>
      </c>
      <c r="B1015">
        <v>7.33</v>
      </c>
      <c r="C1015">
        <v>2.4060000000000001</v>
      </c>
      <c r="D1015">
        <v>11.65</v>
      </c>
      <c r="E1015">
        <v>52.6</v>
      </c>
      <c r="F1015">
        <v>54.833333330000002</v>
      </c>
      <c r="G1015">
        <v>1</v>
      </c>
      <c r="H1015">
        <v>8</v>
      </c>
      <c r="I1015">
        <v>1</v>
      </c>
      <c r="J1015">
        <v>2016</v>
      </c>
      <c r="K1015">
        <v>10</v>
      </c>
      <c r="L1015">
        <v>276</v>
      </c>
      <c r="M1015" t="s">
        <v>17</v>
      </c>
    </row>
    <row r="1016" spans="1:13" x14ac:dyDescent="0.3">
      <c r="A1016" s="1">
        <v>42655</v>
      </c>
      <c r="B1016">
        <v>8.33</v>
      </c>
      <c r="C1016">
        <v>2.3730000000000002</v>
      </c>
      <c r="D1016">
        <v>2</v>
      </c>
      <c r="E1016">
        <v>45.75</v>
      </c>
      <c r="F1016">
        <v>18</v>
      </c>
      <c r="G1016">
        <v>1</v>
      </c>
      <c r="H1016">
        <v>17</v>
      </c>
      <c r="I1016">
        <v>2</v>
      </c>
      <c r="J1016">
        <v>2016</v>
      </c>
      <c r="K1016">
        <v>10</v>
      </c>
      <c r="L1016">
        <v>276</v>
      </c>
      <c r="M1016" t="s">
        <v>18</v>
      </c>
    </row>
    <row r="1017" spans="1:13" x14ac:dyDescent="0.3">
      <c r="A1017" s="1">
        <v>42656</v>
      </c>
      <c r="B1017">
        <v>4.66</v>
      </c>
      <c r="C1017">
        <v>4.33</v>
      </c>
      <c r="D1017">
        <v>3.2</v>
      </c>
      <c r="E1017">
        <v>42.2</v>
      </c>
      <c r="F1017">
        <v>20</v>
      </c>
      <c r="G1017">
        <v>0</v>
      </c>
      <c r="H1017">
        <v>3</v>
      </c>
      <c r="I1017">
        <v>2.2999999999999998</v>
      </c>
      <c r="J1017">
        <v>2016</v>
      </c>
      <c r="K1017">
        <v>10</v>
      </c>
      <c r="L1017">
        <v>276</v>
      </c>
      <c r="M1017" t="s">
        <v>12</v>
      </c>
    </row>
    <row r="1018" spans="1:13" x14ac:dyDescent="0.3">
      <c r="A1018" s="1">
        <v>42657</v>
      </c>
      <c r="B1018">
        <v>7</v>
      </c>
      <c r="C1018">
        <v>4</v>
      </c>
      <c r="D1018">
        <v>3</v>
      </c>
      <c r="E1018">
        <v>38.700000000000003</v>
      </c>
      <c r="F1018">
        <v>22</v>
      </c>
      <c r="G1018">
        <v>0</v>
      </c>
      <c r="H1018">
        <v>9</v>
      </c>
      <c r="I1018">
        <v>1</v>
      </c>
      <c r="J1018">
        <v>2016</v>
      </c>
      <c r="K1018">
        <v>10</v>
      </c>
      <c r="L1018">
        <v>276</v>
      </c>
      <c r="M1018" t="s">
        <v>13</v>
      </c>
    </row>
    <row r="1019" spans="1:13" x14ac:dyDescent="0.3">
      <c r="A1019" s="1">
        <v>42658</v>
      </c>
      <c r="B1019">
        <v>4</v>
      </c>
      <c r="C1019">
        <v>5.97</v>
      </c>
      <c r="D1019">
        <v>3.35</v>
      </c>
      <c r="E1019">
        <v>47.2</v>
      </c>
      <c r="F1019">
        <v>16</v>
      </c>
      <c r="G1019">
        <v>1</v>
      </c>
      <c r="H1019">
        <v>13</v>
      </c>
      <c r="I1019">
        <v>1</v>
      </c>
      <c r="J1019">
        <v>2016</v>
      </c>
      <c r="K1019">
        <v>10</v>
      </c>
      <c r="L1019">
        <v>276</v>
      </c>
      <c r="M1019" t="s">
        <v>14</v>
      </c>
    </row>
    <row r="1020" spans="1:13" x14ac:dyDescent="0.3">
      <c r="A1020" s="1">
        <v>42659</v>
      </c>
      <c r="B1020">
        <v>8.33</v>
      </c>
      <c r="C1020">
        <v>5.1219999999999999</v>
      </c>
      <c r="D1020">
        <v>10</v>
      </c>
      <c r="E1020">
        <v>89.3</v>
      </c>
      <c r="F1020">
        <v>3</v>
      </c>
      <c r="G1020">
        <v>0</v>
      </c>
      <c r="H1020">
        <v>6</v>
      </c>
      <c r="I1020">
        <v>5</v>
      </c>
      <c r="J1020">
        <v>2016</v>
      </c>
      <c r="K1020">
        <v>10</v>
      </c>
      <c r="L1020">
        <v>276</v>
      </c>
      <c r="M1020" t="s">
        <v>15</v>
      </c>
    </row>
    <row r="1021" spans="1:13" x14ac:dyDescent="0.3">
      <c r="A1021" s="1">
        <v>42660</v>
      </c>
      <c r="B1021">
        <v>2</v>
      </c>
      <c r="C1021">
        <v>5</v>
      </c>
      <c r="D1021">
        <v>5</v>
      </c>
      <c r="E1021">
        <v>50.8</v>
      </c>
      <c r="F1021">
        <v>1</v>
      </c>
      <c r="G1021">
        <v>0</v>
      </c>
      <c r="H1021">
        <v>9</v>
      </c>
      <c r="I1021">
        <v>1</v>
      </c>
      <c r="J1021">
        <v>2016</v>
      </c>
      <c r="K1021">
        <v>10</v>
      </c>
      <c r="L1021">
        <v>276</v>
      </c>
      <c r="M1021" t="s">
        <v>16</v>
      </c>
    </row>
    <row r="1022" spans="1:13" x14ac:dyDescent="0.3">
      <c r="A1022" s="1">
        <v>42661</v>
      </c>
      <c r="B1022">
        <v>3</v>
      </c>
      <c r="C1022">
        <v>5.056</v>
      </c>
      <c r="D1022">
        <v>9</v>
      </c>
      <c r="E1022">
        <v>42.1</v>
      </c>
      <c r="F1022">
        <v>9</v>
      </c>
      <c r="G1022">
        <v>3</v>
      </c>
      <c r="H1022">
        <v>7</v>
      </c>
      <c r="I1022">
        <v>3.1</v>
      </c>
      <c r="J1022">
        <v>2016</v>
      </c>
      <c r="K1022">
        <v>10</v>
      </c>
      <c r="L1022">
        <v>276</v>
      </c>
      <c r="M1022" t="s">
        <v>17</v>
      </c>
    </row>
    <row r="1023" spans="1:13" x14ac:dyDescent="0.3">
      <c r="A1023" s="1">
        <v>42662</v>
      </c>
      <c r="B1023">
        <v>4.33</v>
      </c>
      <c r="C1023">
        <v>6.66</v>
      </c>
      <c r="D1023">
        <v>5</v>
      </c>
      <c r="E1023">
        <v>26.7</v>
      </c>
      <c r="F1023">
        <v>11</v>
      </c>
      <c r="G1023">
        <v>0</v>
      </c>
      <c r="H1023">
        <v>2</v>
      </c>
      <c r="I1023">
        <v>1</v>
      </c>
      <c r="J1023">
        <v>2016</v>
      </c>
      <c r="K1023">
        <v>10</v>
      </c>
      <c r="L1023">
        <v>276</v>
      </c>
      <c r="M1023" t="s">
        <v>18</v>
      </c>
    </row>
    <row r="1024" spans="1:13" x14ac:dyDescent="0.3">
      <c r="A1024" s="1">
        <v>42663</v>
      </c>
      <c r="B1024">
        <v>1.64</v>
      </c>
      <c r="C1024">
        <v>5.66</v>
      </c>
      <c r="D1024">
        <v>6</v>
      </c>
      <c r="E1024">
        <v>52.5</v>
      </c>
      <c r="F1024">
        <v>2</v>
      </c>
      <c r="G1024">
        <v>0</v>
      </c>
      <c r="H1024">
        <v>2</v>
      </c>
      <c r="I1024">
        <v>2</v>
      </c>
      <c r="J1024">
        <v>2016</v>
      </c>
      <c r="K1024">
        <v>10</v>
      </c>
      <c r="L1024">
        <v>276</v>
      </c>
      <c r="M1024" t="s">
        <v>12</v>
      </c>
    </row>
    <row r="1025" spans="1:13" x14ac:dyDescent="0.3">
      <c r="A1025" s="1">
        <v>42664</v>
      </c>
      <c r="B1025">
        <v>8.66</v>
      </c>
      <c r="C1025">
        <v>3.8250000000000002</v>
      </c>
      <c r="D1025">
        <v>0</v>
      </c>
      <c r="E1025">
        <v>40.799999999999997</v>
      </c>
      <c r="F1025">
        <v>5</v>
      </c>
      <c r="G1025">
        <v>0</v>
      </c>
      <c r="H1025">
        <v>6</v>
      </c>
      <c r="I1025">
        <v>2</v>
      </c>
      <c r="J1025">
        <v>2016</v>
      </c>
      <c r="K1025">
        <v>10</v>
      </c>
      <c r="L1025">
        <v>276</v>
      </c>
      <c r="M1025" t="s">
        <v>13</v>
      </c>
    </row>
    <row r="1026" spans="1:13" x14ac:dyDescent="0.3">
      <c r="A1026" s="1">
        <v>42665</v>
      </c>
      <c r="B1026">
        <v>7</v>
      </c>
      <c r="C1026">
        <v>2.67</v>
      </c>
      <c r="D1026">
        <v>4</v>
      </c>
      <c r="E1026">
        <v>29.7</v>
      </c>
      <c r="F1026">
        <v>3</v>
      </c>
      <c r="G1026">
        <v>0</v>
      </c>
      <c r="H1026">
        <v>10</v>
      </c>
      <c r="I1026">
        <v>4</v>
      </c>
      <c r="J1026">
        <v>2016</v>
      </c>
      <c r="K1026">
        <v>10</v>
      </c>
      <c r="L1026">
        <v>276</v>
      </c>
      <c r="M1026" t="s">
        <v>14</v>
      </c>
    </row>
    <row r="1027" spans="1:13" x14ac:dyDescent="0.3">
      <c r="A1027" s="1">
        <v>42666</v>
      </c>
      <c r="B1027">
        <v>12.33</v>
      </c>
      <c r="C1027">
        <v>5.78</v>
      </c>
      <c r="D1027">
        <v>3.8</v>
      </c>
      <c r="E1027">
        <v>51.216666670000002</v>
      </c>
      <c r="F1027">
        <v>10</v>
      </c>
      <c r="G1027">
        <v>0</v>
      </c>
      <c r="H1027">
        <v>11</v>
      </c>
      <c r="I1027">
        <v>2</v>
      </c>
      <c r="J1027">
        <v>2016</v>
      </c>
      <c r="K1027">
        <v>10</v>
      </c>
      <c r="L1027">
        <v>276</v>
      </c>
      <c r="M1027" t="s">
        <v>15</v>
      </c>
    </row>
    <row r="1028" spans="1:13" x14ac:dyDescent="0.3">
      <c r="A1028" s="1">
        <v>42667</v>
      </c>
      <c r="B1028">
        <v>2.66</v>
      </c>
      <c r="C1028">
        <v>3.0230000000000001</v>
      </c>
      <c r="D1028">
        <v>7.5</v>
      </c>
      <c r="E1028">
        <v>37</v>
      </c>
      <c r="F1028">
        <v>1</v>
      </c>
      <c r="G1028">
        <v>1</v>
      </c>
      <c r="H1028">
        <v>2</v>
      </c>
      <c r="I1028">
        <v>1</v>
      </c>
      <c r="J1028">
        <v>2016</v>
      </c>
      <c r="K1028">
        <v>10</v>
      </c>
      <c r="L1028">
        <v>276</v>
      </c>
      <c r="M1028" t="s">
        <v>16</v>
      </c>
    </row>
    <row r="1029" spans="1:13" x14ac:dyDescent="0.3">
      <c r="A1029" s="1">
        <v>42668</v>
      </c>
      <c r="B1029">
        <v>4.33</v>
      </c>
      <c r="C1029">
        <v>4.5720000000000001</v>
      </c>
      <c r="D1029">
        <v>5.4</v>
      </c>
      <c r="E1029">
        <v>62.4</v>
      </c>
      <c r="F1029">
        <v>10</v>
      </c>
      <c r="G1029">
        <v>0</v>
      </c>
      <c r="H1029">
        <v>7</v>
      </c>
      <c r="I1029">
        <v>0</v>
      </c>
      <c r="J1029">
        <v>2016</v>
      </c>
      <c r="K1029">
        <v>10</v>
      </c>
      <c r="L1029">
        <v>276</v>
      </c>
      <c r="M1029" t="s">
        <v>17</v>
      </c>
    </row>
    <row r="1030" spans="1:13" x14ac:dyDescent="0.3">
      <c r="A1030" s="1">
        <v>42669</v>
      </c>
      <c r="B1030">
        <v>2.33</v>
      </c>
      <c r="C1030">
        <v>2.3969999999999998</v>
      </c>
      <c r="D1030">
        <v>6</v>
      </c>
      <c r="E1030">
        <v>28.4</v>
      </c>
      <c r="F1030">
        <v>10</v>
      </c>
      <c r="G1030">
        <v>0</v>
      </c>
      <c r="H1030">
        <v>2</v>
      </c>
      <c r="I1030">
        <v>1</v>
      </c>
      <c r="J1030">
        <v>2016</v>
      </c>
      <c r="K1030">
        <v>10</v>
      </c>
      <c r="L1030">
        <v>276</v>
      </c>
      <c r="M1030" t="s">
        <v>18</v>
      </c>
    </row>
    <row r="1031" spans="1:13" x14ac:dyDescent="0.3">
      <c r="A1031" s="1">
        <v>42670</v>
      </c>
      <c r="B1031">
        <v>6.5</v>
      </c>
      <c r="C1031">
        <v>2.0230000000000001</v>
      </c>
      <c r="D1031">
        <v>3</v>
      </c>
      <c r="E1031">
        <v>32.200000000000003</v>
      </c>
      <c r="F1031">
        <v>10</v>
      </c>
      <c r="G1031">
        <v>2</v>
      </c>
      <c r="H1031">
        <v>4</v>
      </c>
      <c r="I1031">
        <v>0</v>
      </c>
      <c r="J1031">
        <v>2016</v>
      </c>
      <c r="K1031">
        <v>10</v>
      </c>
      <c r="L1031">
        <v>276</v>
      </c>
      <c r="M1031" t="s">
        <v>12</v>
      </c>
    </row>
    <row r="1032" spans="1:13" x14ac:dyDescent="0.3">
      <c r="A1032" s="1">
        <v>42671</v>
      </c>
      <c r="B1032">
        <v>7</v>
      </c>
      <c r="C1032">
        <v>3.78</v>
      </c>
      <c r="D1032">
        <v>6</v>
      </c>
      <c r="E1032">
        <v>34.4</v>
      </c>
      <c r="F1032">
        <v>9</v>
      </c>
      <c r="G1032">
        <v>0</v>
      </c>
      <c r="H1032">
        <v>5</v>
      </c>
      <c r="I1032">
        <v>0</v>
      </c>
      <c r="J1032">
        <v>2016</v>
      </c>
      <c r="K1032">
        <v>10</v>
      </c>
      <c r="L1032">
        <v>276</v>
      </c>
      <c r="M1032" t="s">
        <v>13</v>
      </c>
    </row>
    <row r="1033" spans="1:13" x14ac:dyDescent="0.3">
      <c r="A1033" s="1">
        <v>42672</v>
      </c>
      <c r="B1033">
        <v>15.33</v>
      </c>
      <c r="C1033">
        <v>4.54</v>
      </c>
      <c r="D1033">
        <v>6.1</v>
      </c>
      <c r="E1033">
        <v>78.5</v>
      </c>
      <c r="F1033">
        <v>23</v>
      </c>
      <c r="G1033">
        <v>0</v>
      </c>
      <c r="H1033">
        <v>9</v>
      </c>
      <c r="I1033">
        <v>5</v>
      </c>
      <c r="J1033">
        <v>2016</v>
      </c>
      <c r="K1033">
        <v>10</v>
      </c>
      <c r="L1033">
        <v>276</v>
      </c>
      <c r="M1033" t="s">
        <v>14</v>
      </c>
    </row>
    <row r="1034" spans="1:13" x14ac:dyDescent="0.3">
      <c r="A1034" s="1">
        <v>42673</v>
      </c>
      <c r="B1034">
        <v>4.66</v>
      </c>
      <c r="C1034">
        <v>10.32</v>
      </c>
      <c r="D1034">
        <v>5.75</v>
      </c>
      <c r="E1034">
        <v>73.099999999999994</v>
      </c>
      <c r="F1034">
        <v>5</v>
      </c>
      <c r="G1034">
        <v>0</v>
      </c>
      <c r="H1034">
        <v>0</v>
      </c>
      <c r="I1034">
        <v>2</v>
      </c>
      <c r="J1034">
        <v>2016</v>
      </c>
      <c r="K1034">
        <v>10</v>
      </c>
      <c r="L1034">
        <v>276</v>
      </c>
      <c r="M1034" t="s">
        <v>15</v>
      </c>
    </row>
    <row r="1035" spans="1:13" x14ac:dyDescent="0.3">
      <c r="A1035" s="1">
        <v>42674</v>
      </c>
      <c r="B1035">
        <v>2.66</v>
      </c>
      <c r="C1035">
        <v>3.82</v>
      </c>
      <c r="D1035">
        <v>3</v>
      </c>
      <c r="E1035">
        <v>43.8</v>
      </c>
      <c r="F1035">
        <v>6</v>
      </c>
      <c r="G1035">
        <v>0</v>
      </c>
      <c r="H1035">
        <v>17</v>
      </c>
      <c r="I1035">
        <v>5</v>
      </c>
      <c r="J1035">
        <v>2016</v>
      </c>
      <c r="K1035">
        <v>10</v>
      </c>
      <c r="L1035">
        <v>276</v>
      </c>
      <c r="M1035" t="s">
        <v>16</v>
      </c>
    </row>
    <row r="1036" spans="1:13" x14ac:dyDescent="0.3">
      <c r="A1036" s="1">
        <v>42675</v>
      </c>
      <c r="B1036">
        <v>2.33</v>
      </c>
      <c r="C1036">
        <v>1.7030000000000001</v>
      </c>
      <c r="D1036">
        <v>4</v>
      </c>
      <c r="E1036">
        <v>25.9</v>
      </c>
      <c r="F1036">
        <v>18</v>
      </c>
      <c r="G1036">
        <v>0</v>
      </c>
      <c r="H1036">
        <v>6</v>
      </c>
      <c r="I1036">
        <v>3</v>
      </c>
      <c r="J1036">
        <v>2016</v>
      </c>
      <c r="K1036">
        <v>11</v>
      </c>
      <c r="L1036">
        <v>276</v>
      </c>
      <c r="M1036" t="s">
        <v>17</v>
      </c>
    </row>
    <row r="1037" spans="1:13" x14ac:dyDescent="0.3">
      <c r="A1037" s="1">
        <v>42676</v>
      </c>
      <c r="B1037">
        <v>4</v>
      </c>
      <c r="C1037">
        <v>3.7029999999999998</v>
      </c>
      <c r="D1037">
        <v>4.0999999999999996</v>
      </c>
      <c r="E1037">
        <v>42.2</v>
      </c>
      <c r="F1037">
        <v>1</v>
      </c>
      <c r="G1037">
        <v>0</v>
      </c>
      <c r="H1037">
        <v>2</v>
      </c>
      <c r="I1037">
        <v>3</v>
      </c>
      <c r="J1037">
        <v>2016</v>
      </c>
      <c r="K1037">
        <v>11</v>
      </c>
      <c r="L1037">
        <v>276</v>
      </c>
      <c r="M1037" t="s">
        <v>18</v>
      </c>
    </row>
    <row r="1038" spans="1:13" x14ac:dyDescent="0.3">
      <c r="A1038" s="1">
        <v>42677</v>
      </c>
      <c r="B1038">
        <v>2</v>
      </c>
      <c r="C1038">
        <v>1</v>
      </c>
      <c r="D1038">
        <v>3</v>
      </c>
      <c r="E1038">
        <v>42.5</v>
      </c>
      <c r="F1038">
        <v>3</v>
      </c>
      <c r="G1038">
        <v>0</v>
      </c>
      <c r="H1038">
        <v>0</v>
      </c>
      <c r="I1038">
        <v>1</v>
      </c>
      <c r="J1038">
        <v>2016</v>
      </c>
      <c r="K1038">
        <v>11</v>
      </c>
      <c r="L1038">
        <v>276</v>
      </c>
      <c r="M1038" t="s">
        <v>12</v>
      </c>
    </row>
    <row r="1039" spans="1:13" x14ac:dyDescent="0.3">
      <c r="A1039" s="1">
        <v>42678</v>
      </c>
      <c r="B1039">
        <v>8.33</v>
      </c>
      <c r="C1039">
        <v>4.3730000000000002</v>
      </c>
      <c r="D1039">
        <v>3.6</v>
      </c>
      <c r="E1039">
        <v>24.3</v>
      </c>
      <c r="F1039">
        <v>14</v>
      </c>
      <c r="G1039">
        <v>1</v>
      </c>
      <c r="H1039">
        <v>6</v>
      </c>
      <c r="I1039">
        <v>4.2</v>
      </c>
      <c r="J1039">
        <v>2016</v>
      </c>
      <c r="K1039">
        <v>11</v>
      </c>
      <c r="L1039">
        <v>276</v>
      </c>
      <c r="M1039" t="s">
        <v>13</v>
      </c>
    </row>
    <row r="1040" spans="1:13" x14ac:dyDescent="0.3">
      <c r="A1040" s="1">
        <v>42679</v>
      </c>
      <c r="B1040">
        <v>7.6666666670000003</v>
      </c>
      <c r="C1040">
        <v>3.02</v>
      </c>
      <c r="D1040">
        <v>5.8</v>
      </c>
      <c r="E1040">
        <v>35.4</v>
      </c>
      <c r="F1040">
        <v>9</v>
      </c>
      <c r="G1040">
        <v>0</v>
      </c>
      <c r="H1040">
        <v>0</v>
      </c>
      <c r="I1040">
        <v>2</v>
      </c>
      <c r="J1040">
        <v>2016</v>
      </c>
      <c r="K1040">
        <v>11</v>
      </c>
      <c r="L1040">
        <v>276</v>
      </c>
      <c r="M1040" t="s">
        <v>14</v>
      </c>
    </row>
    <row r="1041" spans="1:13" x14ac:dyDescent="0.3">
      <c r="A1041" s="1">
        <v>42680</v>
      </c>
      <c r="B1041">
        <v>8</v>
      </c>
      <c r="C1041">
        <v>4.34</v>
      </c>
      <c r="D1041">
        <v>3</v>
      </c>
      <c r="E1041">
        <v>42.45</v>
      </c>
      <c r="F1041">
        <v>3</v>
      </c>
      <c r="G1041">
        <v>2</v>
      </c>
      <c r="H1041">
        <v>11</v>
      </c>
      <c r="I1041">
        <v>5</v>
      </c>
      <c r="J1041">
        <v>2016</v>
      </c>
      <c r="K1041">
        <v>11</v>
      </c>
      <c r="L1041">
        <v>276</v>
      </c>
      <c r="M1041" t="s">
        <v>15</v>
      </c>
    </row>
    <row r="1042" spans="1:13" x14ac:dyDescent="0.3">
      <c r="A1042" s="1">
        <v>42681</v>
      </c>
      <c r="B1042">
        <v>5</v>
      </c>
      <c r="C1042">
        <v>2.726</v>
      </c>
      <c r="D1042">
        <v>6.3</v>
      </c>
      <c r="E1042">
        <v>35</v>
      </c>
      <c r="F1042">
        <v>9</v>
      </c>
      <c r="G1042">
        <v>0</v>
      </c>
      <c r="H1042">
        <v>5</v>
      </c>
      <c r="I1042">
        <v>1</v>
      </c>
      <c r="J1042">
        <v>2016</v>
      </c>
      <c r="K1042">
        <v>11</v>
      </c>
      <c r="L1042">
        <v>276</v>
      </c>
      <c r="M1042" t="s">
        <v>16</v>
      </c>
    </row>
    <row r="1043" spans="1:13" x14ac:dyDescent="0.3">
      <c r="A1043" s="1">
        <v>42682</v>
      </c>
      <c r="B1043">
        <v>7</v>
      </c>
      <c r="C1043">
        <v>2.35</v>
      </c>
      <c r="D1043">
        <v>8</v>
      </c>
      <c r="E1043">
        <v>20</v>
      </c>
      <c r="F1043">
        <v>19.166666670000001</v>
      </c>
      <c r="G1043">
        <v>2</v>
      </c>
      <c r="H1043">
        <v>8</v>
      </c>
      <c r="I1043">
        <v>3</v>
      </c>
      <c r="J1043">
        <v>2016</v>
      </c>
      <c r="K1043">
        <v>11</v>
      </c>
      <c r="L1043">
        <v>276</v>
      </c>
      <c r="M1043" t="s">
        <v>17</v>
      </c>
    </row>
    <row r="1044" spans="1:13" x14ac:dyDescent="0.3">
      <c r="A1044" s="1">
        <v>42683</v>
      </c>
      <c r="B1044">
        <v>2.34</v>
      </c>
      <c r="C1044">
        <v>5.66</v>
      </c>
      <c r="D1044">
        <v>1.4</v>
      </c>
      <c r="E1044">
        <v>25</v>
      </c>
      <c r="F1044">
        <v>18</v>
      </c>
      <c r="G1044">
        <v>0</v>
      </c>
      <c r="H1044">
        <v>4</v>
      </c>
      <c r="I1044">
        <v>0</v>
      </c>
      <c r="J1044">
        <v>2016</v>
      </c>
      <c r="K1044">
        <v>11</v>
      </c>
      <c r="L1044">
        <v>276</v>
      </c>
      <c r="M1044" t="s">
        <v>18</v>
      </c>
    </row>
    <row r="1045" spans="1:13" x14ac:dyDescent="0.3">
      <c r="A1045" s="1">
        <v>42684</v>
      </c>
      <c r="B1045">
        <v>7.33</v>
      </c>
      <c r="C1045">
        <v>6.33</v>
      </c>
      <c r="D1045">
        <v>7</v>
      </c>
      <c r="E1045">
        <v>31.1</v>
      </c>
      <c r="F1045">
        <v>5</v>
      </c>
      <c r="G1045">
        <v>2</v>
      </c>
      <c r="H1045">
        <v>12</v>
      </c>
      <c r="I1045">
        <v>3.4</v>
      </c>
      <c r="J1045">
        <v>2016</v>
      </c>
      <c r="K1045">
        <v>11</v>
      </c>
      <c r="L1045">
        <v>276</v>
      </c>
      <c r="M1045" t="s">
        <v>12</v>
      </c>
    </row>
    <row r="1046" spans="1:13" x14ac:dyDescent="0.3">
      <c r="A1046" s="1">
        <v>42685</v>
      </c>
      <c r="B1046">
        <v>10.66</v>
      </c>
      <c r="C1046">
        <v>1.7589999999999999</v>
      </c>
      <c r="D1046">
        <v>4</v>
      </c>
      <c r="E1046">
        <v>33</v>
      </c>
      <c r="F1046">
        <v>6</v>
      </c>
      <c r="G1046">
        <v>0</v>
      </c>
      <c r="H1046">
        <v>1</v>
      </c>
      <c r="I1046">
        <v>1</v>
      </c>
      <c r="J1046">
        <v>2016</v>
      </c>
      <c r="K1046">
        <v>11</v>
      </c>
      <c r="L1046">
        <v>276</v>
      </c>
      <c r="M1046" t="s">
        <v>13</v>
      </c>
    </row>
    <row r="1047" spans="1:13" x14ac:dyDescent="0.3">
      <c r="A1047" s="1">
        <v>42686</v>
      </c>
      <c r="B1047">
        <v>8</v>
      </c>
      <c r="C1047">
        <v>3.8250000000000002</v>
      </c>
      <c r="D1047">
        <v>7</v>
      </c>
      <c r="E1047">
        <v>56.5</v>
      </c>
      <c r="F1047">
        <v>10</v>
      </c>
      <c r="G1047">
        <v>0</v>
      </c>
      <c r="H1047">
        <v>1</v>
      </c>
      <c r="I1047">
        <v>1.2</v>
      </c>
      <c r="J1047">
        <v>2016</v>
      </c>
      <c r="K1047">
        <v>11</v>
      </c>
      <c r="L1047">
        <v>276</v>
      </c>
      <c r="M1047" t="s">
        <v>14</v>
      </c>
    </row>
    <row r="1048" spans="1:13" x14ac:dyDescent="0.3">
      <c r="A1048" s="1">
        <v>42687</v>
      </c>
      <c r="B1048">
        <v>6</v>
      </c>
      <c r="C1048">
        <v>11.32</v>
      </c>
      <c r="D1048">
        <v>3.6</v>
      </c>
      <c r="E1048">
        <v>60.2</v>
      </c>
      <c r="F1048">
        <v>0</v>
      </c>
      <c r="G1048">
        <v>0</v>
      </c>
      <c r="H1048">
        <v>5</v>
      </c>
      <c r="I1048">
        <v>1</v>
      </c>
      <c r="J1048">
        <v>2016</v>
      </c>
      <c r="K1048">
        <v>11</v>
      </c>
      <c r="L1048">
        <v>276</v>
      </c>
      <c r="M1048" t="s">
        <v>15</v>
      </c>
    </row>
    <row r="1049" spans="1:13" x14ac:dyDescent="0.3">
      <c r="A1049" s="1">
        <v>42688</v>
      </c>
      <c r="B1049">
        <v>10</v>
      </c>
      <c r="C1049">
        <v>4.726</v>
      </c>
      <c r="D1049">
        <v>3.8</v>
      </c>
      <c r="E1049">
        <v>50.5</v>
      </c>
      <c r="F1049">
        <v>5</v>
      </c>
      <c r="G1049">
        <v>3</v>
      </c>
      <c r="H1049">
        <v>1</v>
      </c>
      <c r="I1049">
        <v>1</v>
      </c>
      <c r="J1049">
        <v>2016</v>
      </c>
      <c r="K1049">
        <v>11</v>
      </c>
      <c r="L1049">
        <v>276</v>
      </c>
      <c r="M1049" t="s">
        <v>16</v>
      </c>
    </row>
    <row r="1050" spans="1:13" x14ac:dyDescent="0.3">
      <c r="A1050" s="1">
        <v>42689</v>
      </c>
      <c r="B1050">
        <v>5.33</v>
      </c>
      <c r="C1050">
        <v>0.33</v>
      </c>
      <c r="D1050">
        <v>4</v>
      </c>
      <c r="E1050">
        <v>30.1</v>
      </c>
      <c r="F1050">
        <v>27</v>
      </c>
      <c r="G1050">
        <v>5</v>
      </c>
      <c r="H1050">
        <v>5</v>
      </c>
      <c r="I1050">
        <v>1</v>
      </c>
      <c r="J1050">
        <v>2016</v>
      </c>
      <c r="K1050">
        <v>11</v>
      </c>
      <c r="L1050">
        <v>276</v>
      </c>
      <c r="M1050" t="s">
        <v>17</v>
      </c>
    </row>
    <row r="1051" spans="1:13" x14ac:dyDescent="0.3">
      <c r="A1051" s="1">
        <v>42690</v>
      </c>
      <c r="B1051">
        <v>4</v>
      </c>
      <c r="C1051">
        <v>3.1669999999999998</v>
      </c>
      <c r="D1051">
        <v>4</v>
      </c>
      <c r="E1051">
        <v>38.911999999999999</v>
      </c>
      <c r="F1051">
        <v>5</v>
      </c>
      <c r="G1051">
        <v>0</v>
      </c>
      <c r="H1051">
        <v>10</v>
      </c>
      <c r="I1051">
        <v>1</v>
      </c>
      <c r="J1051">
        <v>2016</v>
      </c>
      <c r="K1051">
        <v>11</v>
      </c>
      <c r="L1051">
        <v>276</v>
      </c>
      <c r="M1051" t="s">
        <v>18</v>
      </c>
    </row>
    <row r="1052" spans="1:13" x14ac:dyDescent="0.3">
      <c r="A1052" s="1">
        <v>42691</v>
      </c>
      <c r="B1052">
        <v>5</v>
      </c>
      <c r="C1052">
        <v>2.726</v>
      </c>
      <c r="D1052">
        <v>5.7</v>
      </c>
      <c r="E1052">
        <v>41.4</v>
      </c>
      <c r="F1052">
        <v>0</v>
      </c>
      <c r="G1052">
        <v>0</v>
      </c>
      <c r="H1052">
        <v>1</v>
      </c>
      <c r="I1052">
        <v>1.4</v>
      </c>
      <c r="J1052">
        <v>2016</v>
      </c>
      <c r="K1052">
        <v>11</v>
      </c>
      <c r="L1052">
        <v>276</v>
      </c>
      <c r="M1052" t="s">
        <v>12</v>
      </c>
    </row>
    <row r="1053" spans="1:13" x14ac:dyDescent="0.3">
      <c r="A1053" s="1">
        <v>42692</v>
      </c>
      <c r="B1053">
        <v>1.33</v>
      </c>
      <c r="C1053">
        <v>4.33</v>
      </c>
      <c r="D1053">
        <v>6.25</v>
      </c>
      <c r="E1053">
        <v>31</v>
      </c>
      <c r="F1053">
        <v>7</v>
      </c>
      <c r="G1053">
        <v>1</v>
      </c>
      <c r="H1053">
        <v>2</v>
      </c>
      <c r="I1053">
        <v>2</v>
      </c>
      <c r="J1053">
        <v>2016</v>
      </c>
      <c r="K1053">
        <v>11</v>
      </c>
      <c r="L1053">
        <v>276</v>
      </c>
      <c r="M1053" t="s">
        <v>13</v>
      </c>
    </row>
    <row r="1054" spans="1:13" x14ac:dyDescent="0.3">
      <c r="A1054" s="1">
        <v>42693</v>
      </c>
      <c r="B1054">
        <v>5</v>
      </c>
      <c r="C1054">
        <v>2.7</v>
      </c>
      <c r="D1054">
        <v>4</v>
      </c>
      <c r="E1054">
        <v>35.4</v>
      </c>
      <c r="F1054">
        <v>3</v>
      </c>
      <c r="G1054">
        <v>0</v>
      </c>
      <c r="H1054">
        <v>3</v>
      </c>
      <c r="I1054">
        <v>2</v>
      </c>
      <c r="J1054">
        <v>2016</v>
      </c>
      <c r="K1054">
        <v>11</v>
      </c>
      <c r="L1054">
        <v>276</v>
      </c>
      <c r="M1054" t="s">
        <v>14</v>
      </c>
    </row>
    <row r="1055" spans="1:13" x14ac:dyDescent="0.3">
      <c r="A1055" s="1">
        <v>42694</v>
      </c>
      <c r="B1055">
        <v>7</v>
      </c>
      <c r="C1055">
        <v>4.34</v>
      </c>
      <c r="D1055">
        <v>5</v>
      </c>
      <c r="E1055">
        <v>25.5</v>
      </c>
      <c r="F1055">
        <v>3</v>
      </c>
      <c r="G1055">
        <v>0</v>
      </c>
      <c r="H1055">
        <v>0</v>
      </c>
      <c r="I1055">
        <v>2</v>
      </c>
      <c r="J1055">
        <v>2016</v>
      </c>
      <c r="K1055">
        <v>11</v>
      </c>
      <c r="L1055">
        <v>276</v>
      </c>
      <c r="M1055" t="s">
        <v>15</v>
      </c>
    </row>
    <row r="1056" spans="1:13" x14ac:dyDescent="0.3">
      <c r="A1056" s="1">
        <v>42695</v>
      </c>
      <c r="B1056">
        <v>1.34</v>
      </c>
      <c r="C1056">
        <v>3.34</v>
      </c>
      <c r="D1056">
        <v>5.25</v>
      </c>
      <c r="E1056">
        <v>30</v>
      </c>
      <c r="F1056">
        <v>1</v>
      </c>
      <c r="G1056">
        <v>0</v>
      </c>
      <c r="H1056">
        <v>13</v>
      </c>
      <c r="I1056">
        <v>3</v>
      </c>
      <c r="J1056">
        <v>2016</v>
      </c>
      <c r="K1056">
        <v>11</v>
      </c>
      <c r="L1056">
        <v>276</v>
      </c>
      <c r="M1056" t="s">
        <v>16</v>
      </c>
    </row>
    <row r="1057" spans="1:13" x14ac:dyDescent="0.3">
      <c r="A1057" s="1">
        <v>42696</v>
      </c>
      <c r="B1057">
        <v>4.01</v>
      </c>
      <c r="C1057">
        <v>4.7030000000000003</v>
      </c>
      <c r="D1057">
        <v>1.1000000000000001</v>
      </c>
      <c r="E1057">
        <v>23</v>
      </c>
      <c r="F1057">
        <v>3</v>
      </c>
      <c r="G1057">
        <v>2</v>
      </c>
      <c r="H1057">
        <v>7</v>
      </c>
      <c r="I1057">
        <v>2</v>
      </c>
      <c r="J1057">
        <v>2016</v>
      </c>
      <c r="K1057">
        <v>11</v>
      </c>
      <c r="L1057">
        <v>276</v>
      </c>
      <c r="M1057" t="s">
        <v>17</v>
      </c>
    </row>
    <row r="1058" spans="1:13" x14ac:dyDescent="0.3">
      <c r="A1058" s="1">
        <v>42697</v>
      </c>
      <c r="B1058">
        <v>3</v>
      </c>
      <c r="C1058">
        <v>4.33</v>
      </c>
      <c r="D1058">
        <v>3.7</v>
      </c>
      <c r="E1058">
        <v>44.124000000000002</v>
      </c>
      <c r="F1058">
        <v>5</v>
      </c>
      <c r="G1058">
        <v>0</v>
      </c>
      <c r="H1058">
        <v>0</v>
      </c>
      <c r="I1058">
        <v>1</v>
      </c>
      <c r="J1058">
        <v>2016</v>
      </c>
      <c r="K1058">
        <v>11</v>
      </c>
      <c r="L1058">
        <v>276</v>
      </c>
      <c r="M1058" t="s">
        <v>18</v>
      </c>
    </row>
    <row r="1059" spans="1:13" x14ac:dyDescent="0.3">
      <c r="A1059" s="1">
        <v>42698</v>
      </c>
      <c r="B1059">
        <v>8.67</v>
      </c>
      <c r="C1059">
        <v>4.3330000000000002</v>
      </c>
      <c r="D1059">
        <v>6</v>
      </c>
      <c r="E1059">
        <v>28</v>
      </c>
      <c r="F1059">
        <v>2</v>
      </c>
      <c r="G1059">
        <v>0</v>
      </c>
      <c r="H1059">
        <v>10</v>
      </c>
      <c r="I1059">
        <v>3</v>
      </c>
      <c r="J1059">
        <v>2016</v>
      </c>
      <c r="K1059">
        <v>11</v>
      </c>
      <c r="L1059">
        <v>276</v>
      </c>
      <c r="M1059" t="s">
        <v>12</v>
      </c>
    </row>
    <row r="1060" spans="1:13" x14ac:dyDescent="0.3">
      <c r="A1060" s="1">
        <v>42699</v>
      </c>
      <c r="B1060">
        <v>7.34</v>
      </c>
      <c r="C1060">
        <v>5</v>
      </c>
      <c r="D1060">
        <v>7</v>
      </c>
      <c r="E1060">
        <v>21</v>
      </c>
      <c r="F1060">
        <v>20</v>
      </c>
      <c r="G1060">
        <v>4</v>
      </c>
      <c r="H1060">
        <v>5</v>
      </c>
      <c r="I1060">
        <v>1</v>
      </c>
      <c r="J1060">
        <v>2016</v>
      </c>
      <c r="K1060">
        <v>11</v>
      </c>
      <c r="L1060">
        <v>276</v>
      </c>
      <c r="M1060" t="s">
        <v>13</v>
      </c>
    </row>
    <row r="1061" spans="1:13" x14ac:dyDescent="0.3">
      <c r="A1061" s="1">
        <v>42700</v>
      </c>
      <c r="B1061">
        <v>3.33</v>
      </c>
      <c r="C1061">
        <v>5</v>
      </c>
      <c r="D1061">
        <v>4</v>
      </c>
      <c r="E1061">
        <v>36</v>
      </c>
      <c r="F1061">
        <v>9</v>
      </c>
      <c r="G1061">
        <v>3</v>
      </c>
      <c r="H1061">
        <v>12</v>
      </c>
      <c r="I1061">
        <v>2</v>
      </c>
      <c r="J1061">
        <v>2016</v>
      </c>
      <c r="K1061">
        <v>11</v>
      </c>
      <c r="L1061">
        <v>276</v>
      </c>
      <c r="M1061" t="s">
        <v>14</v>
      </c>
    </row>
    <row r="1062" spans="1:13" x14ac:dyDescent="0.3">
      <c r="A1062" s="1">
        <v>42701</v>
      </c>
      <c r="B1062">
        <v>9.33</v>
      </c>
      <c r="C1062">
        <v>5.6929999999999996</v>
      </c>
      <c r="D1062">
        <v>3.9</v>
      </c>
      <c r="E1062">
        <v>61</v>
      </c>
      <c r="F1062">
        <v>5</v>
      </c>
      <c r="G1062">
        <v>0</v>
      </c>
      <c r="H1062">
        <v>1</v>
      </c>
      <c r="I1062">
        <v>0</v>
      </c>
      <c r="J1062">
        <v>2016</v>
      </c>
      <c r="K1062">
        <v>11</v>
      </c>
      <c r="L1062">
        <v>276</v>
      </c>
      <c r="M1062" t="s">
        <v>15</v>
      </c>
    </row>
    <row r="1063" spans="1:13" x14ac:dyDescent="0.3">
      <c r="A1063" s="1">
        <v>42702</v>
      </c>
      <c r="B1063">
        <v>4.5</v>
      </c>
      <c r="C1063">
        <v>1.363</v>
      </c>
      <c r="D1063">
        <v>2.0499999999999998</v>
      </c>
      <c r="E1063">
        <v>23</v>
      </c>
      <c r="F1063">
        <v>5</v>
      </c>
      <c r="G1063">
        <v>0</v>
      </c>
      <c r="H1063">
        <v>12</v>
      </c>
      <c r="I1063">
        <v>0</v>
      </c>
      <c r="J1063">
        <v>2016</v>
      </c>
      <c r="K1063">
        <v>11</v>
      </c>
      <c r="L1063">
        <v>276</v>
      </c>
      <c r="M1063" t="s">
        <v>16</v>
      </c>
    </row>
    <row r="1064" spans="1:13" x14ac:dyDescent="0.3">
      <c r="A1064" s="1">
        <v>42703</v>
      </c>
      <c r="B1064">
        <v>5.68</v>
      </c>
      <c r="C1064">
        <v>5.67</v>
      </c>
      <c r="D1064">
        <v>3</v>
      </c>
      <c r="E1064">
        <v>45.6</v>
      </c>
      <c r="F1064">
        <v>6</v>
      </c>
      <c r="G1064">
        <v>2</v>
      </c>
      <c r="H1064">
        <v>0</v>
      </c>
      <c r="I1064">
        <v>0</v>
      </c>
      <c r="J1064">
        <v>2016</v>
      </c>
      <c r="K1064">
        <v>11</v>
      </c>
      <c r="L1064">
        <v>276</v>
      </c>
      <c r="M1064" t="s">
        <v>17</v>
      </c>
    </row>
    <row r="1065" spans="1:13" x14ac:dyDescent="0.3">
      <c r="A1065" s="1">
        <v>42704</v>
      </c>
      <c r="B1065">
        <v>3.33</v>
      </c>
      <c r="C1065">
        <v>2.99</v>
      </c>
      <c r="D1065">
        <v>4.3</v>
      </c>
      <c r="E1065">
        <v>24.6</v>
      </c>
      <c r="F1065">
        <v>13</v>
      </c>
      <c r="G1065">
        <v>0</v>
      </c>
      <c r="H1065">
        <v>7</v>
      </c>
      <c r="I1065">
        <v>0</v>
      </c>
      <c r="J1065">
        <v>2016</v>
      </c>
      <c r="K1065">
        <v>11</v>
      </c>
      <c r="L1065">
        <v>276</v>
      </c>
      <c r="M1065" t="s">
        <v>18</v>
      </c>
    </row>
    <row r="1066" spans="1:13" x14ac:dyDescent="0.3">
      <c r="A1066" s="1">
        <v>42705</v>
      </c>
      <c r="B1066">
        <v>4.5</v>
      </c>
      <c r="C1066">
        <v>2.363</v>
      </c>
      <c r="D1066">
        <v>1.5</v>
      </c>
      <c r="E1066">
        <v>55.661999999999999</v>
      </c>
      <c r="F1066">
        <v>8</v>
      </c>
      <c r="G1066">
        <v>0</v>
      </c>
      <c r="H1066">
        <v>9</v>
      </c>
      <c r="I1066">
        <v>0</v>
      </c>
      <c r="J1066">
        <v>2016</v>
      </c>
      <c r="K1066">
        <v>12</v>
      </c>
      <c r="L1066">
        <v>276</v>
      </c>
      <c r="M1066" t="s">
        <v>12</v>
      </c>
    </row>
    <row r="1067" spans="1:13" x14ac:dyDescent="0.3">
      <c r="A1067" s="1">
        <v>42706</v>
      </c>
      <c r="B1067">
        <v>6</v>
      </c>
      <c r="C1067">
        <v>1.0760000000000001</v>
      </c>
      <c r="D1067">
        <v>3.2</v>
      </c>
      <c r="E1067">
        <v>43</v>
      </c>
      <c r="F1067">
        <v>14</v>
      </c>
      <c r="G1067">
        <v>0</v>
      </c>
      <c r="H1067">
        <v>26</v>
      </c>
      <c r="I1067">
        <v>0.2</v>
      </c>
      <c r="J1067">
        <v>2016</v>
      </c>
      <c r="K1067">
        <v>12</v>
      </c>
      <c r="L1067">
        <v>276</v>
      </c>
      <c r="M1067" t="s">
        <v>13</v>
      </c>
    </row>
    <row r="1068" spans="1:13" x14ac:dyDescent="0.3">
      <c r="A1068" s="1">
        <v>42707</v>
      </c>
      <c r="B1068">
        <v>3.17</v>
      </c>
      <c r="C1068">
        <v>2.68</v>
      </c>
      <c r="D1068">
        <v>3</v>
      </c>
      <c r="E1068">
        <v>43.3</v>
      </c>
      <c r="F1068">
        <v>2</v>
      </c>
      <c r="G1068">
        <v>0</v>
      </c>
      <c r="H1068">
        <v>1</v>
      </c>
      <c r="I1068">
        <v>4</v>
      </c>
      <c r="J1068">
        <v>2016</v>
      </c>
      <c r="K1068">
        <v>12</v>
      </c>
      <c r="L1068">
        <v>276</v>
      </c>
      <c r="M1068" t="s">
        <v>14</v>
      </c>
    </row>
    <row r="1069" spans="1:13" x14ac:dyDescent="0.3">
      <c r="A1069" s="1">
        <v>42708</v>
      </c>
      <c r="B1069">
        <v>7</v>
      </c>
      <c r="C1069">
        <v>9.1229999999999993</v>
      </c>
      <c r="D1069">
        <v>2.9</v>
      </c>
      <c r="E1069">
        <v>67</v>
      </c>
      <c r="F1069">
        <v>4</v>
      </c>
      <c r="G1069">
        <v>0</v>
      </c>
      <c r="H1069">
        <v>0</v>
      </c>
      <c r="I1069">
        <v>0</v>
      </c>
      <c r="J1069">
        <v>2016</v>
      </c>
      <c r="K1069">
        <v>12</v>
      </c>
      <c r="L1069">
        <v>276</v>
      </c>
      <c r="M1069" t="s">
        <v>15</v>
      </c>
    </row>
    <row r="1070" spans="1:13" x14ac:dyDescent="0.3">
      <c r="A1070" s="1">
        <v>42709</v>
      </c>
      <c r="B1070">
        <v>9.5</v>
      </c>
      <c r="C1070">
        <v>1.68</v>
      </c>
      <c r="D1070">
        <v>4</v>
      </c>
      <c r="E1070">
        <v>23</v>
      </c>
      <c r="F1070">
        <v>6</v>
      </c>
      <c r="G1070">
        <v>1</v>
      </c>
      <c r="H1070">
        <v>13</v>
      </c>
      <c r="I1070">
        <v>2</v>
      </c>
      <c r="J1070">
        <v>2016</v>
      </c>
      <c r="K1070">
        <v>12</v>
      </c>
      <c r="L1070">
        <v>276</v>
      </c>
      <c r="M1070" t="s">
        <v>16</v>
      </c>
    </row>
    <row r="1071" spans="1:13" x14ac:dyDescent="0.3">
      <c r="A1071" s="1">
        <v>42710</v>
      </c>
      <c r="B1071">
        <v>6</v>
      </c>
      <c r="C1071">
        <v>5.09</v>
      </c>
      <c r="D1071">
        <v>4.4000000000000004</v>
      </c>
      <c r="E1071">
        <v>27.2</v>
      </c>
      <c r="F1071">
        <v>4</v>
      </c>
      <c r="G1071">
        <v>0</v>
      </c>
      <c r="H1071">
        <v>20</v>
      </c>
      <c r="I1071">
        <v>1</v>
      </c>
      <c r="J1071">
        <v>2016</v>
      </c>
      <c r="K1071">
        <v>12</v>
      </c>
      <c r="L1071">
        <v>276</v>
      </c>
      <c r="M1071" t="s">
        <v>17</v>
      </c>
    </row>
    <row r="1072" spans="1:13" x14ac:dyDescent="0.3">
      <c r="A1072" s="1">
        <v>42711</v>
      </c>
      <c r="B1072">
        <v>4.34</v>
      </c>
      <c r="C1072">
        <v>2.726</v>
      </c>
      <c r="D1072">
        <v>1.7</v>
      </c>
      <c r="E1072">
        <v>47</v>
      </c>
      <c r="F1072">
        <v>8</v>
      </c>
      <c r="G1072">
        <v>3</v>
      </c>
      <c r="H1072">
        <v>7</v>
      </c>
      <c r="I1072">
        <v>3</v>
      </c>
      <c r="J1072">
        <v>2016</v>
      </c>
      <c r="K1072">
        <v>12</v>
      </c>
      <c r="L1072">
        <v>276</v>
      </c>
      <c r="M1072" t="s">
        <v>18</v>
      </c>
    </row>
    <row r="1073" spans="1:13" x14ac:dyDescent="0.3">
      <c r="A1073" s="1">
        <v>42712</v>
      </c>
      <c r="B1073">
        <v>5.67</v>
      </c>
      <c r="C1073">
        <v>1.67</v>
      </c>
      <c r="D1073">
        <v>5</v>
      </c>
      <c r="E1073">
        <v>35.700000000000003</v>
      </c>
      <c r="F1073">
        <v>9</v>
      </c>
      <c r="G1073">
        <v>0</v>
      </c>
      <c r="H1073">
        <v>2</v>
      </c>
      <c r="I1073">
        <v>0</v>
      </c>
      <c r="J1073">
        <v>2016</v>
      </c>
      <c r="K1073">
        <v>12</v>
      </c>
      <c r="L1073">
        <v>276</v>
      </c>
      <c r="M1073" t="s">
        <v>12</v>
      </c>
    </row>
    <row r="1074" spans="1:13" x14ac:dyDescent="0.3">
      <c r="A1074" s="1">
        <v>42713</v>
      </c>
      <c r="B1074">
        <v>5.66</v>
      </c>
      <c r="C1074">
        <v>1.67</v>
      </c>
      <c r="D1074">
        <v>4</v>
      </c>
      <c r="E1074">
        <v>35.061999999999998</v>
      </c>
      <c r="F1074">
        <v>2</v>
      </c>
      <c r="G1074">
        <v>0</v>
      </c>
      <c r="H1074">
        <v>0</v>
      </c>
      <c r="I1074">
        <v>2</v>
      </c>
      <c r="J1074">
        <v>2016</v>
      </c>
      <c r="K1074">
        <v>12</v>
      </c>
      <c r="L1074">
        <v>276</v>
      </c>
      <c r="M1074" t="s">
        <v>13</v>
      </c>
    </row>
    <row r="1075" spans="1:13" x14ac:dyDescent="0.3">
      <c r="A1075" s="1">
        <v>42714</v>
      </c>
      <c r="B1075">
        <v>7.34</v>
      </c>
      <c r="C1075">
        <v>6.33</v>
      </c>
      <c r="D1075">
        <v>10.1</v>
      </c>
      <c r="E1075">
        <v>45.4</v>
      </c>
      <c r="F1075">
        <v>1</v>
      </c>
      <c r="G1075">
        <v>0</v>
      </c>
      <c r="H1075">
        <v>15</v>
      </c>
      <c r="I1075">
        <v>2</v>
      </c>
      <c r="J1075">
        <v>2016</v>
      </c>
      <c r="K1075">
        <v>12</v>
      </c>
      <c r="L1075">
        <v>276</v>
      </c>
      <c r="M1075" t="s">
        <v>14</v>
      </c>
    </row>
    <row r="1076" spans="1:13" x14ac:dyDescent="0.3">
      <c r="A1076" s="1">
        <v>42715</v>
      </c>
      <c r="B1076">
        <v>3.34</v>
      </c>
      <c r="C1076">
        <v>4.726</v>
      </c>
      <c r="D1076">
        <v>8.5500000000000007</v>
      </c>
      <c r="E1076">
        <v>62.061999999999998</v>
      </c>
      <c r="F1076">
        <v>7</v>
      </c>
      <c r="G1076">
        <v>0</v>
      </c>
      <c r="H1076">
        <v>14</v>
      </c>
      <c r="I1076">
        <v>1</v>
      </c>
      <c r="J1076">
        <v>2016</v>
      </c>
      <c r="K1076">
        <v>12</v>
      </c>
      <c r="L1076">
        <v>276</v>
      </c>
      <c r="M1076" t="s">
        <v>15</v>
      </c>
    </row>
    <row r="1077" spans="1:13" x14ac:dyDescent="0.3">
      <c r="A1077" s="1">
        <v>42716</v>
      </c>
      <c r="B1077">
        <v>3.66</v>
      </c>
      <c r="C1077">
        <v>2.4289999999999998</v>
      </c>
      <c r="D1077">
        <v>3.1</v>
      </c>
      <c r="E1077">
        <v>44.5</v>
      </c>
      <c r="F1077">
        <v>28.333333329999999</v>
      </c>
      <c r="G1077">
        <v>3</v>
      </c>
      <c r="H1077">
        <v>21</v>
      </c>
      <c r="I1077">
        <v>4</v>
      </c>
      <c r="J1077">
        <v>2016</v>
      </c>
      <c r="K1077">
        <v>12</v>
      </c>
      <c r="L1077">
        <v>276</v>
      </c>
      <c r="M1077" t="s">
        <v>16</v>
      </c>
    </row>
    <row r="1078" spans="1:13" x14ac:dyDescent="0.3">
      <c r="A1078" s="1">
        <v>42717</v>
      </c>
      <c r="B1078">
        <v>1</v>
      </c>
      <c r="C1078">
        <v>4</v>
      </c>
      <c r="D1078">
        <v>5.0999999999999996</v>
      </c>
      <c r="E1078">
        <v>43.6</v>
      </c>
      <c r="F1078">
        <v>0</v>
      </c>
      <c r="G1078">
        <v>0</v>
      </c>
      <c r="H1078">
        <v>18</v>
      </c>
      <c r="I1078">
        <v>0</v>
      </c>
      <c r="J1078">
        <v>2016</v>
      </c>
      <c r="K1078">
        <v>12</v>
      </c>
      <c r="L1078">
        <v>276</v>
      </c>
      <c r="M1078" t="s">
        <v>17</v>
      </c>
    </row>
    <row r="1079" spans="1:13" x14ac:dyDescent="0.3">
      <c r="A1079" s="1">
        <v>42718</v>
      </c>
      <c r="B1079">
        <v>5.83</v>
      </c>
      <c r="C1079">
        <v>3.78</v>
      </c>
      <c r="D1079">
        <v>5.65</v>
      </c>
      <c r="E1079">
        <v>32.200000000000003</v>
      </c>
      <c r="F1079">
        <v>21</v>
      </c>
      <c r="G1079">
        <v>0</v>
      </c>
      <c r="H1079">
        <v>10</v>
      </c>
      <c r="I1079">
        <v>1.2</v>
      </c>
      <c r="J1079">
        <v>2016</v>
      </c>
      <c r="K1079">
        <v>12</v>
      </c>
      <c r="L1079">
        <v>276</v>
      </c>
      <c r="M1079" t="s">
        <v>18</v>
      </c>
    </row>
    <row r="1080" spans="1:13" x14ac:dyDescent="0.3">
      <c r="A1080" s="1">
        <v>42719</v>
      </c>
      <c r="B1080">
        <v>9.66</v>
      </c>
      <c r="C1080">
        <v>3.33</v>
      </c>
      <c r="D1080">
        <v>1</v>
      </c>
      <c r="E1080">
        <v>22.8</v>
      </c>
      <c r="F1080">
        <v>8</v>
      </c>
      <c r="G1080">
        <v>0</v>
      </c>
      <c r="H1080">
        <v>5</v>
      </c>
      <c r="I1080">
        <v>1</v>
      </c>
      <c r="J1080">
        <v>2016</v>
      </c>
      <c r="K1080">
        <v>12</v>
      </c>
      <c r="L1080">
        <v>276</v>
      </c>
      <c r="M1080" t="s">
        <v>12</v>
      </c>
    </row>
    <row r="1081" spans="1:13" x14ac:dyDescent="0.3">
      <c r="A1081" s="1">
        <v>42720</v>
      </c>
      <c r="B1081">
        <v>7.33</v>
      </c>
      <c r="C1081">
        <v>6.32</v>
      </c>
      <c r="D1081">
        <v>2.2000000000000002</v>
      </c>
      <c r="E1081">
        <v>39.774999999999999</v>
      </c>
      <c r="F1081">
        <v>8</v>
      </c>
      <c r="G1081">
        <v>3</v>
      </c>
      <c r="H1081">
        <v>23</v>
      </c>
      <c r="I1081">
        <v>1</v>
      </c>
      <c r="J1081">
        <v>2016</v>
      </c>
      <c r="K1081">
        <v>12</v>
      </c>
      <c r="L1081">
        <v>276</v>
      </c>
      <c r="M1081" t="s">
        <v>13</v>
      </c>
    </row>
    <row r="1082" spans="1:13" x14ac:dyDescent="0.3">
      <c r="A1082" s="1">
        <v>42721</v>
      </c>
      <c r="B1082">
        <v>5.99</v>
      </c>
      <c r="C1082">
        <v>2.66</v>
      </c>
      <c r="D1082">
        <v>4.1500000000000004</v>
      </c>
      <c r="E1082">
        <v>59.95</v>
      </c>
      <c r="F1082">
        <v>10</v>
      </c>
      <c r="G1082">
        <v>0</v>
      </c>
      <c r="H1082">
        <v>6</v>
      </c>
      <c r="I1082">
        <v>1</v>
      </c>
      <c r="J1082">
        <v>2016</v>
      </c>
      <c r="K1082">
        <v>12</v>
      </c>
      <c r="L1082">
        <v>276</v>
      </c>
      <c r="M1082" t="s">
        <v>14</v>
      </c>
    </row>
    <row r="1083" spans="1:13" x14ac:dyDescent="0.3">
      <c r="A1083" s="1">
        <v>42722</v>
      </c>
      <c r="B1083">
        <v>1.67</v>
      </c>
      <c r="C1083">
        <v>5.0199999999999996</v>
      </c>
      <c r="D1083">
        <v>4.2</v>
      </c>
      <c r="E1083">
        <v>60.7</v>
      </c>
      <c r="F1083">
        <v>13</v>
      </c>
      <c r="G1083">
        <v>0</v>
      </c>
      <c r="H1083">
        <v>5</v>
      </c>
      <c r="I1083">
        <v>1</v>
      </c>
      <c r="J1083">
        <v>2016</v>
      </c>
      <c r="K1083">
        <v>12</v>
      </c>
      <c r="L1083">
        <v>276</v>
      </c>
      <c r="M1083" t="s">
        <v>15</v>
      </c>
    </row>
    <row r="1084" spans="1:13" x14ac:dyDescent="0.3">
      <c r="A1084" s="1">
        <v>42723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2016</v>
      </c>
      <c r="K1084">
        <v>12</v>
      </c>
      <c r="L1084">
        <v>276</v>
      </c>
      <c r="M1084" t="s">
        <v>16</v>
      </c>
    </row>
    <row r="1085" spans="1:13" x14ac:dyDescent="0.3">
      <c r="A1085" s="1">
        <v>42724</v>
      </c>
      <c r="B1085">
        <v>6.33</v>
      </c>
      <c r="C1085">
        <v>3.66</v>
      </c>
      <c r="D1085">
        <v>4</v>
      </c>
      <c r="E1085">
        <v>46</v>
      </c>
      <c r="F1085">
        <v>12</v>
      </c>
      <c r="G1085">
        <v>2</v>
      </c>
      <c r="H1085">
        <v>1</v>
      </c>
      <c r="I1085">
        <v>0</v>
      </c>
      <c r="J1085">
        <v>2016</v>
      </c>
      <c r="K1085">
        <v>12</v>
      </c>
      <c r="L1085">
        <v>276</v>
      </c>
      <c r="M1085" t="s">
        <v>17</v>
      </c>
    </row>
    <row r="1086" spans="1:13" x14ac:dyDescent="0.3">
      <c r="A1086" s="1">
        <v>42725</v>
      </c>
      <c r="B1086">
        <v>1.34</v>
      </c>
      <c r="C1086">
        <v>2.8119999999999998</v>
      </c>
      <c r="D1086">
        <v>0.25</v>
      </c>
      <c r="E1086">
        <v>37</v>
      </c>
      <c r="F1086">
        <v>5</v>
      </c>
      <c r="G1086">
        <v>0</v>
      </c>
      <c r="H1086">
        <v>6</v>
      </c>
      <c r="I1086">
        <v>2.5</v>
      </c>
      <c r="J1086">
        <v>2016</v>
      </c>
      <c r="K1086">
        <v>12</v>
      </c>
      <c r="L1086">
        <v>276</v>
      </c>
      <c r="M1086" t="s">
        <v>18</v>
      </c>
    </row>
    <row r="1087" spans="1:13" x14ac:dyDescent="0.3">
      <c r="A1087" s="1">
        <v>42726</v>
      </c>
      <c r="B1087">
        <v>4.34</v>
      </c>
      <c r="C1087">
        <v>4.165</v>
      </c>
      <c r="D1087">
        <v>3.8</v>
      </c>
      <c r="E1087">
        <v>38.4</v>
      </c>
      <c r="F1087">
        <v>1</v>
      </c>
      <c r="G1087">
        <v>0</v>
      </c>
      <c r="H1087">
        <v>5</v>
      </c>
      <c r="I1087">
        <v>0</v>
      </c>
      <c r="J1087">
        <v>2016</v>
      </c>
      <c r="K1087">
        <v>12</v>
      </c>
      <c r="L1087">
        <v>276</v>
      </c>
      <c r="M1087" t="s">
        <v>12</v>
      </c>
    </row>
    <row r="1088" spans="1:13" x14ac:dyDescent="0.3">
      <c r="A1088" s="1">
        <v>42727</v>
      </c>
      <c r="B1088">
        <v>5.33</v>
      </c>
      <c r="C1088">
        <v>4.67</v>
      </c>
      <c r="D1088">
        <v>1.1499999999999999</v>
      </c>
      <c r="E1088">
        <v>32</v>
      </c>
      <c r="F1088">
        <v>6</v>
      </c>
      <c r="G1088">
        <v>0</v>
      </c>
      <c r="H1088">
        <v>8</v>
      </c>
      <c r="I1088">
        <v>2</v>
      </c>
      <c r="J1088">
        <v>2016</v>
      </c>
      <c r="K1088">
        <v>12</v>
      </c>
      <c r="L1088">
        <v>276</v>
      </c>
      <c r="M1088" t="s">
        <v>13</v>
      </c>
    </row>
    <row r="1089" spans="1:13" x14ac:dyDescent="0.3">
      <c r="A1089" s="1">
        <v>42728</v>
      </c>
      <c r="B1089">
        <v>6.33</v>
      </c>
      <c r="C1089">
        <v>6.7</v>
      </c>
      <c r="D1089">
        <v>4.2</v>
      </c>
      <c r="E1089">
        <v>82</v>
      </c>
      <c r="F1089">
        <v>4</v>
      </c>
      <c r="G1089">
        <v>1</v>
      </c>
      <c r="H1089">
        <v>2</v>
      </c>
      <c r="I1089">
        <v>1</v>
      </c>
      <c r="J1089">
        <v>2016</v>
      </c>
      <c r="K1089">
        <v>12</v>
      </c>
      <c r="L1089">
        <v>276</v>
      </c>
      <c r="M1089" t="s">
        <v>14</v>
      </c>
    </row>
    <row r="1090" spans="1:13" x14ac:dyDescent="0.3">
      <c r="A1090" s="1">
        <v>42729</v>
      </c>
      <c r="B1090">
        <v>2.33</v>
      </c>
      <c r="C1090">
        <v>7.6269999999999998</v>
      </c>
      <c r="D1090">
        <v>5.7</v>
      </c>
      <c r="E1090">
        <v>79.8</v>
      </c>
      <c r="F1090">
        <v>0</v>
      </c>
      <c r="G1090">
        <v>0</v>
      </c>
      <c r="H1090">
        <v>9</v>
      </c>
      <c r="I1090">
        <v>1</v>
      </c>
      <c r="J1090">
        <v>2016</v>
      </c>
      <c r="K1090">
        <v>12</v>
      </c>
      <c r="L1090">
        <v>276</v>
      </c>
      <c r="M1090" t="s">
        <v>15</v>
      </c>
    </row>
    <row r="1091" spans="1:13" x14ac:dyDescent="0.3">
      <c r="A1091" s="1">
        <v>42730</v>
      </c>
      <c r="B1091">
        <v>10.33</v>
      </c>
      <c r="C1091">
        <v>4.66</v>
      </c>
      <c r="D1091">
        <v>2</v>
      </c>
      <c r="E1091">
        <v>58.923999999999999</v>
      </c>
      <c r="F1091">
        <v>6</v>
      </c>
      <c r="G1091">
        <v>0</v>
      </c>
      <c r="H1091">
        <v>2</v>
      </c>
      <c r="I1091">
        <v>2</v>
      </c>
      <c r="J1091">
        <v>2016</v>
      </c>
      <c r="K1091">
        <v>12</v>
      </c>
      <c r="L1091">
        <v>276</v>
      </c>
      <c r="M1091" t="s">
        <v>16</v>
      </c>
    </row>
    <row r="1092" spans="1:13" x14ac:dyDescent="0.3">
      <c r="A1092" s="1">
        <v>42731</v>
      </c>
      <c r="B1092">
        <v>6</v>
      </c>
      <c r="C1092">
        <v>5</v>
      </c>
      <c r="D1092">
        <v>0.41666666699999999</v>
      </c>
      <c r="E1092">
        <v>54.2</v>
      </c>
      <c r="F1092">
        <v>8</v>
      </c>
      <c r="G1092">
        <v>2</v>
      </c>
      <c r="H1092">
        <v>13</v>
      </c>
      <c r="I1092">
        <v>0</v>
      </c>
      <c r="J1092">
        <v>2016</v>
      </c>
      <c r="K1092">
        <v>12</v>
      </c>
      <c r="L1092">
        <v>276</v>
      </c>
      <c r="M1092" t="s">
        <v>17</v>
      </c>
    </row>
    <row r="1093" spans="1:13" x14ac:dyDescent="0.3">
      <c r="A1093" s="1">
        <v>42732</v>
      </c>
      <c r="B1093">
        <v>4.34</v>
      </c>
      <c r="C1093">
        <v>6.33</v>
      </c>
      <c r="D1093">
        <v>6.45</v>
      </c>
      <c r="E1093">
        <v>57.2</v>
      </c>
      <c r="F1093">
        <v>7</v>
      </c>
      <c r="G1093">
        <v>0</v>
      </c>
      <c r="H1093">
        <v>13</v>
      </c>
      <c r="I1093">
        <v>0</v>
      </c>
      <c r="J1093">
        <v>2016</v>
      </c>
      <c r="K1093">
        <v>12</v>
      </c>
      <c r="L1093">
        <v>276</v>
      </c>
      <c r="M1093" t="s">
        <v>18</v>
      </c>
    </row>
    <row r="1094" spans="1:13" x14ac:dyDescent="0.3">
      <c r="A1094" s="1">
        <v>42733</v>
      </c>
      <c r="B1094">
        <v>11</v>
      </c>
      <c r="C1094">
        <v>6.01</v>
      </c>
      <c r="D1094">
        <v>6.35</v>
      </c>
      <c r="E1094">
        <v>81.2</v>
      </c>
      <c r="F1094">
        <v>4</v>
      </c>
      <c r="G1094">
        <v>3</v>
      </c>
      <c r="H1094">
        <v>6</v>
      </c>
      <c r="I1094">
        <v>2</v>
      </c>
      <c r="J1094">
        <v>2016</v>
      </c>
      <c r="K1094">
        <v>12</v>
      </c>
      <c r="L1094">
        <v>276</v>
      </c>
      <c r="M1094" t="s">
        <v>12</v>
      </c>
    </row>
    <row r="1095" spans="1:13" x14ac:dyDescent="0.3">
      <c r="A1095" s="1">
        <v>42734</v>
      </c>
      <c r="B1095">
        <v>5.66</v>
      </c>
      <c r="C1095">
        <v>8.99</v>
      </c>
      <c r="D1095">
        <v>7.3</v>
      </c>
      <c r="E1095">
        <v>161</v>
      </c>
      <c r="F1095">
        <v>13</v>
      </c>
      <c r="G1095">
        <v>0</v>
      </c>
      <c r="H1095">
        <v>3</v>
      </c>
      <c r="I1095">
        <v>0</v>
      </c>
      <c r="J1095">
        <v>2016</v>
      </c>
      <c r="K1095">
        <v>12</v>
      </c>
      <c r="L1095">
        <v>276</v>
      </c>
      <c r="M1095" t="s">
        <v>13</v>
      </c>
    </row>
    <row r="1096" spans="1:13" x14ac:dyDescent="0.3">
      <c r="A1096" s="1">
        <v>42735</v>
      </c>
      <c r="B1096">
        <v>8.33</v>
      </c>
      <c r="C1096">
        <v>7.7590000000000003</v>
      </c>
      <c r="D1096">
        <v>7.45</v>
      </c>
      <c r="E1096">
        <v>108.7</v>
      </c>
      <c r="F1096">
        <v>7</v>
      </c>
      <c r="G1096">
        <v>0</v>
      </c>
      <c r="H1096">
        <v>12</v>
      </c>
      <c r="I1096">
        <v>0</v>
      </c>
      <c r="J1096">
        <v>2016</v>
      </c>
      <c r="K1096">
        <v>12</v>
      </c>
      <c r="L1096">
        <v>276</v>
      </c>
      <c r="M1096" t="s">
        <v>14</v>
      </c>
    </row>
    <row r="1097" spans="1:13" x14ac:dyDescent="0.3">
      <c r="A1097" s="1">
        <v>42736</v>
      </c>
      <c r="B1097">
        <v>3.5437500000000002</v>
      </c>
      <c r="C1097">
        <v>3.9562499999999998</v>
      </c>
      <c r="D1097">
        <v>1.5625</v>
      </c>
      <c r="E1097">
        <v>25.675000000000001</v>
      </c>
      <c r="F1097">
        <v>8.75</v>
      </c>
      <c r="G1097">
        <v>1.875</v>
      </c>
      <c r="H1097">
        <v>6.25</v>
      </c>
      <c r="I1097">
        <v>0.625</v>
      </c>
      <c r="J1097">
        <v>2017</v>
      </c>
      <c r="K1097">
        <v>1</v>
      </c>
      <c r="L1097">
        <v>276</v>
      </c>
      <c r="M1097" t="s">
        <v>15</v>
      </c>
    </row>
    <row r="1098" spans="1:13" x14ac:dyDescent="0.3">
      <c r="A1098" s="1">
        <v>42737</v>
      </c>
      <c r="B1098">
        <v>0.21249999999999999</v>
      </c>
      <c r="C1098">
        <v>0.63749999999999996</v>
      </c>
      <c r="D1098">
        <v>0.625</v>
      </c>
      <c r="E1098">
        <v>32</v>
      </c>
      <c r="F1098">
        <v>0</v>
      </c>
      <c r="G1098">
        <v>0.625</v>
      </c>
      <c r="H1098">
        <v>3.125</v>
      </c>
      <c r="I1098">
        <v>3.125</v>
      </c>
      <c r="J1098">
        <v>2017</v>
      </c>
      <c r="K1098">
        <v>1</v>
      </c>
      <c r="L1098">
        <v>276</v>
      </c>
      <c r="M1098" t="s">
        <v>16</v>
      </c>
    </row>
    <row r="1099" spans="1:13" x14ac:dyDescent="0.3">
      <c r="A1099" s="1">
        <v>42738</v>
      </c>
      <c r="B1099">
        <v>6.25</v>
      </c>
      <c r="C1099">
        <v>5.8312499999999998</v>
      </c>
      <c r="D1099">
        <v>4.625</v>
      </c>
      <c r="E1099">
        <v>66.8125</v>
      </c>
      <c r="F1099">
        <v>8.75</v>
      </c>
      <c r="G1099">
        <v>0</v>
      </c>
      <c r="H1099">
        <v>7.03125</v>
      </c>
      <c r="I1099">
        <v>1.875</v>
      </c>
      <c r="J1099">
        <v>2017</v>
      </c>
      <c r="K1099">
        <v>1</v>
      </c>
      <c r="L1099">
        <v>276</v>
      </c>
      <c r="M1099" t="s">
        <v>17</v>
      </c>
    </row>
    <row r="1100" spans="1:13" x14ac:dyDescent="0.3">
      <c r="A1100" s="1">
        <v>42739</v>
      </c>
      <c r="B1100">
        <v>6.8041666669999996</v>
      </c>
      <c r="C1100">
        <v>5.9708333329999999</v>
      </c>
      <c r="D1100">
        <v>6.4166666670000003</v>
      </c>
      <c r="E1100">
        <v>56.766666669999999</v>
      </c>
      <c r="F1100">
        <v>10</v>
      </c>
      <c r="G1100">
        <v>1.25</v>
      </c>
      <c r="H1100">
        <v>5</v>
      </c>
      <c r="I1100">
        <v>2.9166666669999999</v>
      </c>
      <c r="J1100">
        <v>2017</v>
      </c>
      <c r="K1100">
        <v>1</v>
      </c>
      <c r="L1100">
        <v>276</v>
      </c>
      <c r="M1100" t="s">
        <v>18</v>
      </c>
    </row>
    <row r="1101" spans="1:13" x14ac:dyDescent="0.3">
      <c r="A1101" s="1">
        <v>42740</v>
      </c>
      <c r="B1101">
        <v>7.5041666669999998</v>
      </c>
      <c r="C1101">
        <v>7.8791666669999998</v>
      </c>
      <c r="D1101">
        <v>5.2083333329999997</v>
      </c>
      <c r="E1101">
        <v>62.208333330000002</v>
      </c>
      <c r="F1101">
        <v>14.58333333</v>
      </c>
      <c r="G1101">
        <v>0</v>
      </c>
      <c r="H1101">
        <v>11.25</v>
      </c>
      <c r="I1101">
        <v>2.5</v>
      </c>
      <c r="J1101">
        <v>2017</v>
      </c>
      <c r="K1101">
        <v>1</v>
      </c>
      <c r="L1101">
        <v>276</v>
      </c>
      <c r="M1101" t="s">
        <v>12</v>
      </c>
    </row>
    <row r="1102" spans="1:13" x14ac:dyDescent="0.3">
      <c r="A1102" s="1">
        <v>42741</v>
      </c>
      <c r="B1102">
        <v>4.5833333329999997</v>
      </c>
      <c r="C1102">
        <v>3.05</v>
      </c>
      <c r="D1102">
        <v>5.625</v>
      </c>
      <c r="E1102">
        <v>65.5625</v>
      </c>
      <c r="F1102">
        <v>10.83333333</v>
      </c>
      <c r="G1102">
        <v>0</v>
      </c>
      <c r="H1102">
        <v>15.41666667</v>
      </c>
      <c r="I1102">
        <v>2.5</v>
      </c>
      <c r="J1102">
        <v>2017</v>
      </c>
      <c r="K1102">
        <v>1</v>
      </c>
      <c r="L1102">
        <v>276</v>
      </c>
      <c r="M1102" t="s">
        <v>13</v>
      </c>
    </row>
    <row r="1103" spans="1:13" x14ac:dyDescent="0.3">
      <c r="A1103" s="1">
        <v>42742</v>
      </c>
      <c r="B1103">
        <v>2.9166666669999999</v>
      </c>
      <c r="C1103">
        <v>5.1541666670000001</v>
      </c>
      <c r="D1103">
        <v>5.9583333329999997</v>
      </c>
      <c r="E1103">
        <v>34.625</v>
      </c>
      <c r="F1103">
        <v>8.75</v>
      </c>
      <c r="G1103">
        <v>0</v>
      </c>
      <c r="H1103">
        <v>2.5</v>
      </c>
      <c r="I1103">
        <v>0</v>
      </c>
      <c r="J1103">
        <v>2017</v>
      </c>
      <c r="K1103">
        <v>1</v>
      </c>
      <c r="L1103">
        <v>276</v>
      </c>
      <c r="M1103" t="s">
        <v>14</v>
      </c>
    </row>
    <row r="1104" spans="1:13" x14ac:dyDescent="0.3">
      <c r="A1104" s="1">
        <v>42743</v>
      </c>
      <c r="B1104">
        <v>5.4166666670000003</v>
      </c>
      <c r="C1104">
        <v>1.859583333</v>
      </c>
      <c r="D1104">
        <v>5.0833333329999997</v>
      </c>
      <c r="E1104">
        <v>25.375</v>
      </c>
      <c r="F1104">
        <v>10</v>
      </c>
      <c r="G1104">
        <v>2.0833333330000001</v>
      </c>
      <c r="H1104">
        <v>3.3333333330000001</v>
      </c>
      <c r="I1104">
        <v>1.6666666670000001</v>
      </c>
      <c r="J1104">
        <v>2017</v>
      </c>
      <c r="K1104">
        <v>1</v>
      </c>
      <c r="L1104">
        <v>276</v>
      </c>
      <c r="M1104" t="s">
        <v>15</v>
      </c>
    </row>
    <row r="1105" spans="1:13" x14ac:dyDescent="0.3">
      <c r="A1105" s="1">
        <v>42744</v>
      </c>
      <c r="B1105">
        <v>3.8875000000000002</v>
      </c>
      <c r="C1105">
        <v>4.0570833329999996</v>
      </c>
      <c r="D1105">
        <v>2.5833333330000001</v>
      </c>
      <c r="E1105">
        <v>56.125</v>
      </c>
      <c r="F1105">
        <v>9.1666666669999994</v>
      </c>
      <c r="G1105">
        <v>0.41666666699999999</v>
      </c>
      <c r="H1105">
        <v>1.6666666670000001</v>
      </c>
      <c r="I1105">
        <v>2.0833333330000001</v>
      </c>
      <c r="J1105">
        <v>2017</v>
      </c>
      <c r="K1105">
        <v>1</v>
      </c>
      <c r="L1105">
        <v>276</v>
      </c>
      <c r="M1105" t="s">
        <v>16</v>
      </c>
    </row>
    <row r="1106" spans="1:13" x14ac:dyDescent="0.3">
      <c r="A1106" s="1">
        <v>42745</v>
      </c>
      <c r="B1106">
        <v>6.3875000000000002</v>
      </c>
      <c r="C1106">
        <v>4.7387499999999996</v>
      </c>
      <c r="D1106">
        <v>13.29166667</v>
      </c>
      <c r="E1106">
        <v>54.25</v>
      </c>
      <c r="F1106">
        <v>25</v>
      </c>
      <c r="G1106">
        <v>1.6666666670000001</v>
      </c>
      <c r="H1106">
        <v>7.5</v>
      </c>
      <c r="I1106">
        <v>0.83333333300000001</v>
      </c>
      <c r="J1106">
        <v>2017</v>
      </c>
      <c r="K1106">
        <v>1</v>
      </c>
      <c r="L1106">
        <v>276</v>
      </c>
      <c r="M1106" t="s">
        <v>17</v>
      </c>
    </row>
    <row r="1107" spans="1:13" x14ac:dyDescent="0.3">
      <c r="A1107" s="1">
        <v>42746</v>
      </c>
      <c r="B1107">
        <v>9.3083333330000002</v>
      </c>
      <c r="C1107">
        <v>5.5016666670000003</v>
      </c>
      <c r="D1107">
        <v>9.1666666669999994</v>
      </c>
      <c r="E1107">
        <v>51.041666669999998</v>
      </c>
      <c r="F1107">
        <v>20</v>
      </c>
      <c r="G1107">
        <v>1.25</v>
      </c>
      <c r="H1107">
        <v>1.6666666670000001</v>
      </c>
      <c r="I1107">
        <v>2.9166666669999999</v>
      </c>
      <c r="J1107">
        <v>2017</v>
      </c>
      <c r="K1107">
        <v>1</v>
      </c>
      <c r="L1107">
        <v>276</v>
      </c>
      <c r="M1107" t="s">
        <v>18</v>
      </c>
    </row>
    <row r="1108" spans="1:13" x14ac:dyDescent="0.3">
      <c r="A1108" s="1">
        <v>42747</v>
      </c>
      <c r="B1108">
        <v>8.3333333330000006</v>
      </c>
      <c r="C1108">
        <v>5.1966666669999997</v>
      </c>
      <c r="D1108">
        <v>8.75</v>
      </c>
      <c r="E1108">
        <v>65.9375</v>
      </c>
      <c r="F1108">
        <v>14.16666667</v>
      </c>
      <c r="G1108">
        <v>1.25</v>
      </c>
      <c r="H1108">
        <v>4.5833333329999997</v>
      </c>
      <c r="I1108">
        <v>1.6666666670000001</v>
      </c>
      <c r="J1108">
        <v>2017</v>
      </c>
      <c r="K1108">
        <v>1</v>
      </c>
      <c r="L1108">
        <v>276</v>
      </c>
      <c r="M1108" t="s">
        <v>12</v>
      </c>
    </row>
    <row r="1109" spans="1:13" x14ac:dyDescent="0.3">
      <c r="A1109" s="1">
        <v>42748</v>
      </c>
      <c r="B1109">
        <v>6.8041666669999996</v>
      </c>
      <c r="C1109">
        <v>3.891666667</v>
      </c>
      <c r="D1109">
        <v>9.5416666669999994</v>
      </c>
      <c r="E1109">
        <v>54.416666669999998</v>
      </c>
      <c r="F1109">
        <v>19.583333329999999</v>
      </c>
      <c r="G1109">
        <v>0</v>
      </c>
      <c r="H1109">
        <v>3.3333333330000001</v>
      </c>
      <c r="I1109">
        <v>1.3333333329999999</v>
      </c>
      <c r="J1109">
        <v>2017</v>
      </c>
      <c r="K1109">
        <v>1</v>
      </c>
      <c r="L1109">
        <v>276</v>
      </c>
      <c r="M1109" t="s">
        <v>13</v>
      </c>
    </row>
    <row r="1110" spans="1:13" x14ac:dyDescent="0.3">
      <c r="A1110" s="1">
        <v>42749</v>
      </c>
      <c r="B1110">
        <v>5.9749999999999996</v>
      </c>
      <c r="C1110">
        <v>4.3645833329999997</v>
      </c>
      <c r="D1110">
        <v>7.7083333329999997</v>
      </c>
      <c r="E1110">
        <v>47.916666669999998</v>
      </c>
      <c r="F1110">
        <v>16.666666670000001</v>
      </c>
      <c r="G1110">
        <v>0.83333333300000001</v>
      </c>
      <c r="H1110">
        <v>5.4166666670000003</v>
      </c>
      <c r="I1110">
        <v>2.0833333330000001</v>
      </c>
      <c r="J1110">
        <v>2017</v>
      </c>
      <c r="K1110">
        <v>1</v>
      </c>
      <c r="L1110">
        <v>276</v>
      </c>
      <c r="M1110" t="s">
        <v>14</v>
      </c>
    </row>
    <row r="1111" spans="1:13" x14ac:dyDescent="0.3">
      <c r="A1111" s="1">
        <v>42750</v>
      </c>
      <c r="B1111">
        <v>8.0500000000000007</v>
      </c>
      <c r="C1111">
        <v>6.5250000000000004</v>
      </c>
      <c r="D1111">
        <v>9.0833333330000006</v>
      </c>
      <c r="E1111">
        <v>38.791666669999998</v>
      </c>
      <c r="F1111">
        <v>15.41666667</v>
      </c>
      <c r="G1111">
        <v>0</v>
      </c>
      <c r="H1111">
        <v>7.5</v>
      </c>
      <c r="I1111">
        <v>1.25</v>
      </c>
      <c r="J1111">
        <v>2017</v>
      </c>
      <c r="K1111">
        <v>1</v>
      </c>
      <c r="L1111">
        <v>276</v>
      </c>
      <c r="M1111" t="s">
        <v>15</v>
      </c>
    </row>
    <row r="1112" spans="1:13" x14ac:dyDescent="0.3">
      <c r="A1112" s="1">
        <v>42751</v>
      </c>
      <c r="B1112">
        <v>6.670833333</v>
      </c>
      <c r="C1112">
        <v>4.0291666670000001</v>
      </c>
      <c r="D1112">
        <v>8.0416666669999994</v>
      </c>
      <c r="E1112">
        <v>63.5625</v>
      </c>
      <c r="F1112">
        <v>12.5</v>
      </c>
      <c r="G1112">
        <v>0.41666666699999999</v>
      </c>
      <c r="H1112">
        <v>7.0833333329999997</v>
      </c>
      <c r="I1112">
        <v>2.0833333330000001</v>
      </c>
      <c r="J1112">
        <v>2017</v>
      </c>
      <c r="K1112">
        <v>1</v>
      </c>
      <c r="L1112">
        <v>276</v>
      </c>
      <c r="M1112" t="s">
        <v>16</v>
      </c>
    </row>
    <row r="1113" spans="1:13" x14ac:dyDescent="0.3">
      <c r="A1113" s="1">
        <v>42752</v>
      </c>
      <c r="B1113">
        <v>7.2249999999999996</v>
      </c>
      <c r="C1113">
        <v>4.1391666669999996</v>
      </c>
      <c r="D1113">
        <v>5.2916666670000003</v>
      </c>
      <c r="E1113">
        <v>48.458333330000002</v>
      </c>
      <c r="F1113">
        <v>13.33333333</v>
      </c>
      <c r="G1113">
        <v>1.6666666670000001</v>
      </c>
      <c r="H1113">
        <v>3.75</v>
      </c>
      <c r="I1113">
        <v>2.5</v>
      </c>
      <c r="J1113">
        <v>2017</v>
      </c>
      <c r="K1113">
        <v>1</v>
      </c>
      <c r="L1113">
        <v>276</v>
      </c>
      <c r="M1113" t="s">
        <v>17</v>
      </c>
    </row>
    <row r="1114" spans="1:13" x14ac:dyDescent="0.3">
      <c r="A1114" s="1">
        <v>42753</v>
      </c>
      <c r="B1114">
        <v>6.7416666669999996</v>
      </c>
      <c r="C1114">
        <v>4.4458333330000004</v>
      </c>
      <c r="D1114">
        <v>6.5</v>
      </c>
      <c r="E1114">
        <v>45.958333330000002</v>
      </c>
      <c r="F1114">
        <v>16.666666670000001</v>
      </c>
      <c r="G1114">
        <v>1.25</v>
      </c>
      <c r="H1114">
        <v>5.8333333329999997</v>
      </c>
      <c r="I1114">
        <v>0.83333333300000001</v>
      </c>
      <c r="J1114">
        <v>2017</v>
      </c>
      <c r="K1114">
        <v>1</v>
      </c>
      <c r="L1114">
        <v>276</v>
      </c>
      <c r="M1114" t="s">
        <v>18</v>
      </c>
    </row>
    <row r="1115" spans="1:13" x14ac:dyDescent="0.3">
      <c r="A1115" s="1">
        <v>42754</v>
      </c>
      <c r="B1115">
        <v>5</v>
      </c>
      <c r="C1115">
        <v>5.7</v>
      </c>
      <c r="D1115">
        <v>7.8333333329999997</v>
      </c>
      <c r="E1115">
        <v>37.75</v>
      </c>
      <c r="F1115">
        <v>15.83333333</v>
      </c>
      <c r="G1115">
        <v>0</v>
      </c>
      <c r="H1115">
        <v>2.5</v>
      </c>
      <c r="I1115">
        <v>3.3333333330000001</v>
      </c>
      <c r="J1115">
        <v>2017</v>
      </c>
      <c r="K1115">
        <v>1</v>
      </c>
      <c r="L1115">
        <v>276</v>
      </c>
      <c r="M1115" t="s">
        <v>12</v>
      </c>
    </row>
    <row r="1116" spans="1:13" x14ac:dyDescent="0.3">
      <c r="A1116" s="1">
        <v>42755</v>
      </c>
      <c r="B1116">
        <v>3.608333333</v>
      </c>
      <c r="C1116">
        <v>4.7387499999999996</v>
      </c>
      <c r="D1116">
        <v>4.125</v>
      </c>
      <c r="E1116">
        <v>37.625</v>
      </c>
      <c r="F1116">
        <v>23.333333329999999</v>
      </c>
      <c r="G1116">
        <v>2.9166666669999999</v>
      </c>
      <c r="H1116">
        <v>12.5</v>
      </c>
      <c r="I1116">
        <v>2.5</v>
      </c>
      <c r="J1116">
        <v>2017</v>
      </c>
      <c r="K1116">
        <v>1</v>
      </c>
      <c r="L1116">
        <v>276</v>
      </c>
      <c r="M1116" t="s">
        <v>13</v>
      </c>
    </row>
    <row r="1117" spans="1:13" x14ac:dyDescent="0.3">
      <c r="A1117" s="1">
        <v>42756</v>
      </c>
      <c r="B1117">
        <v>5.6958333330000004</v>
      </c>
      <c r="C1117">
        <v>2.4</v>
      </c>
      <c r="D1117">
        <v>4.5833333329999997</v>
      </c>
      <c r="E1117">
        <v>50.208333330000002</v>
      </c>
      <c r="F1117">
        <v>15</v>
      </c>
      <c r="G1117">
        <v>2.0833333330000001</v>
      </c>
      <c r="H1117">
        <v>4.5833333329999997</v>
      </c>
      <c r="I1117">
        <v>2.9166666669999999</v>
      </c>
      <c r="J1117">
        <v>2017</v>
      </c>
      <c r="K1117">
        <v>1</v>
      </c>
      <c r="L1117">
        <v>276</v>
      </c>
      <c r="M1117" t="s">
        <v>14</v>
      </c>
    </row>
    <row r="1118" spans="1:13" x14ac:dyDescent="0.3">
      <c r="A1118" s="1">
        <v>42757</v>
      </c>
      <c r="B1118">
        <v>4.5125000000000002</v>
      </c>
      <c r="C1118">
        <v>5.0075000000000003</v>
      </c>
      <c r="D1118">
        <v>5.125</v>
      </c>
      <c r="E1118">
        <v>37.020833330000002</v>
      </c>
      <c r="F1118">
        <v>19.166666670000001</v>
      </c>
      <c r="G1118">
        <v>1.25</v>
      </c>
      <c r="H1118">
        <v>9.1666666669999994</v>
      </c>
      <c r="I1118">
        <v>1.6666666670000001</v>
      </c>
      <c r="J1118">
        <v>2017</v>
      </c>
      <c r="K1118">
        <v>1</v>
      </c>
      <c r="L1118">
        <v>276</v>
      </c>
      <c r="M1118" t="s">
        <v>15</v>
      </c>
    </row>
    <row r="1119" spans="1:13" x14ac:dyDescent="0.3">
      <c r="A1119" s="1">
        <v>42758</v>
      </c>
      <c r="B1119">
        <v>5.1375000000000002</v>
      </c>
      <c r="C1119">
        <v>4.5049999999999999</v>
      </c>
      <c r="D1119">
        <v>6.2916666670000003</v>
      </c>
      <c r="E1119">
        <v>41.75</v>
      </c>
      <c r="F1119">
        <v>15.83333333</v>
      </c>
      <c r="G1119">
        <v>0.83333333300000001</v>
      </c>
      <c r="H1119">
        <v>2.5</v>
      </c>
      <c r="I1119">
        <v>1.6666666670000001</v>
      </c>
      <c r="J1119">
        <v>2017</v>
      </c>
      <c r="K1119">
        <v>1</v>
      </c>
      <c r="L1119">
        <v>276</v>
      </c>
      <c r="M1119" t="s">
        <v>16</v>
      </c>
    </row>
    <row r="1120" spans="1:13" x14ac:dyDescent="0.3">
      <c r="A1120" s="1">
        <v>42759</v>
      </c>
      <c r="B1120">
        <v>6.1124999999999998</v>
      </c>
      <c r="C1120">
        <v>5.7708333329999997</v>
      </c>
      <c r="D1120">
        <v>10.95833333</v>
      </c>
      <c r="E1120">
        <v>40.083333330000002</v>
      </c>
      <c r="F1120">
        <v>11.25</v>
      </c>
      <c r="G1120">
        <v>0</v>
      </c>
      <c r="H1120">
        <v>10</v>
      </c>
      <c r="I1120">
        <v>2.9166666669999999</v>
      </c>
      <c r="J1120">
        <v>2017</v>
      </c>
      <c r="K1120">
        <v>1</v>
      </c>
      <c r="L1120">
        <v>276</v>
      </c>
      <c r="M1120" t="s">
        <v>17</v>
      </c>
    </row>
    <row r="1121" spans="1:13" x14ac:dyDescent="0.3">
      <c r="A1121" s="1">
        <v>42760</v>
      </c>
      <c r="B1121">
        <v>7.7791666670000001</v>
      </c>
      <c r="C1121">
        <v>5.108333333</v>
      </c>
      <c r="D1121">
        <v>7.6666666670000003</v>
      </c>
      <c r="E1121">
        <v>51.1875</v>
      </c>
      <c r="F1121">
        <v>18.75</v>
      </c>
      <c r="G1121">
        <v>2.0833333330000001</v>
      </c>
      <c r="H1121">
        <v>13.75</v>
      </c>
      <c r="I1121">
        <v>2.2916666669999999</v>
      </c>
      <c r="J1121">
        <v>2017</v>
      </c>
      <c r="K1121">
        <v>1</v>
      </c>
      <c r="L1121">
        <v>276</v>
      </c>
      <c r="M1121" t="s">
        <v>18</v>
      </c>
    </row>
    <row r="1122" spans="1:13" x14ac:dyDescent="0.3">
      <c r="A1122" s="1">
        <v>42761</v>
      </c>
      <c r="B1122">
        <v>5.9791666670000003</v>
      </c>
      <c r="C1122">
        <v>5.224583333</v>
      </c>
      <c r="D1122">
        <v>7.0416666670000003</v>
      </c>
      <c r="E1122">
        <v>36.625</v>
      </c>
      <c r="F1122">
        <v>13.75</v>
      </c>
      <c r="G1122">
        <v>0.83333333300000001</v>
      </c>
      <c r="H1122">
        <v>8.3333333330000006</v>
      </c>
      <c r="I1122">
        <v>0</v>
      </c>
      <c r="J1122">
        <v>2017</v>
      </c>
      <c r="K1122">
        <v>1</v>
      </c>
      <c r="L1122">
        <v>276</v>
      </c>
      <c r="M1122" t="s">
        <v>12</v>
      </c>
    </row>
    <row r="1123" spans="1:13" x14ac:dyDescent="0.3">
      <c r="A1123" s="1">
        <v>42762</v>
      </c>
      <c r="B1123">
        <v>7.85</v>
      </c>
      <c r="C1123">
        <v>7.5412499999999998</v>
      </c>
      <c r="D1123">
        <v>5.1666666670000003</v>
      </c>
      <c r="E1123">
        <v>42.60916667</v>
      </c>
      <c r="F1123">
        <v>21.25</v>
      </c>
      <c r="G1123">
        <v>2.0833333330000001</v>
      </c>
      <c r="H1123">
        <v>9.5833333330000006</v>
      </c>
      <c r="I1123">
        <v>1.25</v>
      </c>
      <c r="J1123">
        <v>2017</v>
      </c>
      <c r="K1123">
        <v>1</v>
      </c>
      <c r="L1123">
        <v>276</v>
      </c>
      <c r="M1123" t="s">
        <v>13</v>
      </c>
    </row>
    <row r="1124" spans="1:13" x14ac:dyDescent="0.3">
      <c r="A1124" s="1">
        <v>42763</v>
      </c>
      <c r="B1124">
        <v>5.9708333329999999</v>
      </c>
      <c r="C1124">
        <v>6.1124999999999998</v>
      </c>
      <c r="D1124">
        <v>2.25</v>
      </c>
      <c r="E1124">
        <v>32.083333330000002</v>
      </c>
      <c r="F1124">
        <v>9.1666666669999994</v>
      </c>
      <c r="G1124">
        <v>0</v>
      </c>
      <c r="H1124">
        <v>1.6666666670000001</v>
      </c>
      <c r="I1124">
        <v>1.25</v>
      </c>
      <c r="J1124">
        <v>2017</v>
      </c>
      <c r="K1124">
        <v>1</v>
      </c>
      <c r="L1124">
        <v>276</v>
      </c>
      <c r="M1124" t="s">
        <v>14</v>
      </c>
    </row>
    <row r="1125" spans="1:13" x14ac:dyDescent="0.3">
      <c r="A1125" s="1">
        <v>42764</v>
      </c>
      <c r="B1125">
        <v>5.141666667</v>
      </c>
      <c r="C1125">
        <v>7.7833333329999999</v>
      </c>
      <c r="D1125">
        <v>5.3333333329999997</v>
      </c>
      <c r="E1125">
        <v>54.166666669999998</v>
      </c>
      <c r="F1125">
        <v>15.83333333</v>
      </c>
      <c r="G1125">
        <v>2.5</v>
      </c>
      <c r="H1125">
        <v>9.5833333330000006</v>
      </c>
      <c r="I1125">
        <v>3.3333333330000001</v>
      </c>
      <c r="J1125">
        <v>2017</v>
      </c>
      <c r="K1125">
        <v>1</v>
      </c>
      <c r="L1125">
        <v>276</v>
      </c>
      <c r="M1125" t="s">
        <v>15</v>
      </c>
    </row>
    <row r="1126" spans="1:13" x14ac:dyDescent="0.3">
      <c r="A1126" s="1">
        <v>42765</v>
      </c>
      <c r="B1126">
        <v>8.0583333330000002</v>
      </c>
      <c r="C1126">
        <v>5.61625</v>
      </c>
      <c r="D1126">
        <v>7</v>
      </c>
      <c r="E1126">
        <v>35.517499999999998</v>
      </c>
      <c r="F1126">
        <v>17.083333329999999</v>
      </c>
      <c r="G1126">
        <v>4.1666666670000003</v>
      </c>
      <c r="H1126">
        <v>7.0833333329999997</v>
      </c>
      <c r="I1126">
        <v>4.1666666670000003</v>
      </c>
      <c r="J1126">
        <v>2017</v>
      </c>
      <c r="K1126">
        <v>1</v>
      </c>
      <c r="L1126">
        <v>276</v>
      </c>
      <c r="M1126" t="s">
        <v>16</v>
      </c>
    </row>
    <row r="1127" spans="1:13" x14ac:dyDescent="0.3">
      <c r="A1127" s="1">
        <v>42766</v>
      </c>
      <c r="B1127">
        <v>4.4416666669999998</v>
      </c>
      <c r="C1127">
        <v>4.2545833330000002</v>
      </c>
      <c r="D1127">
        <v>2.8333333330000001</v>
      </c>
      <c r="E1127">
        <v>47.25</v>
      </c>
      <c r="F1127">
        <v>13.33333333</v>
      </c>
      <c r="G1127">
        <v>0.83333333300000001</v>
      </c>
      <c r="H1127">
        <v>2.9166666669999999</v>
      </c>
      <c r="I1127">
        <v>1.6666666670000001</v>
      </c>
      <c r="J1127">
        <v>2017</v>
      </c>
      <c r="K1127">
        <v>1</v>
      </c>
      <c r="L1127">
        <v>276</v>
      </c>
      <c r="M1127" t="s">
        <v>17</v>
      </c>
    </row>
    <row r="1128" spans="1:13" x14ac:dyDescent="0.3">
      <c r="A1128" s="1">
        <v>42767</v>
      </c>
      <c r="B1128">
        <v>7.375</v>
      </c>
      <c r="C1128">
        <v>5.1883333330000001</v>
      </c>
      <c r="D1128">
        <v>6.0416666670000003</v>
      </c>
      <c r="E1128">
        <v>31.625</v>
      </c>
      <c r="F1128">
        <v>10.83333333</v>
      </c>
      <c r="G1128">
        <v>0.41666666699999999</v>
      </c>
      <c r="H1128">
        <v>8.3333333330000006</v>
      </c>
      <c r="I1128">
        <v>2.0833333330000001</v>
      </c>
      <c r="J1128">
        <v>2017</v>
      </c>
      <c r="K1128">
        <v>2</v>
      </c>
      <c r="L1128">
        <v>276</v>
      </c>
      <c r="M1128" t="s">
        <v>18</v>
      </c>
    </row>
    <row r="1129" spans="1:13" x14ac:dyDescent="0.3">
      <c r="A1129" s="1">
        <v>42768</v>
      </c>
      <c r="B1129">
        <v>8.1958333329999995</v>
      </c>
      <c r="C1129">
        <v>6.2116666670000003</v>
      </c>
      <c r="D1129">
        <v>6.4166666670000003</v>
      </c>
      <c r="E1129">
        <v>42.291666669999998</v>
      </c>
      <c r="F1129">
        <v>9.1666666669999994</v>
      </c>
      <c r="G1129">
        <v>0.41666666699999999</v>
      </c>
      <c r="H1129">
        <v>0.41666666699999999</v>
      </c>
      <c r="I1129">
        <v>0.83333333300000001</v>
      </c>
      <c r="J1129">
        <v>2017</v>
      </c>
      <c r="K1129">
        <v>2</v>
      </c>
      <c r="L1129">
        <v>276</v>
      </c>
      <c r="M1129" t="s">
        <v>12</v>
      </c>
    </row>
    <row r="1130" spans="1:13" x14ac:dyDescent="0.3">
      <c r="A1130" s="1">
        <v>42769</v>
      </c>
      <c r="B1130">
        <v>7.6375000000000002</v>
      </c>
      <c r="C1130">
        <v>6.2554166670000004</v>
      </c>
      <c r="D1130">
        <v>9</v>
      </c>
      <c r="E1130">
        <v>42.900833329999998</v>
      </c>
      <c r="F1130">
        <v>15.83333333</v>
      </c>
      <c r="G1130">
        <v>2.5</v>
      </c>
      <c r="H1130">
        <v>7.0833333329999997</v>
      </c>
      <c r="I1130">
        <v>0.83333333300000001</v>
      </c>
      <c r="J1130">
        <v>2017</v>
      </c>
      <c r="K1130">
        <v>2</v>
      </c>
      <c r="L1130">
        <v>276</v>
      </c>
      <c r="M1130" t="s">
        <v>13</v>
      </c>
    </row>
    <row r="1131" spans="1:13" x14ac:dyDescent="0.3">
      <c r="A1131" s="1">
        <v>42770</v>
      </c>
      <c r="B1131">
        <v>7.7791666670000001</v>
      </c>
      <c r="C1131">
        <v>4.1666666670000003</v>
      </c>
      <c r="D1131">
        <v>4.4166666670000003</v>
      </c>
      <c r="E1131">
        <v>27.708333329999999</v>
      </c>
      <c r="F1131">
        <v>12.08333333</v>
      </c>
      <c r="G1131">
        <v>0.83333333300000001</v>
      </c>
      <c r="H1131">
        <v>7.5</v>
      </c>
      <c r="I1131">
        <v>3.75</v>
      </c>
      <c r="J1131">
        <v>2017</v>
      </c>
      <c r="K1131">
        <v>2</v>
      </c>
      <c r="L1131">
        <v>276</v>
      </c>
      <c r="M1131" t="s">
        <v>14</v>
      </c>
    </row>
    <row r="1132" spans="1:13" x14ac:dyDescent="0.3">
      <c r="A1132" s="1">
        <v>42771</v>
      </c>
      <c r="B1132">
        <v>10.67</v>
      </c>
      <c r="C1132">
        <v>10.725</v>
      </c>
      <c r="D1132">
        <v>5</v>
      </c>
      <c r="E1132">
        <v>38.6</v>
      </c>
      <c r="F1132">
        <v>1</v>
      </c>
      <c r="G1132">
        <v>0</v>
      </c>
      <c r="H1132">
        <v>11</v>
      </c>
      <c r="I1132">
        <v>1.1000000000000001</v>
      </c>
      <c r="J1132">
        <v>2017</v>
      </c>
      <c r="K1132">
        <v>2</v>
      </c>
      <c r="L1132">
        <v>276</v>
      </c>
      <c r="M1132" t="s">
        <v>15</v>
      </c>
    </row>
    <row r="1133" spans="1:13" x14ac:dyDescent="0.3">
      <c r="A1133" s="1">
        <v>42772</v>
      </c>
      <c r="B1133">
        <v>10</v>
      </c>
      <c r="C1133">
        <v>5</v>
      </c>
      <c r="D1133">
        <v>4.4000000000000004</v>
      </c>
      <c r="E1133">
        <v>13</v>
      </c>
      <c r="F1133">
        <v>3</v>
      </c>
      <c r="G1133">
        <v>2</v>
      </c>
      <c r="H1133">
        <v>5</v>
      </c>
      <c r="I1133">
        <v>0</v>
      </c>
      <c r="J1133">
        <v>2017</v>
      </c>
      <c r="K1133">
        <v>2</v>
      </c>
      <c r="L1133">
        <v>276</v>
      </c>
      <c r="M1133" t="s">
        <v>16</v>
      </c>
    </row>
    <row r="1134" spans="1:13" x14ac:dyDescent="0.3">
      <c r="A1134" s="1">
        <v>42773</v>
      </c>
      <c r="B1134">
        <v>3</v>
      </c>
      <c r="C1134">
        <v>0.33</v>
      </c>
      <c r="D1134">
        <v>3.5</v>
      </c>
      <c r="E1134">
        <v>13.8</v>
      </c>
      <c r="F1134">
        <v>3</v>
      </c>
      <c r="G1134">
        <v>0</v>
      </c>
      <c r="H1134">
        <v>7</v>
      </c>
      <c r="I1134">
        <v>2</v>
      </c>
      <c r="J1134">
        <v>2017</v>
      </c>
      <c r="K1134">
        <v>2</v>
      </c>
      <c r="L1134">
        <v>276</v>
      </c>
      <c r="M1134" t="s">
        <v>17</v>
      </c>
    </row>
    <row r="1135" spans="1:13" x14ac:dyDescent="0.3">
      <c r="A1135" s="1">
        <v>42774</v>
      </c>
      <c r="B1135">
        <v>11</v>
      </c>
      <c r="C1135">
        <v>1.67</v>
      </c>
      <c r="D1135">
        <v>4</v>
      </c>
      <c r="E1135">
        <v>36</v>
      </c>
      <c r="F1135">
        <v>7</v>
      </c>
      <c r="G1135">
        <v>0</v>
      </c>
      <c r="H1135">
        <v>10</v>
      </c>
      <c r="I1135">
        <v>2</v>
      </c>
      <c r="J1135">
        <v>2017</v>
      </c>
      <c r="K1135">
        <v>2</v>
      </c>
      <c r="L1135">
        <v>276</v>
      </c>
      <c r="M1135" t="s">
        <v>18</v>
      </c>
    </row>
    <row r="1136" spans="1:13" x14ac:dyDescent="0.3">
      <c r="A1136" s="1">
        <v>42775</v>
      </c>
      <c r="B1136">
        <v>3.9824999999999999</v>
      </c>
      <c r="C1136">
        <v>1.76</v>
      </c>
      <c r="D1136">
        <v>4</v>
      </c>
      <c r="E1136">
        <v>20.399999999999999</v>
      </c>
      <c r="F1136">
        <v>6</v>
      </c>
      <c r="G1136">
        <v>0</v>
      </c>
      <c r="H1136">
        <v>0</v>
      </c>
      <c r="I1136">
        <v>1</v>
      </c>
      <c r="J1136">
        <v>2017</v>
      </c>
      <c r="K1136">
        <v>2</v>
      </c>
      <c r="L1136">
        <v>276</v>
      </c>
      <c r="M1136" t="s">
        <v>12</v>
      </c>
    </row>
    <row r="1137" spans="1:13" x14ac:dyDescent="0.3">
      <c r="A1137" s="1">
        <v>42776</v>
      </c>
      <c r="B1137">
        <v>4.01</v>
      </c>
      <c r="C1137">
        <v>3.34</v>
      </c>
      <c r="D1137">
        <v>4.75</v>
      </c>
      <c r="E1137">
        <v>23.2</v>
      </c>
      <c r="F1137">
        <v>5</v>
      </c>
      <c r="G1137">
        <v>0</v>
      </c>
      <c r="H1137">
        <v>2</v>
      </c>
      <c r="I1137">
        <v>0</v>
      </c>
      <c r="J1137">
        <v>2017</v>
      </c>
      <c r="K1137">
        <v>2</v>
      </c>
      <c r="L1137">
        <v>276</v>
      </c>
      <c r="M1137" t="s">
        <v>13</v>
      </c>
    </row>
    <row r="1138" spans="1:13" x14ac:dyDescent="0.3">
      <c r="A1138" s="1">
        <v>42777</v>
      </c>
      <c r="B1138">
        <v>5.33</v>
      </c>
      <c r="C1138">
        <v>6.32</v>
      </c>
      <c r="D1138">
        <v>5.0999999999999996</v>
      </c>
      <c r="E1138">
        <v>12.4</v>
      </c>
      <c r="F1138">
        <v>11</v>
      </c>
      <c r="G1138">
        <v>1</v>
      </c>
      <c r="H1138">
        <v>1</v>
      </c>
      <c r="I1138">
        <v>3</v>
      </c>
      <c r="J1138">
        <v>2017</v>
      </c>
      <c r="K1138">
        <v>2</v>
      </c>
      <c r="L1138">
        <v>276</v>
      </c>
      <c r="M1138" t="s">
        <v>14</v>
      </c>
    </row>
    <row r="1139" spans="1:13" x14ac:dyDescent="0.3">
      <c r="A1139" s="1">
        <v>42778</v>
      </c>
      <c r="B1139">
        <v>10</v>
      </c>
      <c r="C1139">
        <v>10.67</v>
      </c>
      <c r="D1139">
        <v>7.8</v>
      </c>
      <c r="E1139">
        <v>27.4</v>
      </c>
      <c r="F1139">
        <v>4</v>
      </c>
      <c r="G1139">
        <v>0</v>
      </c>
      <c r="H1139">
        <v>2</v>
      </c>
      <c r="I1139">
        <v>1</v>
      </c>
      <c r="J1139">
        <v>2017</v>
      </c>
      <c r="K1139">
        <v>2</v>
      </c>
      <c r="L1139">
        <v>276</v>
      </c>
      <c r="M1139" t="s">
        <v>15</v>
      </c>
    </row>
    <row r="1140" spans="1:13" x14ac:dyDescent="0.3">
      <c r="A1140" s="1">
        <v>42779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2017</v>
      </c>
      <c r="K1140">
        <v>2</v>
      </c>
      <c r="L1140">
        <v>276</v>
      </c>
      <c r="M1140" t="s">
        <v>16</v>
      </c>
    </row>
    <row r="1141" spans="1:13" x14ac:dyDescent="0.3">
      <c r="A1141" s="1">
        <v>42780</v>
      </c>
      <c r="B1141">
        <v>4.33</v>
      </c>
      <c r="C1141">
        <v>5</v>
      </c>
      <c r="D1141">
        <v>2.1</v>
      </c>
      <c r="E1141">
        <v>22</v>
      </c>
      <c r="F1141">
        <v>0</v>
      </c>
      <c r="G1141">
        <v>0</v>
      </c>
      <c r="H1141">
        <v>1</v>
      </c>
      <c r="I1141">
        <v>1</v>
      </c>
      <c r="J1141">
        <v>2017</v>
      </c>
      <c r="K1141">
        <v>2</v>
      </c>
      <c r="L1141">
        <v>276</v>
      </c>
      <c r="M1141" t="s">
        <v>17</v>
      </c>
    </row>
    <row r="1142" spans="1:13" x14ac:dyDescent="0.3">
      <c r="A1142" s="1">
        <v>42781</v>
      </c>
      <c r="B1142">
        <v>6</v>
      </c>
      <c r="C1142">
        <v>2.67</v>
      </c>
      <c r="D1142">
        <v>2</v>
      </c>
      <c r="E1142">
        <v>19.2</v>
      </c>
      <c r="F1142">
        <v>1</v>
      </c>
      <c r="G1142">
        <v>0</v>
      </c>
      <c r="H1142">
        <v>1</v>
      </c>
      <c r="I1142">
        <v>1</v>
      </c>
      <c r="J1142">
        <v>2017</v>
      </c>
      <c r="K1142">
        <v>2</v>
      </c>
      <c r="L1142">
        <v>276</v>
      </c>
      <c r="M1142" t="s">
        <v>18</v>
      </c>
    </row>
    <row r="1143" spans="1:13" x14ac:dyDescent="0.3">
      <c r="A1143" s="1">
        <v>42782</v>
      </c>
      <c r="B1143">
        <v>3.66</v>
      </c>
      <c r="C1143">
        <v>4.66</v>
      </c>
      <c r="D1143">
        <v>1</v>
      </c>
      <c r="E1143">
        <v>31.6</v>
      </c>
      <c r="F1143">
        <v>2</v>
      </c>
      <c r="G1143">
        <v>0</v>
      </c>
      <c r="H1143">
        <v>0</v>
      </c>
      <c r="I1143">
        <v>3</v>
      </c>
      <c r="J1143">
        <v>2017</v>
      </c>
      <c r="K1143">
        <v>2</v>
      </c>
      <c r="L1143">
        <v>276</v>
      </c>
      <c r="M1143" t="s">
        <v>12</v>
      </c>
    </row>
    <row r="1144" spans="1:13" x14ac:dyDescent="0.3">
      <c r="A1144" s="1">
        <v>42783</v>
      </c>
      <c r="B1144">
        <v>3</v>
      </c>
      <c r="C1144">
        <v>2.802</v>
      </c>
      <c r="D1144">
        <v>2.1</v>
      </c>
      <c r="E1144">
        <v>12.25</v>
      </c>
      <c r="F1144">
        <v>4</v>
      </c>
      <c r="G1144">
        <v>0</v>
      </c>
      <c r="H1144">
        <v>8</v>
      </c>
      <c r="I1144">
        <v>1.2</v>
      </c>
      <c r="J1144">
        <v>2017</v>
      </c>
      <c r="K1144">
        <v>2</v>
      </c>
      <c r="L1144">
        <v>276</v>
      </c>
      <c r="M1144" t="s">
        <v>13</v>
      </c>
    </row>
    <row r="1145" spans="1:13" x14ac:dyDescent="0.3">
      <c r="A1145" s="1">
        <v>42784</v>
      </c>
      <c r="B1145">
        <v>7</v>
      </c>
      <c r="C1145">
        <v>4</v>
      </c>
      <c r="D1145">
        <v>2.35</v>
      </c>
      <c r="E1145">
        <v>30</v>
      </c>
      <c r="F1145">
        <v>10</v>
      </c>
      <c r="G1145">
        <v>0</v>
      </c>
      <c r="H1145">
        <v>0</v>
      </c>
      <c r="I1145">
        <v>3.1</v>
      </c>
      <c r="J1145">
        <v>2017</v>
      </c>
      <c r="K1145">
        <v>2</v>
      </c>
      <c r="L1145">
        <v>276</v>
      </c>
      <c r="M1145" t="s">
        <v>14</v>
      </c>
    </row>
    <row r="1146" spans="1:13" x14ac:dyDescent="0.3">
      <c r="A1146" s="1">
        <v>42785</v>
      </c>
      <c r="B1146">
        <v>3.34</v>
      </c>
      <c r="C1146">
        <v>3.516</v>
      </c>
      <c r="D1146">
        <v>2.2000000000000002</v>
      </c>
      <c r="E1146">
        <v>13</v>
      </c>
      <c r="F1146">
        <v>1</v>
      </c>
      <c r="G1146">
        <v>0</v>
      </c>
      <c r="H1146">
        <v>8</v>
      </c>
      <c r="I1146">
        <v>1</v>
      </c>
      <c r="J1146">
        <v>2017</v>
      </c>
      <c r="K1146">
        <v>2</v>
      </c>
      <c r="L1146">
        <v>276</v>
      </c>
      <c r="M1146" t="s">
        <v>15</v>
      </c>
    </row>
    <row r="1147" spans="1:13" x14ac:dyDescent="0.3">
      <c r="A1147" s="1">
        <v>42786</v>
      </c>
      <c r="B1147">
        <v>5</v>
      </c>
      <c r="C1147">
        <v>3.76</v>
      </c>
      <c r="D1147">
        <v>4.5</v>
      </c>
      <c r="E1147">
        <v>33.1</v>
      </c>
      <c r="F1147">
        <v>2</v>
      </c>
      <c r="G1147">
        <v>0</v>
      </c>
      <c r="H1147">
        <v>1</v>
      </c>
      <c r="I1147">
        <v>3</v>
      </c>
      <c r="J1147">
        <v>2017</v>
      </c>
      <c r="K1147">
        <v>2</v>
      </c>
      <c r="L1147">
        <v>276</v>
      </c>
      <c r="M1147" t="s">
        <v>16</v>
      </c>
    </row>
    <row r="1148" spans="1:13" x14ac:dyDescent="0.3">
      <c r="A1148" s="1">
        <v>42787</v>
      </c>
      <c r="B1148">
        <v>5</v>
      </c>
      <c r="C1148">
        <v>4.1550000000000002</v>
      </c>
      <c r="D1148">
        <v>4</v>
      </c>
      <c r="E1148">
        <v>22.9</v>
      </c>
      <c r="F1148">
        <v>14</v>
      </c>
      <c r="G1148">
        <v>0</v>
      </c>
      <c r="H1148">
        <v>8</v>
      </c>
      <c r="I1148">
        <v>1</v>
      </c>
      <c r="J1148">
        <v>2017</v>
      </c>
      <c r="K1148">
        <v>2</v>
      </c>
      <c r="L1148">
        <v>276</v>
      </c>
      <c r="M1148" t="s">
        <v>17</v>
      </c>
    </row>
    <row r="1149" spans="1:13" x14ac:dyDescent="0.3">
      <c r="A1149" s="1">
        <v>42788</v>
      </c>
      <c r="B1149">
        <v>3.67</v>
      </c>
      <c r="C1149">
        <v>2.4289999999999998</v>
      </c>
      <c r="D1149">
        <v>7.2</v>
      </c>
      <c r="E1149">
        <v>21.1</v>
      </c>
      <c r="F1149">
        <v>9</v>
      </c>
      <c r="G1149">
        <v>0</v>
      </c>
      <c r="H1149">
        <v>5</v>
      </c>
      <c r="I1149">
        <v>0</v>
      </c>
      <c r="J1149">
        <v>2017</v>
      </c>
      <c r="K1149">
        <v>2</v>
      </c>
      <c r="L1149">
        <v>276</v>
      </c>
      <c r="M1149" t="s">
        <v>18</v>
      </c>
    </row>
    <row r="1150" spans="1:13" x14ac:dyDescent="0.3">
      <c r="A1150" s="1">
        <v>42789</v>
      </c>
      <c r="B1150">
        <v>6.67</v>
      </c>
      <c r="C1150">
        <v>5.67</v>
      </c>
      <c r="D1150">
        <v>4.05</v>
      </c>
      <c r="E1150">
        <v>24.1</v>
      </c>
      <c r="F1150">
        <v>5</v>
      </c>
      <c r="G1150">
        <v>1</v>
      </c>
      <c r="H1150">
        <v>8</v>
      </c>
      <c r="I1150">
        <v>2</v>
      </c>
      <c r="J1150">
        <v>2017</v>
      </c>
      <c r="K1150">
        <v>2</v>
      </c>
      <c r="L1150">
        <v>276</v>
      </c>
      <c r="M1150" t="s">
        <v>12</v>
      </c>
    </row>
    <row r="1151" spans="1:13" x14ac:dyDescent="0.3">
      <c r="A1151" s="1">
        <v>42790</v>
      </c>
      <c r="B1151">
        <v>1</v>
      </c>
      <c r="C1151">
        <v>4.67</v>
      </c>
      <c r="D1151">
        <v>4</v>
      </c>
      <c r="E1151">
        <v>29.8</v>
      </c>
      <c r="F1151">
        <v>10</v>
      </c>
      <c r="G1151">
        <v>1</v>
      </c>
      <c r="H1151">
        <v>7</v>
      </c>
      <c r="I1151">
        <v>1</v>
      </c>
      <c r="J1151">
        <v>2017</v>
      </c>
      <c r="K1151">
        <v>2</v>
      </c>
      <c r="L1151">
        <v>276</v>
      </c>
      <c r="M1151" t="s">
        <v>13</v>
      </c>
    </row>
    <row r="1152" spans="1:13" x14ac:dyDescent="0.3">
      <c r="A1152" s="1">
        <v>42791</v>
      </c>
      <c r="B1152">
        <v>6</v>
      </c>
      <c r="C1152">
        <v>6.34</v>
      </c>
      <c r="D1152">
        <v>5.25</v>
      </c>
      <c r="E1152">
        <v>24</v>
      </c>
      <c r="F1152">
        <v>6.875</v>
      </c>
      <c r="G1152">
        <v>0</v>
      </c>
      <c r="H1152">
        <v>2</v>
      </c>
      <c r="I1152">
        <v>0</v>
      </c>
      <c r="J1152">
        <v>2017</v>
      </c>
      <c r="K1152">
        <v>2</v>
      </c>
      <c r="L1152">
        <v>276</v>
      </c>
      <c r="M1152" t="s">
        <v>14</v>
      </c>
    </row>
    <row r="1153" spans="1:13" x14ac:dyDescent="0.3">
      <c r="A1153" s="1">
        <v>42792</v>
      </c>
      <c r="B1153">
        <v>5.33</v>
      </c>
      <c r="C1153">
        <v>5.33</v>
      </c>
      <c r="D1153">
        <v>3.2</v>
      </c>
      <c r="E1153">
        <v>15.7</v>
      </c>
      <c r="F1153">
        <v>3</v>
      </c>
      <c r="G1153">
        <v>0</v>
      </c>
      <c r="H1153">
        <v>5</v>
      </c>
      <c r="I1153">
        <v>1.2</v>
      </c>
      <c r="J1153">
        <v>2017</v>
      </c>
      <c r="K1153">
        <v>2</v>
      </c>
      <c r="L1153">
        <v>276</v>
      </c>
      <c r="M1153" t="s">
        <v>15</v>
      </c>
    </row>
    <row r="1154" spans="1:13" x14ac:dyDescent="0.3">
      <c r="A1154" s="1">
        <v>42793</v>
      </c>
      <c r="B1154">
        <v>5.67</v>
      </c>
      <c r="C1154">
        <v>3.68</v>
      </c>
      <c r="D1154">
        <v>7</v>
      </c>
      <c r="E1154">
        <v>16.399999999999999</v>
      </c>
      <c r="F1154">
        <v>14</v>
      </c>
      <c r="G1154">
        <v>0</v>
      </c>
      <c r="H1154">
        <v>7</v>
      </c>
      <c r="I1154">
        <v>2</v>
      </c>
      <c r="J1154">
        <v>2017</v>
      </c>
      <c r="K1154">
        <v>2</v>
      </c>
      <c r="L1154">
        <v>276</v>
      </c>
      <c r="M1154" t="s">
        <v>16</v>
      </c>
    </row>
    <row r="1155" spans="1:13" x14ac:dyDescent="0.3">
      <c r="A1155" s="1">
        <v>42794</v>
      </c>
      <c r="B1155">
        <v>5.34</v>
      </c>
      <c r="C1155">
        <v>5.0199999999999996</v>
      </c>
      <c r="D1155">
        <v>7.5</v>
      </c>
      <c r="E1155">
        <v>26.4</v>
      </c>
      <c r="F1155">
        <v>9</v>
      </c>
      <c r="G1155">
        <v>2</v>
      </c>
      <c r="H1155">
        <v>18</v>
      </c>
      <c r="I1155">
        <v>0</v>
      </c>
      <c r="J1155">
        <v>2017</v>
      </c>
      <c r="K1155">
        <v>2</v>
      </c>
      <c r="L1155">
        <v>276</v>
      </c>
      <c r="M1155" t="s">
        <v>17</v>
      </c>
    </row>
    <row r="1156" spans="1:13" x14ac:dyDescent="0.3">
      <c r="A1156" s="1">
        <v>42795</v>
      </c>
      <c r="B1156">
        <v>4</v>
      </c>
      <c r="C1156">
        <v>4.66</v>
      </c>
      <c r="D1156">
        <v>5</v>
      </c>
      <c r="E1156">
        <v>15.1</v>
      </c>
      <c r="F1156">
        <v>17</v>
      </c>
      <c r="G1156">
        <v>0</v>
      </c>
      <c r="H1156">
        <v>5</v>
      </c>
      <c r="I1156">
        <v>2</v>
      </c>
      <c r="J1156">
        <v>2017</v>
      </c>
      <c r="K1156">
        <v>3</v>
      </c>
      <c r="L1156">
        <v>276</v>
      </c>
      <c r="M1156" t="s">
        <v>18</v>
      </c>
    </row>
    <row r="1157" spans="1:13" x14ac:dyDescent="0.3">
      <c r="A1157" s="1">
        <v>42796</v>
      </c>
      <c r="B1157">
        <v>5</v>
      </c>
      <c r="C1157">
        <v>7.13</v>
      </c>
      <c r="D1157">
        <v>3</v>
      </c>
      <c r="E1157">
        <v>13</v>
      </c>
      <c r="F1157">
        <v>1</v>
      </c>
      <c r="G1157">
        <v>1</v>
      </c>
      <c r="H1157">
        <v>1</v>
      </c>
      <c r="I1157">
        <v>2</v>
      </c>
      <c r="J1157">
        <v>2017</v>
      </c>
      <c r="K1157">
        <v>3</v>
      </c>
      <c r="L1157">
        <v>276</v>
      </c>
      <c r="M1157" t="s">
        <v>12</v>
      </c>
    </row>
    <row r="1158" spans="1:13" x14ac:dyDescent="0.3">
      <c r="A1158" s="1">
        <v>42797</v>
      </c>
      <c r="B1158">
        <v>9</v>
      </c>
      <c r="C1158">
        <v>2.99</v>
      </c>
      <c r="D1158">
        <v>4</v>
      </c>
      <c r="E1158">
        <v>12.9</v>
      </c>
      <c r="F1158">
        <v>9</v>
      </c>
      <c r="G1158">
        <v>1</v>
      </c>
      <c r="H1158">
        <v>6</v>
      </c>
      <c r="I1158">
        <v>4</v>
      </c>
      <c r="J1158">
        <v>2017</v>
      </c>
      <c r="K1158">
        <v>3</v>
      </c>
      <c r="L1158">
        <v>276</v>
      </c>
      <c r="M1158" t="s">
        <v>13</v>
      </c>
    </row>
    <row r="1159" spans="1:13" x14ac:dyDescent="0.3">
      <c r="A1159" s="1">
        <v>42798</v>
      </c>
      <c r="B1159">
        <v>5.01</v>
      </c>
      <c r="C1159">
        <v>3.67</v>
      </c>
      <c r="D1159">
        <v>3.1</v>
      </c>
      <c r="E1159">
        <v>17</v>
      </c>
      <c r="F1159">
        <v>0</v>
      </c>
      <c r="G1159">
        <v>0</v>
      </c>
      <c r="H1159">
        <v>5</v>
      </c>
      <c r="I1159">
        <v>4.5</v>
      </c>
      <c r="J1159">
        <v>2017</v>
      </c>
      <c r="K1159">
        <v>3</v>
      </c>
      <c r="L1159">
        <v>276</v>
      </c>
      <c r="M1159" t="s">
        <v>14</v>
      </c>
    </row>
    <row r="1160" spans="1:13" x14ac:dyDescent="0.3">
      <c r="A1160" s="1">
        <v>42799</v>
      </c>
      <c r="B1160">
        <v>12.33</v>
      </c>
      <c r="C1160">
        <v>4.33</v>
      </c>
      <c r="D1160">
        <v>5</v>
      </c>
      <c r="E1160">
        <v>33.9</v>
      </c>
      <c r="F1160">
        <v>3</v>
      </c>
      <c r="G1160">
        <v>0</v>
      </c>
      <c r="H1160">
        <v>6</v>
      </c>
      <c r="I1160">
        <v>5</v>
      </c>
      <c r="J1160">
        <v>2017</v>
      </c>
      <c r="K1160">
        <v>3</v>
      </c>
      <c r="L1160">
        <v>276</v>
      </c>
      <c r="M1160" t="s">
        <v>15</v>
      </c>
    </row>
    <row r="1161" spans="1:13" x14ac:dyDescent="0.3">
      <c r="A1161" s="1">
        <v>42800</v>
      </c>
      <c r="B1161">
        <v>6.83</v>
      </c>
      <c r="C1161">
        <v>2.33</v>
      </c>
      <c r="D1161">
        <v>1.1000000000000001</v>
      </c>
      <c r="E1161">
        <v>19.600000000000001</v>
      </c>
      <c r="F1161">
        <v>1</v>
      </c>
      <c r="G1161">
        <v>0</v>
      </c>
      <c r="H1161">
        <v>0</v>
      </c>
      <c r="I1161">
        <v>3</v>
      </c>
      <c r="J1161">
        <v>2017</v>
      </c>
      <c r="K1161">
        <v>3</v>
      </c>
      <c r="L1161">
        <v>276</v>
      </c>
      <c r="M1161" t="s">
        <v>16</v>
      </c>
    </row>
    <row r="1162" spans="1:13" x14ac:dyDescent="0.3">
      <c r="A1162" s="1">
        <v>42801</v>
      </c>
      <c r="B1162">
        <v>2.34</v>
      </c>
      <c r="C1162">
        <v>5.33</v>
      </c>
      <c r="D1162">
        <v>6.5</v>
      </c>
      <c r="E1162">
        <v>15</v>
      </c>
      <c r="F1162">
        <v>4</v>
      </c>
      <c r="G1162">
        <v>0</v>
      </c>
      <c r="H1162">
        <v>0</v>
      </c>
      <c r="I1162">
        <v>2</v>
      </c>
      <c r="J1162">
        <v>2017</v>
      </c>
      <c r="K1162">
        <v>3</v>
      </c>
      <c r="L1162">
        <v>276</v>
      </c>
      <c r="M1162" t="s">
        <v>17</v>
      </c>
    </row>
    <row r="1163" spans="1:13" x14ac:dyDescent="0.3">
      <c r="A1163" s="1">
        <v>42802</v>
      </c>
      <c r="B1163">
        <v>1</v>
      </c>
      <c r="C1163">
        <v>2.34</v>
      </c>
      <c r="D1163">
        <v>0</v>
      </c>
      <c r="E1163">
        <v>15.2</v>
      </c>
      <c r="F1163">
        <v>4</v>
      </c>
      <c r="G1163">
        <v>0</v>
      </c>
      <c r="H1163">
        <v>0</v>
      </c>
      <c r="I1163">
        <v>3</v>
      </c>
      <c r="J1163">
        <v>2017</v>
      </c>
      <c r="K1163">
        <v>3</v>
      </c>
      <c r="L1163">
        <v>276</v>
      </c>
      <c r="M1163" t="s">
        <v>18</v>
      </c>
    </row>
    <row r="1164" spans="1:13" x14ac:dyDescent="0.3">
      <c r="A1164" s="1">
        <v>42803</v>
      </c>
      <c r="B1164">
        <v>11.33</v>
      </c>
      <c r="C1164">
        <v>2.33</v>
      </c>
      <c r="D1164">
        <v>6</v>
      </c>
      <c r="E1164">
        <v>26.9</v>
      </c>
      <c r="F1164">
        <v>6</v>
      </c>
      <c r="G1164">
        <v>1</v>
      </c>
      <c r="H1164">
        <v>0</v>
      </c>
      <c r="I1164">
        <v>2.5</v>
      </c>
      <c r="J1164">
        <v>2017</v>
      </c>
      <c r="K1164">
        <v>3</v>
      </c>
      <c r="L1164">
        <v>276</v>
      </c>
      <c r="M1164" t="s">
        <v>12</v>
      </c>
    </row>
    <row r="1165" spans="1:13" x14ac:dyDescent="0.3">
      <c r="A1165" s="1">
        <v>42804</v>
      </c>
      <c r="B1165">
        <v>2</v>
      </c>
      <c r="C1165">
        <v>4.33</v>
      </c>
      <c r="D1165">
        <v>4.5999999999999996</v>
      </c>
      <c r="E1165">
        <v>26.3</v>
      </c>
      <c r="F1165">
        <v>8</v>
      </c>
      <c r="G1165">
        <v>1</v>
      </c>
      <c r="H1165">
        <v>0</v>
      </c>
      <c r="I1165">
        <v>1</v>
      </c>
      <c r="J1165">
        <v>2017</v>
      </c>
      <c r="K1165">
        <v>3</v>
      </c>
      <c r="L1165">
        <v>276</v>
      </c>
      <c r="M1165" t="s">
        <v>13</v>
      </c>
    </row>
    <row r="1166" spans="1:13" x14ac:dyDescent="0.3">
      <c r="A1166" s="1">
        <v>42805</v>
      </c>
      <c r="B1166">
        <v>6.33</v>
      </c>
      <c r="C1166">
        <v>4.0659999999999998</v>
      </c>
      <c r="D1166">
        <v>6</v>
      </c>
      <c r="E1166">
        <v>20.100000000000001</v>
      </c>
      <c r="F1166">
        <v>2</v>
      </c>
      <c r="G1166">
        <v>1</v>
      </c>
      <c r="H1166">
        <v>5</v>
      </c>
      <c r="I1166">
        <v>3.5</v>
      </c>
      <c r="J1166">
        <v>2017</v>
      </c>
      <c r="K1166">
        <v>3</v>
      </c>
      <c r="L1166">
        <v>276</v>
      </c>
      <c r="M1166" t="s">
        <v>14</v>
      </c>
    </row>
    <row r="1167" spans="1:13" x14ac:dyDescent="0.3">
      <c r="A1167" s="1">
        <v>42806</v>
      </c>
      <c r="B1167">
        <v>7.68</v>
      </c>
      <c r="C1167">
        <v>7.01</v>
      </c>
      <c r="D1167">
        <v>2</v>
      </c>
      <c r="E1167">
        <v>48</v>
      </c>
      <c r="F1167">
        <v>6</v>
      </c>
      <c r="G1167">
        <v>4</v>
      </c>
      <c r="H1167">
        <v>15</v>
      </c>
      <c r="I1167">
        <v>2</v>
      </c>
      <c r="J1167">
        <v>2017</v>
      </c>
      <c r="K1167">
        <v>3</v>
      </c>
      <c r="L1167">
        <v>276</v>
      </c>
      <c r="M1167" t="s">
        <v>15</v>
      </c>
    </row>
    <row r="1168" spans="1:13" x14ac:dyDescent="0.3">
      <c r="A1168" s="1">
        <v>42807</v>
      </c>
      <c r="B1168">
        <v>2.33</v>
      </c>
      <c r="C1168">
        <v>0.68</v>
      </c>
      <c r="D1168">
        <v>2.7</v>
      </c>
      <c r="E1168">
        <v>17.8</v>
      </c>
      <c r="F1168">
        <v>2</v>
      </c>
      <c r="G1168">
        <v>0</v>
      </c>
      <c r="H1168">
        <v>10</v>
      </c>
      <c r="I1168">
        <v>0</v>
      </c>
      <c r="J1168">
        <v>2017</v>
      </c>
      <c r="K1168">
        <v>3</v>
      </c>
      <c r="L1168">
        <v>276</v>
      </c>
      <c r="M1168" t="s">
        <v>16</v>
      </c>
    </row>
    <row r="1169" spans="1:13" x14ac:dyDescent="0.3">
      <c r="A1169" s="1">
        <v>42808</v>
      </c>
      <c r="B1169">
        <v>2.67</v>
      </c>
      <c r="C1169">
        <v>1.34</v>
      </c>
      <c r="D1169">
        <v>3</v>
      </c>
      <c r="E1169">
        <v>15</v>
      </c>
      <c r="F1169">
        <v>5</v>
      </c>
      <c r="G1169">
        <v>0</v>
      </c>
      <c r="H1169">
        <v>5</v>
      </c>
      <c r="I1169">
        <v>1</v>
      </c>
      <c r="J1169">
        <v>2017</v>
      </c>
      <c r="K1169">
        <v>3</v>
      </c>
      <c r="L1169">
        <v>276</v>
      </c>
      <c r="M1169" t="s">
        <v>17</v>
      </c>
    </row>
    <row r="1170" spans="1:13" x14ac:dyDescent="0.3">
      <c r="A1170" s="1">
        <v>42809</v>
      </c>
      <c r="B1170">
        <v>3.66</v>
      </c>
      <c r="C1170">
        <v>1.7030000000000001</v>
      </c>
      <c r="D1170">
        <v>2.5</v>
      </c>
      <c r="E1170">
        <v>14.6</v>
      </c>
      <c r="F1170">
        <v>4</v>
      </c>
      <c r="G1170">
        <v>0</v>
      </c>
      <c r="H1170">
        <v>0</v>
      </c>
      <c r="I1170">
        <v>0</v>
      </c>
      <c r="J1170">
        <v>2017</v>
      </c>
      <c r="K1170">
        <v>3</v>
      </c>
      <c r="L1170">
        <v>276</v>
      </c>
      <c r="M1170" t="s">
        <v>18</v>
      </c>
    </row>
    <row r="1171" spans="1:13" x14ac:dyDescent="0.3">
      <c r="A1171" s="1">
        <v>42810</v>
      </c>
      <c r="B1171">
        <v>6</v>
      </c>
      <c r="C1171">
        <v>4.056</v>
      </c>
      <c r="D1171">
        <v>4.75</v>
      </c>
      <c r="E1171">
        <v>28.2</v>
      </c>
      <c r="F1171">
        <v>4</v>
      </c>
      <c r="G1171">
        <v>0</v>
      </c>
      <c r="H1171">
        <v>1</v>
      </c>
      <c r="I1171">
        <v>3</v>
      </c>
      <c r="J1171">
        <v>2017</v>
      </c>
      <c r="K1171">
        <v>3</v>
      </c>
      <c r="L1171">
        <v>276</v>
      </c>
      <c r="M1171" t="s">
        <v>12</v>
      </c>
    </row>
    <row r="1172" spans="1:13" x14ac:dyDescent="0.3">
      <c r="A1172" s="1">
        <v>42811</v>
      </c>
      <c r="B1172">
        <v>4.33</v>
      </c>
      <c r="C1172">
        <v>2.802</v>
      </c>
      <c r="D1172">
        <v>0</v>
      </c>
      <c r="E1172">
        <v>11</v>
      </c>
      <c r="F1172">
        <v>14</v>
      </c>
      <c r="G1172">
        <v>0</v>
      </c>
      <c r="H1172">
        <v>3</v>
      </c>
      <c r="I1172">
        <v>3</v>
      </c>
      <c r="J1172">
        <v>2017</v>
      </c>
      <c r="K1172">
        <v>3</v>
      </c>
      <c r="L1172">
        <v>276</v>
      </c>
      <c r="M1172" t="s">
        <v>13</v>
      </c>
    </row>
    <row r="1173" spans="1:13" x14ac:dyDescent="0.3">
      <c r="A1173" s="1">
        <v>42812</v>
      </c>
      <c r="B1173">
        <v>5</v>
      </c>
      <c r="C1173">
        <v>4.38</v>
      </c>
      <c r="D1173">
        <v>4.25</v>
      </c>
      <c r="E1173">
        <v>20.399999999999999</v>
      </c>
      <c r="F1173">
        <v>3</v>
      </c>
      <c r="G1173">
        <v>0</v>
      </c>
      <c r="H1173">
        <v>1</v>
      </c>
      <c r="I1173">
        <v>1</v>
      </c>
      <c r="J1173">
        <v>2017</v>
      </c>
      <c r="K1173">
        <v>3</v>
      </c>
      <c r="L1173">
        <v>276</v>
      </c>
      <c r="M1173" t="s">
        <v>14</v>
      </c>
    </row>
    <row r="1174" spans="1:13" x14ac:dyDescent="0.3">
      <c r="A1174" s="1">
        <v>42813</v>
      </c>
      <c r="B1174">
        <v>10</v>
      </c>
      <c r="C1174">
        <v>3.6930000000000001</v>
      </c>
      <c r="D1174">
        <v>2</v>
      </c>
      <c r="E1174">
        <v>39.1</v>
      </c>
      <c r="F1174">
        <v>3</v>
      </c>
      <c r="G1174">
        <v>0</v>
      </c>
      <c r="H1174">
        <v>5</v>
      </c>
      <c r="I1174">
        <v>3</v>
      </c>
      <c r="J1174">
        <v>2017</v>
      </c>
      <c r="K1174">
        <v>3</v>
      </c>
      <c r="L1174">
        <v>276</v>
      </c>
      <c r="M1174" t="s">
        <v>15</v>
      </c>
    </row>
    <row r="1175" spans="1:13" x14ac:dyDescent="0.3">
      <c r="A1175" s="1">
        <v>42814</v>
      </c>
      <c r="B1175">
        <v>1.66</v>
      </c>
      <c r="C1175">
        <v>6.6829999999999998</v>
      </c>
      <c r="D1175">
        <v>4.7</v>
      </c>
      <c r="E1175">
        <v>16.100000000000001</v>
      </c>
      <c r="F1175">
        <v>3</v>
      </c>
      <c r="G1175">
        <v>0</v>
      </c>
      <c r="H1175">
        <v>7</v>
      </c>
      <c r="I1175">
        <v>3</v>
      </c>
      <c r="J1175">
        <v>2017</v>
      </c>
      <c r="K1175">
        <v>3</v>
      </c>
      <c r="L1175">
        <v>276</v>
      </c>
      <c r="M1175" t="s">
        <v>16</v>
      </c>
    </row>
    <row r="1176" spans="1:13" x14ac:dyDescent="0.3">
      <c r="A1176" s="1">
        <v>42815</v>
      </c>
      <c r="B1176">
        <v>9.16</v>
      </c>
      <c r="C1176">
        <v>2.0299999999999998</v>
      </c>
      <c r="D1176">
        <v>2.2000000000000002</v>
      </c>
      <c r="E1176">
        <v>12.6</v>
      </c>
      <c r="F1176">
        <v>4</v>
      </c>
      <c r="G1176">
        <v>0</v>
      </c>
      <c r="H1176">
        <v>1</v>
      </c>
      <c r="I1176">
        <v>5.3</v>
      </c>
      <c r="J1176">
        <v>2017</v>
      </c>
      <c r="K1176">
        <v>3</v>
      </c>
      <c r="L1176">
        <v>276</v>
      </c>
      <c r="M1176" t="s">
        <v>17</v>
      </c>
    </row>
    <row r="1177" spans="1:13" x14ac:dyDescent="0.3">
      <c r="A1177" s="1">
        <v>42816</v>
      </c>
      <c r="B1177">
        <v>1.66</v>
      </c>
      <c r="C1177">
        <v>5.0229999999999997</v>
      </c>
      <c r="D1177">
        <v>2</v>
      </c>
      <c r="E1177">
        <v>16.399999999999999</v>
      </c>
      <c r="F1177">
        <v>7</v>
      </c>
      <c r="G1177">
        <v>0</v>
      </c>
      <c r="H1177">
        <v>2</v>
      </c>
      <c r="I1177">
        <v>2</v>
      </c>
      <c r="J1177">
        <v>2017</v>
      </c>
      <c r="K1177">
        <v>3</v>
      </c>
      <c r="L1177">
        <v>276</v>
      </c>
      <c r="M1177" t="s">
        <v>18</v>
      </c>
    </row>
    <row r="1178" spans="1:13" x14ac:dyDescent="0.3">
      <c r="A1178" s="1">
        <v>42817</v>
      </c>
      <c r="B1178">
        <v>7.34</v>
      </c>
      <c r="C1178">
        <v>2.133</v>
      </c>
      <c r="D1178">
        <v>1</v>
      </c>
      <c r="E1178">
        <v>13.3</v>
      </c>
      <c r="F1178">
        <v>8</v>
      </c>
      <c r="G1178">
        <v>0</v>
      </c>
      <c r="H1178">
        <v>6</v>
      </c>
      <c r="I1178">
        <v>3.5</v>
      </c>
      <c r="J1178">
        <v>2017</v>
      </c>
      <c r="K1178">
        <v>3</v>
      </c>
      <c r="L1178">
        <v>276</v>
      </c>
      <c r="M1178" t="s">
        <v>12</v>
      </c>
    </row>
    <row r="1179" spans="1:13" x14ac:dyDescent="0.3">
      <c r="A1179" s="1">
        <v>42818</v>
      </c>
      <c r="B1179">
        <v>1.67</v>
      </c>
      <c r="C1179">
        <v>3</v>
      </c>
      <c r="D1179">
        <v>4.5</v>
      </c>
      <c r="E1179">
        <v>12.3</v>
      </c>
      <c r="F1179">
        <v>7</v>
      </c>
      <c r="G1179">
        <v>0</v>
      </c>
      <c r="H1179">
        <v>5</v>
      </c>
      <c r="I1179">
        <v>6.3</v>
      </c>
      <c r="J1179">
        <v>2017</v>
      </c>
      <c r="K1179">
        <v>3</v>
      </c>
      <c r="L1179">
        <v>276</v>
      </c>
      <c r="M1179" t="s">
        <v>13</v>
      </c>
    </row>
    <row r="1180" spans="1:13" x14ac:dyDescent="0.3">
      <c r="A1180" s="1">
        <v>42819</v>
      </c>
      <c r="B1180">
        <v>10</v>
      </c>
      <c r="C1180">
        <v>5.49</v>
      </c>
      <c r="D1180">
        <v>1</v>
      </c>
      <c r="E1180">
        <v>33.299999999999997</v>
      </c>
      <c r="F1180">
        <v>3</v>
      </c>
      <c r="G1180">
        <v>0</v>
      </c>
      <c r="H1180">
        <v>0</v>
      </c>
      <c r="I1180">
        <v>4</v>
      </c>
      <c r="J1180">
        <v>2017</v>
      </c>
      <c r="K1180">
        <v>3</v>
      </c>
      <c r="L1180">
        <v>276</v>
      </c>
      <c r="M1180" t="s">
        <v>14</v>
      </c>
    </row>
    <row r="1181" spans="1:13" x14ac:dyDescent="0.3">
      <c r="A1181" s="1">
        <v>42820</v>
      </c>
      <c r="B1181">
        <v>5.34</v>
      </c>
      <c r="C1181">
        <v>5.36</v>
      </c>
      <c r="D1181">
        <v>3.45</v>
      </c>
      <c r="E1181">
        <v>18</v>
      </c>
      <c r="F1181">
        <v>4</v>
      </c>
      <c r="G1181">
        <v>0</v>
      </c>
      <c r="H1181">
        <v>10</v>
      </c>
      <c r="I1181">
        <v>8</v>
      </c>
      <c r="J1181">
        <v>2017</v>
      </c>
      <c r="K1181">
        <v>3</v>
      </c>
      <c r="L1181">
        <v>276</v>
      </c>
      <c r="M1181" t="s">
        <v>15</v>
      </c>
    </row>
    <row r="1182" spans="1:13" x14ac:dyDescent="0.3">
      <c r="A1182" s="1">
        <v>42821</v>
      </c>
      <c r="B1182">
        <v>4.84</v>
      </c>
      <c r="C1182">
        <v>3.4630000000000001</v>
      </c>
      <c r="D1182">
        <v>3.5</v>
      </c>
      <c r="E1182">
        <v>14.8</v>
      </c>
      <c r="F1182">
        <v>5</v>
      </c>
      <c r="G1182">
        <v>0</v>
      </c>
      <c r="H1182">
        <v>1</v>
      </c>
      <c r="I1182">
        <v>4</v>
      </c>
      <c r="J1182">
        <v>2017</v>
      </c>
      <c r="K1182">
        <v>3</v>
      </c>
      <c r="L1182">
        <v>276</v>
      </c>
      <c r="M1182" t="s">
        <v>16</v>
      </c>
    </row>
    <row r="1183" spans="1:13" x14ac:dyDescent="0.3">
      <c r="A1183" s="1">
        <v>42822</v>
      </c>
      <c r="B1183">
        <v>2.67</v>
      </c>
      <c r="C1183">
        <v>2.67</v>
      </c>
      <c r="D1183">
        <v>7</v>
      </c>
      <c r="E1183">
        <v>22</v>
      </c>
      <c r="F1183">
        <v>14</v>
      </c>
      <c r="G1183">
        <v>0</v>
      </c>
      <c r="H1183">
        <v>0</v>
      </c>
      <c r="I1183">
        <v>6</v>
      </c>
      <c r="J1183">
        <v>2017</v>
      </c>
      <c r="K1183">
        <v>3</v>
      </c>
      <c r="L1183">
        <v>276</v>
      </c>
      <c r="M1183" t="s">
        <v>17</v>
      </c>
    </row>
    <row r="1184" spans="1:13" x14ac:dyDescent="0.3">
      <c r="A1184" s="1">
        <v>42823</v>
      </c>
      <c r="B1184">
        <v>6.34</v>
      </c>
      <c r="C1184">
        <v>1.34</v>
      </c>
      <c r="D1184">
        <v>4</v>
      </c>
      <c r="E1184">
        <v>12.9</v>
      </c>
      <c r="F1184">
        <v>3</v>
      </c>
      <c r="G1184">
        <v>0</v>
      </c>
      <c r="H1184">
        <v>7</v>
      </c>
      <c r="I1184">
        <v>4.5</v>
      </c>
      <c r="J1184">
        <v>2017</v>
      </c>
      <c r="K1184">
        <v>3</v>
      </c>
      <c r="L1184">
        <v>276</v>
      </c>
      <c r="M1184" t="s">
        <v>18</v>
      </c>
    </row>
    <row r="1185" spans="1:13" x14ac:dyDescent="0.3">
      <c r="A1185" s="1">
        <v>42824</v>
      </c>
      <c r="B1185">
        <v>1.33</v>
      </c>
      <c r="C1185">
        <v>2.6930000000000001</v>
      </c>
      <c r="D1185">
        <v>5</v>
      </c>
      <c r="E1185">
        <v>9.5</v>
      </c>
      <c r="F1185">
        <v>9</v>
      </c>
      <c r="G1185">
        <v>0</v>
      </c>
      <c r="H1185">
        <v>0</v>
      </c>
      <c r="I1185">
        <v>2</v>
      </c>
      <c r="J1185">
        <v>2017</v>
      </c>
      <c r="K1185">
        <v>3</v>
      </c>
      <c r="L1185">
        <v>276</v>
      </c>
      <c r="M1185" t="s">
        <v>12</v>
      </c>
    </row>
    <row r="1186" spans="1:13" x14ac:dyDescent="0.3">
      <c r="A1186" s="1">
        <v>42825</v>
      </c>
      <c r="B1186">
        <v>4</v>
      </c>
      <c r="C1186">
        <v>2</v>
      </c>
      <c r="D1186">
        <v>3.5</v>
      </c>
      <c r="E1186">
        <v>22.2</v>
      </c>
      <c r="F1186">
        <v>2</v>
      </c>
      <c r="G1186">
        <v>0</v>
      </c>
      <c r="H1186">
        <v>2</v>
      </c>
      <c r="I1186">
        <v>6</v>
      </c>
      <c r="J1186">
        <v>2017</v>
      </c>
      <c r="K1186">
        <v>3</v>
      </c>
      <c r="L1186">
        <v>276</v>
      </c>
      <c r="M1186" t="s">
        <v>13</v>
      </c>
    </row>
    <row r="1187" spans="1:13" x14ac:dyDescent="0.3">
      <c r="A1187" s="1">
        <v>42826</v>
      </c>
      <c r="B1187">
        <v>2.33</v>
      </c>
      <c r="C1187">
        <v>2</v>
      </c>
      <c r="D1187">
        <v>2</v>
      </c>
      <c r="E1187">
        <v>34</v>
      </c>
      <c r="F1187">
        <v>2</v>
      </c>
      <c r="G1187">
        <v>0</v>
      </c>
      <c r="H1187">
        <v>1</v>
      </c>
      <c r="I1187">
        <v>3</v>
      </c>
      <c r="J1187">
        <v>2017</v>
      </c>
      <c r="K1187">
        <v>4</v>
      </c>
      <c r="L1187">
        <v>276</v>
      </c>
      <c r="M1187" t="s">
        <v>14</v>
      </c>
    </row>
    <row r="1188" spans="1:13" x14ac:dyDescent="0.3">
      <c r="A1188" s="1">
        <v>42827</v>
      </c>
      <c r="B1188">
        <v>6.67</v>
      </c>
      <c r="C1188">
        <v>4.2229999999999999</v>
      </c>
      <c r="D1188">
        <v>4</v>
      </c>
      <c r="E1188">
        <v>23</v>
      </c>
      <c r="F1188">
        <v>4</v>
      </c>
      <c r="G1188">
        <v>0</v>
      </c>
      <c r="H1188">
        <v>9</v>
      </c>
      <c r="I1188">
        <v>12.4</v>
      </c>
      <c r="J1188">
        <v>2017</v>
      </c>
      <c r="K1188">
        <v>4</v>
      </c>
      <c r="L1188">
        <v>276</v>
      </c>
      <c r="M1188" t="s">
        <v>15</v>
      </c>
    </row>
    <row r="1189" spans="1:13" x14ac:dyDescent="0.3">
      <c r="A1189" s="1">
        <v>42828</v>
      </c>
      <c r="B1189">
        <v>6.33</v>
      </c>
      <c r="C1189">
        <v>1</v>
      </c>
      <c r="D1189">
        <v>5.6</v>
      </c>
      <c r="E1189">
        <v>25.6</v>
      </c>
      <c r="F1189">
        <v>8</v>
      </c>
      <c r="G1189">
        <v>0</v>
      </c>
      <c r="H1189">
        <v>20</v>
      </c>
      <c r="I1189">
        <v>3</v>
      </c>
      <c r="J1189">
        <v>2017</v>
      </c>
      <c r="K1189">
        <v>4</v>
      </c>
      <c r="L1189">
        <v>276</v>
      </c>
      <c r="M1189" t="s">
        <v>16</v>
      </c>
    </row>
    <row r="1190" spans="1:13" x14ac:dyDescent="0.3">
      <c r="A1190" s="1">
        <v>42829</v>
      </c>
      <c r="B1190">
        <v>0.33</v>
      </c>
      <c r="C1190">
        <v>1.0329999999999999</v>
      </c>
      <c r="D1190">
        <v>2.2000000000000002</v>
      </c>
      <c r="E1190">
        <v>8</v>
      </c>
      <c r="F1190">
        <v>2</v>
      </c>
      <c r="G1190">
        <v>0</v>
      </c>
      <c r="H1190">
        <v>5</v>
      </c>
      <c r="I1190">
        <v>5.5</v>
      </c>
      <c r="J1190">
        <v>2017</v>
      </c>
      <c r="K1190">
        <v>4</v>
      </c>
      <c r="L1190">
        <v>276</v>
      </c>
      <c r="M1190" t="s">
        <v>17</v>
      </c>
    </row>
    <row r="1191" spans="1:13" x14ac:dyDescent="0.3">
      <c r="A1191" s="1">
        <v>42830</v>
      </c>
      <c r="B1191">
        <v>5</v>
      </c>
      <c r="C1191">
        <v>0.23100000000000001</v>
      </c>
      <c r="D1191">
        <v>0.2</v>
      </c>
      <c r="E1191">
        <v>13.6</v>
      </c>
      <c r="F1191">
        <v>9</v>
      </c>
      <c r="G1191">
        <v>2</v>
      </c>
      <c r="H1191">
        <v>6</v>
      </c>
      <c r="I1191">
        <v>1</v>
      </c>
      <c r="J1191">
        <v>2017</v>
      </c>
      <c r="K1191">
        <v>4</v>
      </c>
      <c r="L1191">
        <v>276</v>
      </c>
      <c r="M1191" t="s">
        <v>18</v>
      </c>
    </row>
    <row r="1192" spans="1:13" x14ac:dyDescent="0.3">
      <c r="A1192" s="1">
        <v>42831</v>
      </c>
      <c r="B1192">
        <v>5</v>
      </c>
      <c r="C1192">
        <v>0.66</v>
      </c>
      <c r="D1192">
        <v>3.1</v>
      </c>
      <c r="E1192">
        <v>10.9</v>
      </c>
      <c r="F1192">
        <v>4</v>
      </c>
      <c r="G1192">
        <v>1</v>
      </c>
      <c r="H1192">
        <v>0</v>
      </c>
      <c r="I1192">
        <v>1</v>
      </c>
      <c r="J1192">
        <v>2017</v>
      </c>
      <c r="K1192">
        <v>4</v>
      </c>
      <c r="L1192">
        <v>276</v>
      </c>
      <c r="M1192" t="s">
        <v>12</v>
      </c>
    </row>
    <row r="1193" spans="1:13" x14ac:dyDescent="0.3">
      <c r="A1193" s="1">
        <v>42832</v>
      </c>
      <c r="B1193">
        <v>3.5</v>
      </c>
      <c r="C1193">
        <v>4</v>
      </c>
      <c r="D1193">
        <v>2</v>
      </c>
      <c r="E1193">
        <v>16</v>
      </c>
      <c r="F1193">
        <v>5</v>
      </c>
      <c r="G1193">
        <v>0</v>
      </c>
      <c r="H1193">
        <v>5</v>
      </c>
      <c r="I1193">
        <v>5</v>
      </c>
      <c r="J1193">
        <v>2017</v>
      </c>
      <c r="K1193">
        <v>4</v>
      </c>
      <c r="L1193">
        <v>276</v>
      </c>
      <c r="M1193" t="s">
        <v>13</v>
      </c>
    </row>
    <row r="1194" spans="1:13" x14ac:dyDescent="0.3">
      <c r="A1194" s="1">
        <v>42833</v>
      </c>
      <c r="B1194">
        <v>7.51</v>
      </c>
      <c r="C1194">
        <v>8.7590000000000003</v>
      </c>
      <c r="D1194">
        <v>2.0499999999999998</v>
      </c>
      <c r="E1194">
        <v>23</v>
      </c>
      <c r="F1194">
        <v>3</v>
      </c>
      <c r="G1194">
        <v>0</v>
      </c>
      <c r="H1194">
        <v>11</v>
      </c>
      <c r="I1194">
        <v>6</v>
      </c>
      <c r="J1194">
        <v>2017</v>
      </c>
      <c r="K1194">
        <v>4</v>
      </c>
      <c r="L1194">
        <v>276</v>
      </c>
      <c r="M1194" t="s">
        <v>14</v>
      </c>
    </row>
    <row r="1195" spans="1:13" x14ac:dyDescent="0.3">
      <c r="A1195" s="1">
        <v>42834</v>
      </c>
      <c r="B1195">
        <v>4.99</v>
      </c>
      <c r="C1195">
        <v>5.34</v>
      </c>
      <c r="D1195">
        <v>8.25</v>
      </c>
      <c r="E1195">
        <v>22</v>
      </c>
      <c r="F1195">
        <v>3</v>
      </c>
      <c r="G1195">
        <v>0</v>
      </c>
      <c r="H1195">
        <v>0</v>
      </c>
      <c r="I1195">
        <v>1</v>
      </c>
      <c r="J1195">
        <v>2017</v>
      </c>
      <c r="K1195">
        <v>4</v>
      </c>
      <c r="L1195">
        <v>276</v>
      </c>
      <c r="M1195" t="s">
        <v>15</v>
      </c>
    </row>
    <row r="1196" spans="1:13" x14ac:dyDescent="0.3">
      <c r="A1196" s="1">
        <v>42835</v>
      </c>
      <c r="B1196">
        <v>8.66</v>
      </c>
      <c r="C1196">
        <v>1.363</v>
      </c>
      <c r="D1196">
        <v>1.05</v>
      </c>
      <c r="E1196">
        <v>27.5</v>
      </c>
      <c r="F1196">
        <v>1</v>
      </c>
      <c r="G1196">
        <v>0</v>
      </c>
      <c r="H1196">
        <v>4</v>
      </c>
      <c r="I1196">
        <v>4</v>
      </c>
      <c r="J1196">
        <v>2017</v>
      </c>
      <c r="K1196">
        <v>4</v>
      </c>
      <c r="L1196">
        <v>276</v>
      </c>
      <c r="M1196" t="s">
        <v>16</v>
      </c>
    </row>
    <row r="1197" spans="1:13" x14ac:dyDescent="0.3">
      <c r="A1197" s="1">
        <v>42836</v>
      </c>
      <c r="B1197">
        <v>4</v>
      </c>
      <c r="C1197">
        <v>2.33</v>
      </c>
      <c r="D1197">
        <v>3</v>
      </c>
      <c r="E1197">
        <v>17</v>
      </c>
      <c r="F1197">
        <v>5</v>
      </c>
      <c r="G1197">
        <v>0</v>
      </c>
      <c r="H1197">
        <v>11</v>
      </c>
      <c r="I1197">
        <v>1</v>
      </c>
      <c r="J1197">
        <v>2017</v>
      </c>
      <c r="K1197">
        <v>4</v>
      </c>
      <c r="L1197">
        <v>276</v>
      </c>
      <c r="M1197" t="s">
        <v>17</v>
      </c>
    </row>
    <row r="1198" spans="1:13" x14ac:dyDescent="0.3">
      <c r="A1198" s="1">
        <v>42837</v>
      </c>
      <c r="B1198">
        <v>11.99</v>
      </c>
      <c r="C1198">
        <v>3.32</v>
      </c>
      <c r="D1198">
        <v>3.35</v>
      </c>
      <c r="E1198">
        <v>11</v>
      </c>
      <c r="F1198">
        <v>10</v>
      </c>
      <c r="G1198">
        <v>2</v>
      </c>
      <c r="H1198">
        <v>10</v>
      </c>
      <c r="I1198">
        <v>4</v>
      </c>
      <c r="J1198">
        <v>2017</v>
      </c>
      <c r="K1198">
        <v>4</v>
      </c>
      <c r="L1198">
        <v>276</v>
      </c>
      <c r="M1198" t="s">
        <v>18</v>
      </c>
    </row>
    <row r="1199" spans="1:13" x14ac:dyDescent="0.3">
      <c r="A1199" s="1">
        <v>42838</v>
      </c>
      <c r="B1199">
        <v>5</v>
      </c>
      <c r="C1199">
        <v>2.4390000000000001</v>
      </c>
      <c r="D1199">
        <v>2</v>
      </c>
      <c r="E1199">
        <v>30.9</v>
      </c>
      <c r="F1199">
        <v>1</v>
      </c>
      <c r="G1199">
        <v>0</v>
      </c>
      <c r="H1199">
        <v>2</v>
      </c>
      <c r="I1199">
        <v>5</v>
      </c>
      <c r="J1199">
        <v>2017</v>
      </c>
      <c r="K1199">
        <v>4</v>
      </c>
      <c r="L1199">
        <v>276</v>
      </c>
      <c r="M1199" t="s">
        <v>12</v>
      </c>
    </row>
    <row r="1200" spans="1:13" x14ac:dyDescent="0.3">
      <c r="A1200" s="1">
        <v>42839</v>
      </c>
      <c r="B1200">
        <v>7.34</v>
      </c>
      <c r="C1200">
        <v>4.9800000000000004</v>
      </c>
      <c r="D1200">
        <v>5</v>
      </c>
      <c r="E1200">
        <v>13</v>
      </c>
      <c r="F1200">
        <v>3</v>
      </c>
      <c r="G1200">
        <v>0</v>
      </c>
      <c r="H1200">
        <v>16</v>
      </c>
      <c r="I1200">
        <v>4</v>
      </c>
      <c r="J1200">
        <v>2017</v>
      </c>
      <c r="K1200">
        <v>4</v>
      </c>
      <c r="L1200">
        <v>276</v>
      </c>
      <c r="M1200" t="s">
        <v>13</v>
      </c>
    </row>
    <row r="1201" spans="1:13" x14ac:dyDescent="0.3">
      <c r="A1201" s="1">
        <v>42840</v>
      </c>
      <c r="B1201">
        <v>11.67</v>
      </c>
      <c r="C1201">
        <v>1.472</v>
      </c>
      <c r="D1201">
        <v>4</v>
      </c>
      <c r="E1201">
        <v>27.25</v>
      </c>
      <c r="F1201">
        <v>1</v>
      </c>
      <c r="G1201">
        <v>0</v>
      </c>
      <c r="H1201">
        <v>15</v>
      </c>
      <c r="I1201">
        <v>5.2</v>
      </c>
      <c r="J1201">
        <v>2017</v>
      </c>
      <c r="K1201">
        <v>4</v>
      </c>
      <c r="L1201">
        <v>276</v>
      </c>
      <c r="M1201" t="s">
        <v>14</v>
      </c>
    </row>
    <row r="1202" spans="1:13" x14ac:dyDescent="0.3">
      <c r="A1202" s="1">
        <v>42841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2017</v>
      </c>
      <c r="K1202">
        <v>4</v>
      </c>
      <c r="L1202">
        <v>276</v>
      </c>
      <c r="M1202" t="s">
        <v>15</v>
      </c>
    </row>
    <row r="1203" spans="1:13" x14ac:dyDescent="0.3">
      <c r="A1203" s="1">
        <v>42842</v>
      </c>
      <c r="B1203">
        <v>4</v>
      </c>
      <c r="C1203">
        <v>3.99</v>
      </c>
      <c r="D1203">
        <v>1.9</v>
      </c>
      <c r="E1203">
        <v>18.399999999999999</v>
      </c>
      <c r="F1203">
        <v>1</v>
      </c>
      <c r="G1203">
        <v>0</v>
      </c>
      <c r="H1203">
        <v>5</v>
      </c>
      <c r="I1203">
        <v>1</v>
      </c>
      <c r="J1203">
        <v>2017</v>
      </c>
      <c r="K1203">
        <v>4</v>
      </c>
      <c r="L1203">
        <v>276</v>
      </c>
      <c r="M1203" t="s">
        <v>16</v>
      </c>
    </row>
    <row r="1204" spans="1:13" x14ac:dyDescent="0.3">
      <c r="A1204" s="1">
        <v>42843</v>
      </c>
      <c r="B1204">
        <v>7.33</v>
      </c>
      <c r="C1204">
        <v>4.67</v>
      </c>
      <c r="D1204">
        <v>6.3</v>
      </c>
      <c r="E1204">
        <v>15.4</v>
      </c>
      <c r="F1204">
        <v>8</v>
      </c>
      <c r="G1204">
        <v>1</v>
      </c>
      <c r="H1204">
        <v>2</v>
      </c>
      <c r="I1204">
        <v>2</v>
      </c>
      <c r="J1204">
        <v>2017</v>
      </c>
      <c r="K1204">
        <v>4</v>
      </c>
      <c r="L1204">
        <v>276</v>
      </c>
      <c r="M1204" t="s">
        <v>17</v>
      </c>
    </row>
    <row r="1205" spans="1:13" x14ac:dyDescent="0.3">
      <c r="A1205" s="1">
        <v>42844</v>
      </c>
      <c r="B1205">
        <v>1</v>
      </c>
      <c r="C1205">
        <v>3.4060000000000001</v>
      </c>
      <c r="D1205">
        <v>5</v>
      </c>
      <c r="E1205">
        <v>14</v>
      </c>
      <c r="F1205">
        <v>2</v>
      </c>
      <c r="G1205">
        <v>0</v>
      </c>
      <c r="H1205">
        <v>0</v>
      </c>
      <c r="I1205">
        <v>1</v>
      </c>
      <c r="J1205">
        <v>2017</v>
      </c>
      <c r="K1205">
        <v>4</v>
      </c>
      <c r="L1205">
        <v>276</v>
      </c>
      <c r="M1205" t="s">
        <v>18</v>
      </c>
    </row>
    <row r="1206" spans="1:13" x14ac:dyDescent="0.3">
      <c r="A1206" s="1">
        <v>42845</v>
      </c>
      <c r="B1206">
        <v>4.66</v>
      </c>
      <c r="C1206">
        <v>2.33</v>
      </c>
      <c r="D1206">
        <v>5</v>
      </c>
      <c r="E1206">
        <v>9.4</v>
      </c>
      <c r="F1206">
        <v>10</v>
      </c>
      <c r="G1206">
        <v>0</v>
      </c>
      <c r="H1206">
        <v>7</v>
      </c>
      <c r="I1206">
        <v>2</v>
      </c>
      <c r="J1206">
        <v>2017</v>
      </c>
      <c r="K1206">
        <v>4</v>
      </c>
      <c r="L1206">
        <v>276</v>
      </c>
      <c r="M1206" t="s">
        <v>12</v>
      </c>
    </row>
    <row r="1207" spans="1:13" x14ac:dyDescent="0.3">
      <c r="A1207" s="1">
        <v>42846</v>
      </c>
      <c r="B1207">
        <v>3.67</v>
      </c>
      <c r="C1207">
        <v>2.34</v>
      </c>
      <c r="D1207">
        <v>2.4</v>
      </c>
      <c r="E1207">
        <v>29</v>
      </c>
      <c r="F1207">
        <v>3</v>
      </c>
      <c r="G1207">
        <v>0</v>
      </c>
      <c r="H1207">
        <v>1.875</v>
      </c>
      <c r="I1207">
        <v>3</v>
      </c>
      <c r="J1207">
        <v>2017</v>
      </c>
      <c r="K1207">
        <v>4</v>
      </c>
      <c r="L1207">
        <v>276</v>
      </c>
      <c r="M1207" t="s">
        <v>13</v>
      </c>
    </row>
    <row r="1208" spans="1:13" x14ac:dyDescent="0.3">
      <c r="A1208" s="1">
        <v>42847</v>
      </c>
      <c r="B1208">
        <v>2.64</v>
      </c>
      <c r="C1208">
        <v>4.66</v>
      </c>
      <c r="D1208">
        <v>2.8</v>
      </c>
      <c r="E1208">
        <v>19</v>
      </c>
      <c r="F1208">
        <v>7</v>
      </c>
      <c r="G1208">
        <v>1</v>
      </c>
      <c r="H1208">
        <v>1</v>
      </c>
      <c r="I1208">
        <v>2</v>
      </c>
      <c r="J1208">
        <v>2017</v>
      </c>
      <c r="K1208">
        <v>4</v>
      </c>
      <c r="L1208">
        <v>276</v>
      </c>
      <c r="M1208" t="s">
        <v>14</v>
      </c>
    </row>
    <row r="1209" spans="1:13" x14ac:dyDescent="0.3">
      <c r="A1209" s="1">
        <v>42848</v>
      </c>
      <c r="B1209">
        <v>9</v>
      </c>
      <c r="C1209">
        <v>5.4160000000000004</v>
      </c>
      <c r="D1209">
        <v>3.6</v>
      </c>
      <c r="E1209">
        <v>25.5</v>
      </c>
      <c r="F1209">
        <v>7</v>
      </c>
      <c r="G1209">
        <v>0</v>
      </c>
      <c r="H1209">
        <v>1</v>
      </c>
      <c r="I1209">
        <v>5</v>
      </c>
      <c r="J1209">
        <v>2017</v>
      </c>
      <c r="K1209">
        <v>4</v>
      </c>
      <c r="L1209">
        <v>276</v>
      </c>
      <c r="M1209" t="s">
        <v>15</v>
      </c>
    </row>
    <row r="1210" spans="1:13" x14ac:dyDescent="0.3">
      <c r="A1210" s="1">
        <v>42849</v>
      </c>
      <c r="B1210">
        <v>9.33</v>
      </c>
      <c r="C1210">
        <v>3.81</v>
      </c>
      <c r="D1210">
        <v>8</v>
      </c>
      <c r="E1210">
        <v>13.15</v>
      </c>
      <c r="F1210">
        <v>9</v>
      </c>
      <c r="G1210">
        <v>0</v>
      </c>
      <c r="H1210">
        <v>1</v>
      </c>
      <c r="I1210">
        <v>5</v>
      </c>
      <c r="J1210">
        <v>2017</v>
      </c>
      <c r="K1210">
        <v>4</v>
      </c>
      <c r="L1210">
        <v>276</v>
      </c>
      <c r="M1210" t="s">
        <v>16</v>
      </c>
    </row>
    <row r="1211" spans="1:13" x14ac:dyDescent="0.3">
      <c r="A1211" s="1">
        <v>42850</v>
      </c>
      <c r="B1211">
        <v>8</v>
      </c>
      <c r="C1211">
        <v>2.99</v>
      </c>
      <c r="D1211">
        <v>2.2000000000000002</v>
      </c>
      <c r="E1211">
        <v>24</v>
      </c>
      <c r="F1211">
        <v>4</v>
      </c>
      <c r="G1211">
        <v>0</v>
      </c>
      <c r="H1211">
        <v>26</v>
      </c>
      <c r="I1211">
        <v>5</v>
      </c>
      <c r="J1211">
        <v>2017</v>
      </c>
      <c r="K1211">
        <v>4</v>
      </c>
      <c r="L1211">
        <v>276</v>
      </c>
      <c r="M1211" t="s">
        <v>17</v>
      </c>
    </row>
    <row r="1212" spans="1:13" x14ac:dyDescent="0.3">
      <c r="A1212" s="1">
        <v>42851</v>
      </c>
      <c r="B1212">
        <v>3</v>
      </c>
      <c r="C1212">
        <v>4</v>
      </c>
      <c r="D1212">
        <v>3.5</v>
      </c>
      <c r="E1212">
        <v>10.199999999999999</v>
      </c>
      <c r="F1212">
        <v>3</v>
      </c>
      <c r="G1212">
        <v>0</v>
      </c>
      <c r="H1212">
        <v>1</v>
      </c>
      <c r="I1212">
        <v>8.3000000000000007</v>
      </c>
      <c r="J1212">
        <v>2017</v>
      </c>
      <c r="K1212">
        <v>4</v>
      </c>
      <c r="L1212">
        <v>276</v>
      </c>
      <c r="M1212" t="s">
        <v>18</v>
      </c>
    </row>
    <row r="1213" spans="1:13" x14ac:dyDescent="0.3">
      <c r="A1213" s="1">
        <v>42852</v>
      </c>
      <c r="B1213">
        <v>3.33</v>
      </c>
      <c r="C1213">
        <v>3.7370000000000001</v>
      </c>
      <c r="D1213">
        <v>2.2999999999999998</v>
      </c>
      <c r="E1213">
        <v>11</v>
      </c>
      <c r="F1213">
        <v>10</v>
      </c>
      <c r="G1213">
        <v>1</v>
      </c>
      <c r="H1213">
        <v>0</v>
      </c>
      <c r="I1213">
        <v>10</v>
      </c>
      <c r="J1213">
        <v>2017</v>
      </c>
      <c r="K1213">
        <v>4</v>
      </c>
      <c r="L1213">
        <v>276</v>
      </c>
      <c r="M1213" t="s">
        <v>12</v>
      </c>
    </row>
    <row r="1214" spans="1:13" x14ac:dyDescent="0.3">
      <c r="A1214" s="1">
        <v>42853</v>
      </c>
      <c r="B1214">
        <v>3.33</v>
      </c>
      <c r="C1214">
        <v>3.67</v>
      </c>
      <c r="D1214">
        <v>5.0999999999999996</v>
      </c>
      <c r="E1214">
        <v>15.4</v>
      </c>
      <c r="F1214">
        <v>2</v>
      </c>
      <c r="G1214">
        <v>0</v>
      </c>
      <c r="H1214">
        <v>7</v>
      </c>
      <c r="I1214">
        <v>7</v>
      </c>
      <c r="J1214">
        <v>2017</v>
      </c>
      <c r="K1214">
        <v>4</v>
      </c>
      <c r="L1214">
        <v>276</v>
      </c>
      <c r="M1214" t="s">
        <v>13</v>
      </c>
    </row>
    <row r="1215" spans="1:13" x14ac:dyDescent="0.3">
      <c r="A1215" s="1">
        <v>42854</v>
      </c>
      <c r="B1215">
        <v>5</v>
      </c>
      <c r="C1215">
        <v>9</v>
      </c>
      <c r="D1215">
        <v>2.2999999999999998</v>
      </c>
      <c r="E1215">
        <v>15</v>
      </c>
      <c r="F1215">
        <v>3</v>
      </c>
      <c r="G1215">
        <v>1</v>
      </c>
      <c r="H1215">
        <v>1</v>
      </c>
      <c r="I1215">
        <v>8</v>
      </c>
      <c r="J1215">
        <v>2017</v>
      </c>
      <c r="K1215">
        <v>4</v>
      </c>
      <c r="L1215">
        <v>276</v>
      </c>
      <c r="M1215" t="s">
        <v>14</v>
      </c>
    </row>
    <row r="1216" spans="1:13" x14ac:dyDescent="0.3">
      <c r="A1216" s="1">
        <v>42855</v>
      </c>
      <c r="B1216">
        <v>1</v>
      </c>
      <c r="C1216">
        <v>4.0460000000000003</v>
      </c>
      <c r="D1216">
        <v>2.2999999999999998</v>
      </c>
      <c r="E1216">
        <v>18</v>
      </c>
      <c r="F1216">
        <v>2</v>
      </c>
      <c r="G1216">
        <v>0</v>
      </c>
      <c r="H1216">
        <v>12</v>
      </c>
      <c r="I1216">
        <v>2</v>
      </c>
      <c r="J1216">
        <v>2017</v>
      </c>
      <c r="K1216">
        <v>4</v>
      </c>
      <c r="L1216">
        <v>276</v>
      </c>
      <c r="M1216" t="s">
        <v>15</v>
      </c>
    </row>
    <row r="1217" spans="1:13" x14ac:dyDescent="0.3">
      <c r="A1217" s="1">
        <v>42856</v>
      </c>
      <c r="B1217">
        <v>0.34</v>
      </c>
      <c r="C1217">
        <v>1</v>
      </c>
      <c r="D1217">
        <v>1</v>
      </c>
      <c r="E1217">
        <v>1.2</v>
      </c>
      <c r="F1217">
        <v>0</v>
      </c>
      <c r="G1217">
        <v>0</v>
      </c>
      <c r="H1217">
        <v>0</v>
      </c>
      <c r="I1217">
        <v>1</v>
      </c>
      <c r="J1217">
        <v>2017</v>
      </c>
      <c r="K1217">
        <v>5</v>
      </c>
      <c r="L1217">
        <v>276</v>
      </c>
      <c r="M1217" t="s">
        <v>16</v>
      </c>
    </row>
    <row r="1218" spans="1:13" x14ac:dyDescent="0.3">
      <c r="A1218" s="1">
        <v>42857</v>
      </c>
      <c r="B1218">
        <v>2</v>
      </c>
      <c r="C1218">
        <v>6.0330000000000004</v>
      </c>
      <c r="D1218">
        <v>1</v>
      </c>
      <c r="E1218">
        <v>23</v>
      </c>
      <c r="F1218">
        <v>5</v>
      </c>
      <c r="G1218">
        <v>0</v>
      </c>
      <c r="H1218">
        <v>6</v>
      </c>
      <c r="I1218">
        <v>5</v>
      </c>
      <c r="J1218">
        <v>2017</v>
      </c>
      <c r="K1218">
        <v>5</v>
      </c>
      <c r="L1218">
        <v>276</v>
      </c>
      <c r="M1218" t="s">
        <v>17</v>
      </c>
    </row>
    <row r="1219" spans="1:13" x14ac:dyDescent="0.3">
      <c r="A1219" s="1">
        <v>42858</v>
      </c>
      <c r="B1219">
        <v>1.33</v>
      </c>
      <c r="C1219">
        <v>3.34</v>
      </c>
      <c r="D1219">
        <v>6</v>
      </c>
      <c r="E1219">
        <v>18.2</v>
      </c>
      <c r="F1219">
        <v>6</v>
      </c>
      <c r="G1219">
        <v>0</v>
      </c>
      <c r="H1219">
        <v>20</v>
      </c>
      <c r="I1219">
        <v>2</v>
      </c>
      <c r="J1219">
        <v>2017</v>
      </c>
      <c r="K1219">
        <v>5</v>
      </c>
      <c r="L1219">
        <v>276</v>
      </c>
      <c r="M1219" t="s">
        <v>18</v>
      </c>
    </row>
    <row r="1220" spans="1:13" x14ac:dyDescent="0.3">
      <c r="A1220" s="1">
        <v>42859</v>
      </c>
      <c r="B1220">
        <v>5.67</v>
      </c>
      <c r="C1220">
        <v>5.66</v>
      </c>
      <c r="D1220">
        <v>1</v>
      </c>
      <c r="E1220">
        <v>11.6</v>
      </c>
      <c r="F1220">
        <v>4</v>
      </c>
      <c r="G1220">
        <v>0</v>
      </c>
      <c r="H1220">
        <v>2</v>
      </c>
      <c r="I1220">
        <v>4.0999999999999996</v>
      </c>
      <c r="J1220">
        <v>2017</v>
      </c>
      <c r="K1220">
        <v>5</v>
      </c>
      <c r="L1220">
        <v>276</v>
      </c>
      <c r="M1220" t="s">
        <v>12</v>
      </c>
    </row>
    <row r="1221" spans="1:13" x14ac:dyDescent="0.3">
      <c r="A1221" s="1">
        <v>42860</v>
      </c>
      <c r="B1221">
        <v>2.34</v>
      </c>
      <c r="C1221">
        <v>5.33</v>
      </c>
      <c r="D1221">
        <v>1.1499999999999999</v>
      </c>
      <c r="E1221">
        <v>6.6</v>
      </c>
      <c r="F1221">
        <v>8</v>
      </c>
      <c r="G1221">
        <v>0</v>
      </c>
      <c r="H1221">
        <v>12</v>
      </c>
      <c r="I1221">
        <v>3</v>
      </c>
      <c r="J1221">
        <v>2017</v>
      </c>
      <c r="K1221">
        <v>5</v>
      </c>
      <c r="L1221">
        <v>276</v>
      </c>
      <c r="M1221" t="s">
        <v>13</v>
      </c>
    </row>
    <row r="1222" spans="1:13" x14ac:dyDescent="0.3">
      <c r="A1222" s="1">
        <v>42861</v>
      </c>
      <c r="B1222">
        <v>7.33</v>
      </c>
      <c r="C1222">
        <v>2.363</v>
      </c>
      <c r="D1222">
        <v>4.4000000000000004</v>
      </c>
      <c r="E1222">
        <v>14</v>
      </c>
      <c r="F1222">
        <v>4</v>
      </c>
      <c r="G1222">
        <v>0</v>
      </c>
      <c r="H1222">
        <v>0</v>
      </c>
      <c r="I1222">
        <v>6</v>
      </c>
      <c r="J1222">
        <v>2017</v>
      </c>
      <c r="K1222">
        <v>5</v>
      </c>
      <c r="L1222">
        <v>276</v>
      </c>
      <c r="M1222" t="s">
        <v>14</v>
      </c>
    </row>
    <row r="1223" spans="1:13" x14ac:dyDescent="0.3">
      <c r="A1223" s="1">
        <v>42862</v>
      </c>
      <c r="B1223">
        <v>6.33</v>
      </c>
      <c r="C1223">
        <v>3.67</v>
      </c>
      <c r="D1223">
        <v>4.5</v>
      </c>
      <c r="E1223">
        <v>18.25</v>
      </c>
      <c r="F1223">
        <v>3</v>
      </c>
      <c r="G1223">
        <v>0</v>
      </c>
      <c r="H1223">
        <v>4</v>
      </c>
      <c r="I1223">
        <v>4</v>
      </c>
      <c r="J1223">
        <v>2017</v>
      </c>
      <c r="K1223">
        <v>5</v>
      </c>
      <c r="L1223">
        <v>276</v>
      </c>
      <c r="M1223" t="s">
        <v>15</v>
      </c>
    </row>
    <row r="1224" spans="1:13" x14ac:dyDescent="0.3">
      <c r="A1224" s="1">
        <v>42863</v>
      </c>
      <c r="B1224">
        <v>2.33</v>
      </c>
      <c r="C1224">
        <v>3.66</v>
      </c>
      <c r="D1224">
        <v>1</v>
      </c>
      <c r="E1224">
        <v>8</v>
      </c>
      <c r="F1224">
        <v>8</v>
      </c>
      <c r="G1224">
        <v>3</v>
      </c>
      <c r="H1224">
        <v>1</v>
      </c>
      <c r="I1224">
        <v>5.6</v>
      </c>
      <c r="J1224">
        <v>2017</v>
      </c>
      <c r="K1224">
        <v>5</v>
      </c>
      <c r="L1224">
        <v>276</v>
      </c>
      <c r="M1224" t="s">
        <v>16</v>
      </c>
    </row>
    <row r="1225" spans="1:13" x14ac:dyDescent="0.3">
      <c r="A1225" s="1">
        <v>42864</v>
      </c>
      <c r="B1225">
        <v>7.33</v>
      </c>
      <c r="C1225">
        <v>4</v>
      </c>
      <c r="D1225">
        <v>4.0999999999999996</v>
      </c>
      <c r="E1225">
        <v>11</v>
      </c>
      <c r="F1225">
        <v>4</v>
      </c>
      <c r="G1225">
        <v>0</v>
      </c>
      <c r="H1225">
        <v>2</v>
      </c>
      <c r="I1225">
        <v>3</v>
      </c>
      <c r="J1225">
        <v>2017</v>
      </c>
      <c r="K1225">
        <v>5</v>
      </c>
      <c r="L1225">
        <v>276</v>
      </c>
      <c r="M1225" t="s">
        <v>17</v>
      </c>
    </row>
    <row r="1226" spans="1:13" x14ac:dyDescent="0.3">
      <c r="A1226" s="1">
        <v>42865</v>
      </c>
      <c r="B1226">
        <v>8.66</v>
      </c>
      <c r="C1226">
        <v>0.39700000000000002</v>
      </c>
      <c r="D1226">
        <v>9</v>
      </c>
      <c r="E1226">
        <v>15</v>
      </c>
      <c r="F1226">
        <v>4</v>
      </c>
      <c r="G1226">
        <v>0</v>
      </c>
      <c r="H1226">
        <v>14</v>
      </c>
      <c r="I1226">
        <v>7</v>
      </c>
      <c r="J1226">
        <v>2017</v>
      </c>
      <c r="K1226">
        <v>5</v>
      </c>
      <c r="L1226">
        <v>276</v>
      </c>
      <c r="M1226" t="s">
        <v>18</v>
      </c>
    </row>
    <row r="1227" spans="1:13" x14ac:dyDescent="0.3">
      <c r="A1227" s="1">
        <v>42866</v>
      </c>
      <c r="B1227">
        <v>6</v>
      </c>
      <c r="C1227">
        <v>6.6929999999999996</v>
      </c>
      <c r="D1227">
        <v>3</v>
      </c>
      <c r="E1227">
        <v>16</v>
      </c>
      <c r="F1227">
        <v>6</v>
      </c>
      <c r="G1227">
        <v>2</v>
      </c>
      <c r="H1227">
        <v>1</v>
      </c>
      <c r="I1227">
        <v>10</v>
      </c>
      <c r="J1227">
        <v>2017</v>
      </c>
      <c r="K1227">
        <v>5</v>
      </c>
      <c r="L1227">
        <v>276</v>
      </c>
      <c r="M1227" t="s">
        <v>12</v>
      </c>
    </row>
    <row r="1228" spans="1:13" x14ac:dyDescent="0.3">
      <c r="A1228" s="1">
        <v>42867</v>
      </c>
      <c r="B1228">
        <v>4.99</v>
      </c>
      <c r="C1228">
        <v>4.7030000000000003</v>
      </c>
      <c r="D1228">
        <v>6</v>
      </c>
      <c r="E1228">
        <v>16.399999999999999</v>
      </c>
      <c r="F1228">
        <v>4</v>
      </c>
      <c r="G1228">
        <v>9</v>
      </c>
      <c r="H1228">
        <v>0</v>
      </c>
      <c r="I1228">
        <v>6</v>
      </c>
      <c r="J1228">
        <v>2017</v>
      </c>
      <c r="K1228">
        <v>5</v>
      </c>
      <c r="L1228">
        <v>276</v>
      </c>
      <c r="M1228" t="s">
        <v>13</v>
      </c>
    </row>
    <row r="1229" spans="1:13" x14ac:dyDescent="0.3">
      <c r="A1229" s="1">
        <v>42868</v>
      </c>
      <c r="B1229">
        <v>5</v>
      </c>
      <c r="C1229">
        <v>2.363</v>
      </c>
      <c r="D1229">
        <v>6</v>
      </c>
      <c r="E1229">
        <v>12</v>
      </c>
      <c r="F1229">
        <v>4</v>
      </c>
      <c r="G1229">
        <v>0</v>
      </c>
      <c r="H1229">
        <v>1</v>
      </c>
      <c r="I1229">
        <v>7</v>
      </c>
      <c r="J1229">
        <v>2017</v>
      </c>
      <c r="K1229">
        <v>5</v>
      </c>
      <c r="L1229">
        <v>276</v>
      </c>
      <c r="M1229" t="s">
        <v>14</v>
      </c>
    </row>
    <row r="1230" spans="1:13" x14ac:dyDescent="0.3">
      <c r="A1230" s="1">
        <v>42869</v>
      </c>
      <c r="B1230">
        <v>4.67</v>
      </c>
      <c r="C1230">
        <v>2.0760000000000001</v>
      </c>
      <c r="D1230">
        <v>2.85</v>
      </c>
      <c r="E1230">
        <v>31.5</v>
      </c>
      <c r="F1230">
        <v>6</v>
      </c>
      <c r="G1230">
        <v>0</v>
      </c>
      <c r="H1230">
        <v>5</v>
      </c>
      <c r="I1230">
        <v>2.1</v>
      </c>
      <c r="J1230">
        <v>2017</v>
      </c>
      <c r="K1230">
        <v>5</v>
      </c>
      <c r="L1230">
        <v>276</v>
      </c>
      <c r="M1230" t="s">
        <v>15</v>
      </c>
    </row>
    <row r="1231" spans="1:13" x14ac:dyDescent="0.3">
      <c r="A1231" s="1">
        <v>42870</v>
      </c>
      <c r="B1231">
        <v>5.34</v>
      </c>
      <c r="C1231">
        <v>4.7030000000000003</v>
      </c>
      <c r="D1231">
        <v>2</v>
      </c>
      <c r="E1231">
        <v>17</v>
      </c>
      <c r="F1231">
        <v>0</v>
      </c>
      <c r="G1231">
        <v>3</v>
      </c>
      <c r="H1231">
        <v>3</v>
      </c>
      <c r="I1231">
        <v>7</v>
      </c>
      <c r="J1231">
        <v>2017</v>
      </c>
      <c r="K1231">
        <v>5</v>
      </c>
      <c r="L1231">
        <v>276</v>
      </c>
      <c r="M1231" t="s">
        <v>16</v>
      </c>
    </row>
    <row r="1232" spans="1:13" x14ac:dyDescent="0.3">
      <c r="A1232" s="1">
        <v>42871</v>
      </c>
      <c r="B1232">
        <v>2.33</v>
      </c>
      <c r="C1232">
        <v>5.66</v>
      </c>
      <c r="D1232">
        <v>1.5</v>
      </c>
      <c r="E1232">
        <v>16.2</v>
      </c>
      <c r="F1232">
        <v>2</v>
      </c>
      <c r="G1232">
        <v>0</v>
      </c>
      <c r="H1232">
        <v>6</v>
      </c>
      <c r="I1232">
        <v>7</v>
      </c>
      <c r="J1232">
        <v>2017</v>
      </c>
      <c r="K1232">
        <v>5</v>
      </c>
      <c r="L1232">
        <v>276</v>
      </c>
      <c r="M1232" t="s">
        <v>17</v>
      </c>
    </row>
    <row r="1233" spans="1:13" x14ac:dyDescent="0.3">
      <c r="A1233" s="1">
        <v>42872</v>
      </c>
      <c r="B1233">
        <v>6.34</v>
      </c>
      <c r="C1233">
        <v>4.84</v>
      </c>
      <c r="D1233">
        <v>0</v>
      </c>
      <c r="E1233">
        <v>9</v>
      </c>
      <c r="F1233">
        <v>5</v>
      </c>
      <c r="G1233">
        <v>0</v>
      </c>
      <c r="H1233">
        <v>0</v>
      </c>
      <c r="I1233">
        <v>2</v>
      </c>
      <c r="J1233">
        <v>2017</v>
      </c>
      <c r="K1233">
        <v>5</v>
      </c>
      <c r="L1233">
        <v>276</v>
      </c>
      <c r="M1233" t="s">
        <v>18</v>
      </c>
    </row>
    <row r="1234" spans="1:13" x14ac:dyDescent="0.3">
      <c r="A1234" s="1">
        <v>42873</v>
      </c>
      <c r="B1234">
        <v>3.33</v>
      </c>
      <c r="C1234">
        <v>5.01</v>
      </c>
      <c r="D1234">
        <v>4</v>
      </c>
      <c r="E1234">
        <v>28.2</v>
      </c>
      <c r="F1234">
        <v>4</v>
      </c>
      <c r="G1234">
        <v>0</v>
      </c>
      <c r="H1234">
        <v>0</v>
      </c>
      <c r="I1234">
        <v>3</v>
      </c>
      <c r="J1234">
        <v>2017</v>
      </c>
      <c r="K1234">
        <v>5</v>
      </c>
      <c r="L1234">
        <v>276</v>
      </c>
      <c r="M1234" t="s">
        <v>12</v>
      </c>
    </row>
    <row r="1235" spans="1:13" x14ac:dyDescent="0.3">
      <c r="A1235" s="1">
        <v>42874</v>
      </c>
      <c r="B1235">
        <v>4.34</v>
      </c>
      <c r="C1235">
        <v>3.44</v>
      </c>
      <c r="D1235">
        <v>2.2000000000000002</v>
      </c>
      <c r="E1235">
        <v>31.6</v>
      </c>
      <c r="F1235">
        <v>11</v>
      </c>
      <c r="G1235">
        <v>0</v>
      </c>
      <c r="H1235">
        <v>0</v>
      </c>
      <c r="I1235">
        <v>10</v>
      </c>
      <c r="J1235">
        <v>2017</v>
      </c>
      <c r="K1235">
        <v>5</v>
      </c>
      <c r="L1235">
        <v>276</v>
      </c>
      <c r="M1235" t="s">
        <v>13</v>
      </c>
    </row>
    <row r="1236" spans="1:13" x14ac:dyDescent="0.3">
      <c r="A1236" s="1">
        <v>42875</v>
      </c>
      <c r="B1236">
        <v>3.99</v>
      </c>
      <c r="C1236">
        <v>4.7130000000000001</v>
      </c>
      <c r="D1236">
        <v>0.25</v>
      </c>
      <c r="E1236">
        <v>16.399999999999999</v>
      </c>
      <c r="F1236">
        <v>5</v>
      </c>
      <c r="G1236">
        <v>0</v>
      </c>
      <c r="H1236">
        <v>6</v>
      </c>
      <c r="I1236">
        <v>6</v>
      </c>
      <c r="J1236">
        <v>2017</v>
      </c>
      <c r="K1236">
        <v>5</v>
      </c>
      <c r="L1236">
        <v>276</v>
      </c>
      <c r="M1236" t="s">
        <v>14</v>
      </c>
    </row>
    <row r="1237" spans="1:13" x14ac:dyDescent="0.3">
      <c r="A1237" s="1">
        <v>42876</v>
      </c>
      <c r="B1237">
        <v>6</v>
      </c>
      <c r="C1237">
        <v>3.0430000000000001</v>
      </c>
      <c r="D1237">
        <v>1.25</v>
      </c>
      <c r="E1237">
        <v>32.200000000000003</v>
      </c>
      <c r="F1237">
        <v>5</v>
      </c>
      <c r="G1237">
        <v>0</v>
      </c>
      <c r="H1237">
        <v>12</v>
      </c>
      <c r="I1237">
        <v>4</v>
      </c>
      <c r="J1237">
        <v>2017</v>
      </c>
      <c r="K1237">
        <v>5</v>
      </c>
      <c r="L1237">
        <v>276</v>
      </c>
      <c r="M1237" t="s">
        <v>15</v>
      </c>
    </row>
    <row r="1238" spans="1:13" x14ac:dyDescent="0.3">
      <c r="A1238" s="1">
        <v>42877</v>
      </c>
      <c r="B1238">
        <v>5.33</v>
      </c>
      <c r="C1238">
        <v>1.34</v>
      </c>
      <c r="D1238">
        <v>4.4000000000000004</v>
      </c>
      <c r="E1238">
        <v>22.4</v>
      </c>
      <c r="F1238">
        <v>5</v>
      </c>
      <c r="G1238">
        <v>0</v>
      </c>
      <c r="H1238">
        <v>7</v>
      </c>
      <c r="I1238">
        <v>11</v>
      </c>
      <c r="J1238">
        <v>2017</v>
      </c>
      <c r="K1238">
        <v>5</v>
      </c>
      <c r="L1238">
        <v>276</v>
      </c>
      <c r="M1238" t="s">
        <v>16</v>
      </c>
    </row>
    <row r="1239" spans="1:13" x14ac:dyDescent="0.3">
      <c r="A1239" s="1">
        <v>42878</v>
      </c>
      <c r="B1239">
        <v>3</v>
      </c>
      <c r="C1239">
        <v>2.4060000000000001</v>
      </c>
      <c r="D1239">
        <v>5</v>
      </c>
      <c r="E1239">
        <v>11</v>
      </c>
      <c r="F1239">
        <v>9</v>
      </c>
      <c r="G1239">
        <v>0</v>
      </c>
      <c r="H1239">
        <v>2</v>
      </c>
      <c r="I1239">
        <v>7</v>
      </c>
      <c r="J1239">
        <v>2017</v>
      </c>
      <c r="K1239">
        <v>5</v>
      </c>
      <c r="L1239">
        <v>276</v>
      </c>
      <c r="M1239" t="s">
        <v>17</v>
      </c>
    </row>
    <row r="1240" spans="1:13" x14ac:dyDescent="0.3">
      <c r="A1240" s="1">
        <v>42879</v>
      </c>
      <c r="B1240">
        <v>6.68</v>
      </c>
      <c r="C1240">
        <v>3.34</v>
      </c>
      <c r="D1240">
        <v>3</v>
      </c>
      <c r="E1240">
        <v>14.2</v>
      </c>
      <c r="F1240">
        <v>9</v>
      </c>
      <c r="G1240">
        <v>0</v>
      </c>
      <c r="H1240">
        <v>4</v>
      </c>
      <c r="I1240">
        <v>4.71</v>
      </c>
      <c r="J1240">
        <v>2017</v>
      </c>
      <c r="K1240">
        <v>5</v>
      </c>
      <c r="L1240">
        <v>276</v>
      </c>
      <c r="M1240" t="s">
        <v>18</v>
      </c>
    </row>
    <row r="1241" spans="1:13" x14ac:dyDescent="0.3">
      <c r="A1241" s="1">
        <v>42880</v>
      </c>
      <c r="B1241">
        <v>5.66</v>
      </c>
      <c r="C1241">
        <v>5.36</v>
      </c>
      <c r="D1241">
        <v>2</v>
      </c>
      <c r="E1241">
        <v>18.2</v>
      </c>
      <c r="F1241">
        <v>3</v>
      </c>
      <c r="G1241">
        <v>0</v>
      </c>
      <c r="H1241">
        <v>2</v>
      </c>
      <c r="I1241">
        <v>4.3</v>
      </c>
      <c r="J1241">
        <v>2017</v>
      </c>
      <c r="K1241">
        <v>5</v>
      </c>
      <c r="L1241">
        <v>276</v>
      </c>
      <c r="M1241" t="s">
        <v>12</v>
      </c>
    </row>
    <row r="1242" spans="1:13" x14ac:dyDescent="0.3">
      <c r="A1242" s="1">
        <v>42881</v>
      </c>
      <c r="B1242">
        <v>2.34</v>
      </c>
      <c r="C1242">
        <v>3.67</v>
      </c>
      <c r="D1242">
        <v>5</v>
      </c>
      <c r="E1242">
        <v>29</v>
      </c>
      <c r="F1242">
        <v>4</v>
      </c>
      <c r="G1242">
        <v>0</v>
      </c>
      <c r="H1242">
        <v>8</v>
      </c>
      <c r="I1242">
        <v>2</v>
      </c>
      <c r="J1242">
        <v>2017</v>
      </c>
      <c r="K1242">
        <v>5</v>
      </c>
      <c r="L1242">
        <v>276</v>
      </c>
      <c r="M1242" t="s">
        <v>13</v>
      </c>
    </row>
    <row r="1243" spans="1:13" x14ac:dyDescent="0.3">
      <c r="A1243" s="1">
        <v>42882</v>
      </c>
      <c r="B1243">
        <v>7.33</v>
      </c>
      <c r="C1243">
        <v>3.2210000000000001</v>
      </c>
      <c r="D1243">
        <v>2</v>
      </c>
      <c r="E1243">
        <v>23.4</v>
      </c>
      <c r="F1243">
        <v>5</v>
      </c>
      <c r="G1243">
        <v>0</v>
      </c>
      <c r="H1243">
        <v>0</v>
      </c>
      <c r="I1243">
        <v>10</v>
      </c>
      <c r="J1243">
        <v>2017</v>
      </c>
      <c r="K1243">
        <v>5</v>
      </c>
      <c r="L1243">
        <v>276</v>
      </c>
      <c r="M1243" t="s">
        <v>14</v>
      </c>
    </row>
    <row r="1244" spans="1:13" x14ac:dyDescent="0.3">
      <c r="A1244" s="1">
        <v>42883</v>
      </c>
      <c r="B1244">
        <v>1.99</v>
      </c>
      <c r="C1244">
        <v>6.2430000000000003</v>
      </c>
      <c r="D1244">
        <v>2.4500000000000002</v>
      </c>
      <c r="E1244">
        <v>11.19</v>
      </c>
      <c r="F1244">
        <v>2</v>
      </c>
      <c r="G1244">
        <v>0</v>
      </c>
      <c r="H1244">
        <v>0</v>
      </c>
      <c r="I1244">
        <v>3</v>
      </c>
      <c r="J1244">
        <v>2017</v>
      </c>
      <c r="K1244">
        <v>5</v>
      </c>
      <c r="L1244">
        <v>276</v>
      </c>
      <c r="M1244" t="s">
        <v>15</v>
      </c>
    </row>
    <row r="1245" spans="1:13" x14ac:dyDescent="0.3">
      <c r="A1245" s="1">
        <v>42884</v>
      </c>
      <c r="B1245">
        <v>3.34</v>
      </c>
      <c r="C1245">
        <v>4.0229999999999997</v>
      </c>
      <c r="D1245">
        <v>1.6</v>
      </c>
      <c r="E1245">
        <v>28</v>
      </c>
      <c r="F1245">
        <v>4</v>
      </c>
      <c r="G1245">
        <v>2</v>
      </c>
      <c r="H1245">
        <v>4</v>
      </c>
      <c r="I1245">
        <v>5</v>
      </c>
      <c r="J1245">
        <v>2017</v>
      </c>
      <c r="K1245">
        <v>5</v>
      </c>
      <c r="L1245">
        <v>276</v>
      </c>
      <c r="M1245" t="s">
        <v>16</v>
      </c>
    </row>
    <row r="1246" spans="1:13" x14ac:dyDescent="0.3">
      <c r="A1246" s="1">
        <v>42885</v>
      </c>
      <c r="B1246">
        <v>8</v>
      </c>
      <c r="C1246">
        <v>3.3959999999999999</v>
      </c>
      <c r="D1246">
        <v>4.3</v>
      </c>
      <c r="E1246">
        <v>25</v>
      </c>
      <c r="F1246">
        <v>3</v>
      </c>
      <c r="G1246">
        <v>0</v>
      </c>
      <c r="H1246">
        <v>5</v>
      </c>
      <c r="I1246">
        <v>5</v>
      </c>
      <c r="J1246">
        <v>2017</v>
      </c>
      <c r="K1246">
        <v>5</v>
      </c>
      <c r="L1246">
        <v>276</v>
      </c>
      <c r="M1246" t="s">
        <v>17</v>
      </c>
    </row>
    <row r="1247" spans="1:13" x14ac:dyDescent="0.3">
      <c r="A1247" s="1">
        <v>42886</v>
      </c>
      <c r="B1247">
        <v>4</v>
      </c>
      <c r="C1247">
        <v>2.4289999999999998</v>
      </c>
      <c r="D1247">
        <v>7</v>
      </c>
      <c r="E1247">
        <v>12.2</v>
      </c>
      <c r="F1247">
        <v>6</v>
      </c>
      <c r="G1247">
        <v>4</v>
      </c>
      <c r="H1247">
        <v>1</v>
      </c>
      <c r="I1247">
        <v>5</v>
      </c>
      <c r="J1247">
        <v>2017</v>
      </c>
      <c r="K1247">
        <v>5</v>
      </c>
      <c r="L1247">
        <v>276</v>
      </c>
      <c r="M1247" t="s">
        <v>18</v>
      </c>
    </row>
    <row r="1248" spans="1:13" x14ac:dyDescent="0.3">
      <c r="A1248" s="1">
        <v>42887</v>
      </c>
      <c r="B1248">
        <v>1.34</v>
      </c>
      <c r="C1248">
        <v>3.67</v>
      </c>
      <c r="D1248">
        <v>2</v>
      </c>
      <c r="E1248">
        <v>21.4</v>
      </c>
      <c r="F1248">
        <v>10</v>
      </c>
      <c r="G1248">
        <v>0</v>
      </c>
      <c r="H1248">
        <v>2</v>
      </c>
      <c r="I1248">
        <v>2</v>
      </c>
      <c r="J1248">
        <v>2017</v>
      </c>
      <c r="K1248">
        <v>6</v>
      </c>
      <c r="L1248">
        <v>276</v>
      </c>
      <c r="M1248" t="s">
        <v>12</v>
      </c>
    </row>
    <row r="1249" spans="1:13" x14ac:dyDescent="0.3">
      <c r="A1249" s="1">
        <v>42888</v>
      </c>
      <c r="B1249">
        <v>2.33</v>
      </c>
      <c r="C1249">
        <v>4</v>
      </c>
      <c r="D1249">
        <v>4</v>
      </c>
      <c r="E1249">
        <v>17.399999999999999</v>
      </c>
      <c r="F1249">
        <v>9</v>
      </c>
      <c r="G1249">
        <v>1</v>
      </c>
      <c r="H1249">
        <v>5</v>
      </c>
      <c r="I1249">
        <v>3</v>
      </c>
      <c r="J1249">
        <v>2017</v>
      </c>
      <c r="K1249">
        <v>6</v>
      </c>
      <c r="L1249">
        <v>276</v>
      </c>
      <c r="M1249" t="s">
        <v>13</v>
      </c>
    </row>
    <row r="1250" spans="1:13" x14ac:dyDescent="0.3">
      <c r="A1250" s="1">
        <v>42889</v>
      </c>
      <c r="B1250">
        <v>5</v>
      </c>
      <c r="C1250">
        <v>1.726</v>
      </c>
      <c r="D1250">
        <v>3</v>
      </c>
      <c r="E1250">
        <v>10</v>
      </c>
      <c r="F1250">
        <v>3</v>
      </c>
      <c r="G1250">
        <v>1</v>
      </c>
      <c r="H1250">
        <v>22</v>
      </c>
      <c r="I1250">
        <v>2</v>
      </c>
      <c r="J1250">
        <v>2017</v>
      </c>
      <c r="K1250">
        <v>6</v>
      </c>
      <c r="L1250">
        <v>276</v>
      </c>
      <c r="M1250" t="s">
        <v>14</v>
      </c>
    </row>
    <row r="1251" spans="1:13" x14ac:dyDescent="0.3">
      <c r="A1251" s="1">
        <v>42890</v>
      </c>
      <c r="B1251">
        <v>7</v>
      </c>
      <c r="C1251">
        <v>1.7470000000000001</v>
      </c>
      <c r="D1251">
        <v>2.25</v>
      </c>
      <c r="E1251">
        <v>23.4</v>
      </c>
      <c r="F1251">
        <v>3</v>
      </c>
      <c r="G1251">
        <v>1</v>
      </c>
      <c r="H1251">
        <v>5</v>
      </c>
      <c r="I1251">
        <v>4</v>
      </c>
      <c r="J1251">
        <v>2017</v>
      </c>
      <c r="K1251">
        <v>6</v>
      </c>
      <c r="L1251">
        <v>276</v>
      </c>
      <c r="M1251" t="s">
        <v>15</v>
      </c>
    </row>
    <row r="1252" spans="1:13" x14ac:dyDescent="0.3">
      <c r="A1252" s="1">
        <v>42891</v>
      </c>
      <c r="B1252">
        <v>3.33</v>
      </c>
      <c r="C1252">
        <v>5.99</v>
      </c>
      <c r="D1252">
        <v>4.5</v>
      </c>
      <c r="E1252">
        <v>9.6999999999999993</v>
      </c>
      <c r="F1252">
        <v>5</v>
      </c>
      <c r="G1252">
        <v>0</v>
      </c>
      <c r="H1252">
        <v>0</v>
      </c>
      <c r="I1252">
        <v>8</v>
      </c>
      <c r="J1252">
        <v>2017</v>
      </c>
      <c r="K1252">
        <v>6</v>
      </c>
      <c r="L1252">
        <v>276</v>
      </c>
      <c r="M1252" t="s">
        <v>16</v>
      </c>
    </row>
    <row r="1253" spans="1:13" x14ac:dyDescent="0.3">
      <c r="A1253" s="1">
        <v>42892</v>
      </c>
      <c r="B1253">
        <v>1</v>
      </c>
      <c r="C1253">
        <v>3</v>
      </c>
      <c r="D1253">
        <v>0</v>
      </c>
      <c r="E1253">
        <v>18</v>
      </c>
      <c r="F1253">
        <v>3</v>
      </c>
      <c r="G1253">
        <v>0</v>
      </c>
      <c r="H1253">
        <v>6</v>
      </c>
      <c r="I1253">
        <v>7.5</v>
      </c>
      <c r="J1253">
        <v>2017</v>
      </c>
      <c r="K1253">
        <v>6</v>
      </c>
      <c r="L1253">
        <v>276</v>
      </c>
      <c r="M1253" t="s">
        <v>17</v>
      </c>
    </row>
    <row r="1254" spans="1:13" x14ac:dyDescent="0.3">
      <c r="A1254" s="1">
        <v>42893</v>
      </c>
      <c r="B1254">
        <v>5.33</v>
      </c>
      <c r="C1254">
        <v>4.6929999999999996</v>
      </c>
      <c r="D1254">
        <v>4</v>
      </c>
      <c r="E1254">
        <v>21</v>
      </c>
      <c r="F1254">
        <v>13</v>
      </c>
      <c r="G1254">
        <v>0</v>
      </c>
      <c r="H1254">
        <v>20</v>
      </c>
      <c r="I1254">
        <v>7</v>
      </c>
      <c r="J1254">
        <v>2017</v>
      </c>
      <c r="K1254">
        <v>6</v>
      </c>
      <c r="L1254">
        <v>276</v>
      </c>
      <c r="M1254" t="s">
        <v>18</v>
      </c>
    </row>
    <row r="1255" spans="1:13" x14ac:dyDescent="0.3">
      <c r="A1255" s="1">
        <v>42894</v>
      </c>
      <c r="B1255">
        <v>5</v>
      </c>
      <c r="C1255">
        <v>1.823</v>
      </c>
      <c r="D1255">
        <v>3.15</v>
      </c>
      <c r="E1255">
        <v>21</v>
      </c>
      <c r="F1255">
        <v>4</v>
      </c>
      <c r="G1255">
        <v>0</v>
      </c>
      <c r="H1255">
        <v>2</v>
      </c>
      <c r="I1255">
        <v>4.2</v>
      </c>
      <c r="J1255">
        <v>2017</v>
      </c>
      <c r="K1255">
        <v>6</v>
      </c>
      <c r="L1255">
        <v>276</v>
      </c>
      <c r="M1255" t="s">
        <v>12</v>
      </c>
    </row>
    <row r="1256" spans="1:13" x14ac:dyDescent="0.3">
      <c r="A1256" s="1">
        <v>42895</v>
      </c>
      <c r="B1256">
        <v>1.33</v>
      </c>
      <c r="C1256">
        <v>4.09</v>
      </c>
      <c r="D1256">
        <v>3.1</v>
      </c>
      <c r="E1256">
        <v>10</v>
      </c>
      <c r="F1256">
        <v>2</v>
      </c>
      <c r="G1256">
        <v>0</v>
      </c>
      <c r="H1256">
        <v>0</v>
      </c>
      <c r="I1256">
        <v>6</v>
      </c>
      <c r="J1256">
        <v>2017</v>
      </c>
      <c r="K1256">
        <v>6</v>
      </c>
      <c r="L1256">
        <v>276</v>
      </c>
      <c r="M1256" t="s">
        <v>13</v>
      </c>
    </row>
    <row r="1257" spans="1:13" x14ac:dyDescent="0.3">
      <c r="A1257" s="1">
        <v>42896</v>
      </c>
      <c r="B1257">
        <v>9</v>
      </c>
      <c r="C1257">
        <v>7.01</v>
      </c>
      <c r="D1257">
        <v>4</v>
      </c>
      <c r="E1257">
        <v>15</v>
      </c>
      <c r="F1257">
        <v>2</v>
      </c>
      <c r="G1257">
        <v>0</v>
      </c>
      <c r="H1257">
        <v>7</v>
      </c>
      <c r="I1257">
        <v>3</v>
      </c>
      <c r="J1257">
        <v>2017</v>
      </c>
      <c r="K1257">
        <v>6</v>
      </c>
      <c r="L1257">
        <v>276</v>
      </c>
      <c r="M1257" t="s">
        <v>14</v>
      </c>
    </row>
    <row r="1258" spans="1:13" x14ac:dyDescent="0.3">
      <c r="A1258" s="1">
        <v>42897</v>
      </c>
      <c r="B1258">
        <v>5.5</v>
      </c>
      <c r="C1258">
        <v>3.99</v>
      </c>
      <c r="D1258">
        <v>8.5</v>
      </c>
      <c r="E1258">
        <v>28.25</v>
      </c>
      <c r="F1258">
        <v>8</v>
      </c>
      <c r="G1258">
        <v>0</v>
      </c>
      <c r="H1258">
        <v>2</v>
      </c>
      <c r="I1258">
        <v>3</v>
      </c>
      <c r="J1258">
        <v>2017</v>
      </c>
      <c r="K1258">
        <v>6</v>
      </c>
      <c r="L1258">
        <v>276</v>
      </c>
      <c r="M1258" t="s">
        <v>15</v>
      </c>
    </row>
    <row r="1259" spans="1:13" x14ac:dyDescent="0.3">
      <c r="A1259" s="1">
        <v>42898</v>
      </c>
      <c r="B1259">
        <v>4.34</v>
      </c>
      <c r="C1259">
        <v>3.34</v>
      </c>
      <c r="D1259">
        <v>1</v>
      </c>
      <c r="E1259">
        <v>13.6</v>
      </c>
      <c r="F1259">
        <v>3</v>
      </c>
      <c r="G1259">
        <v>0</v>
      </c>
      <c r="H1259">
        <v>13</v>
      </c>
      <c r="I1259">
        <v>12</v>
      </c>
      <c r="J1259">
        <v>2017</v>
      </c>
      <c r="K1259">
        <v>6</v>
      </c>
      <c r="L1259">
        <v>276</v>
      </c>
      <c r="M1259" t="s">
        <v>16</v>
      </c>
    </row>
    <row r="1260" spans="1:13" x14ac:dyDescent="0.3">
      <c r="A1260" s="1">
        <v>42899</v>
      </c>
      <c r="B1260">
        <v>2.99</v>
      </c>
      <c r="C1260">
        <v>3.0230000000000001</v>
      </c>
      <c r="D1260">
        <v>3</v>
      </c>
      <c r="E1260">
        <v>8</v>
      </c>
      <c r="F1260">
        <v>9</v>
      </c>
      <c r="G1260">
        <v>0</v>
      </c>
      <c r="H1260">
        <v>0</v>
      </c>
      <c r="I1260">
        <v>9.1</v>
      </c>
      <c r="J1260">
        <v>2017</v>
      </c>
      <c r="K1260">
        <v>6</v>
      </c>
      <c r="L1260">
        <v>276</v>
      </c>
      <c r="M1260" t="s">
        <v>17</v>
      </c>
    </row>
    <row r="1261" spans="1:13" x14ac:dyDescent="0.3">
      <c r="A1261" s="1">
        <v>42900</v>
      </c>
      <c r="B1261">
        <v>1.33</v>
      </c>
      <c r="C1261">
        <v>1.33</v>
      </c>
      <c r="D1261">
        <v>1</v>
      </c>
      <c r="E1261">
        <v>9</v>
      </c>
      <c r="F1261">
        <v>6</v>
      </c>
      <c r="G1261">
        <v>3</v>
      </c>
      <c r="H1261">
        <v>5</v>
      </c>
      <c r="I1261">
        <v>3</v>
      </c>
      <c r="J1261">
        <v>2017</v>
      </c>
      <c r="K1261">
        <v>6</v>
      </c>
      <c r="L1261">
        <v>276</v>
      </c>
      <c r="M1261" t="s">
        <v>18</v>
      </c>
    </row>
    <row r="1262" spans="1:13" x14ac:dyDescent="0.3">
      <c r="A1262" s="1">
        <v>42901</v>
      </c>
      <c r="B1262">
        <v>3</v>
      </c>
      <c r="C1262">
        <v>4.33</v>
      </c>
      <c r="D1262">
        <v>3.15</v>
      </c>
      <c r="E1262">
        <v>15</v>
      </c>
      <c r="F1262">
        <v>10</v>
      </c>
      <c r="G1262">
        <v>0</v>
      </c>
      <c r="H1262">
        <v>5</v>
      </c>
      <c r="I1262">
        <v>6.5</v>
      </c>
      <c r="J1262">
        <v>2017</v>
      </c>
      <c r="K1262">
        <v>6</v>
      </c>
      <c r="L1262">
        <v>276</v>
      </c>
      <c r="M1262" t="s">
        <v>12</v>
      </c>
    </row>
    <row r="1263" spans="1:13" x14ac:dyDescent="0.3">
      <c r="A1263" s="1">
        <v>42902</v>
      </c>
      <c r="B1263">
        <v>4</v>
      </c>
      <c r="C1263">
        <v>2.0099999999999998</v>
      </c>
      <c r="D1263">
        <v>0</v>
      </c>
      <c r="E1263">
        <v>12.25</v>
      </c>
      <c r="F1263">
        <v>6</v>
      </c>
      <c r="G1263">
        <v>0</v>
      </c>
      <c r="H1263">
        <v>0</v>
      </c>
      <c r="I1263">
        <v>5.44</v>
      </c>
      <c r="J1263">
        <v>2017</v>
      </c>
      <c r="K1263">
        <v>6</v>
      </c>
      <c r="L1263">
        <v>276</v>
      </c>
      <c r="M1263" t="s">
        <v>13</v>
      </c>
    </row>
    <row r="1264" spans="1:13" x14ac:dyDescent="0.3">
      <c r="A1264" s="1">
        <v>42903</v>
      </c>
      <c r="B1264">
        <v>2</v>
      </c>
      <c r="C1264">
        <v>8.7260000000000009</v>
      </c>
      <c r="D1264">
        <v>5</v>
      </c>
      <c r="E1264">
        <v>12</v>
      </c>
      <c r="F1264">
        <v>4</v>
      </c>
      <c r="G1264">
        <v>0</v>
      </c>
      <c r="H1264">
        <v>5</v>
      </c>
      <c r="I1264">
        <v>5</v>
      </c>
      <c r="J1264">
        <v>2017</v>
      </c>
      <c r="K1264">
        <v>6</v>
      </c>
      <c r="L1264">
        <v>276</v>
      </c>
      <c r="M1264" t="s">
        <v>14</v>
      </c>
    </row>
    <row r="1265" spans="1:13" x14ac:dyDescent="0.3">
      <c r="A1265" s="1">
        <v>42904</v>
      </c>
      <c r="B1265">
        <v>4</v>
      </c>
      <c r="C1265">
        <v>7.34</v>
      </c>
      <c r="D1265">
        <v>1.1000000000000001</v>
      </c>
      <c r="E1265">
        <v>26.6</v>
      </c>
      <c r="F1265">
        <v>2</v>
      </c>
      <c r="G1265">
        <v>0</v>
      </c>
      <c r="H1265">
        <v>12</v>
      </c>
      <c r="I1265">
        <v>3.33</v>
      </c>
      <c r="J1265">
        <v>2017</v>
      </c>
      <c r="K1265">
        <v>6</v>
      </c>
      <c r="L1265">
        <v>276</v>
      </c>
      <c r="M1265" t="s">
        <v>15</v>
      </c>
    </row>
    <row r="1266" spans="1:13" x14ac:dyDescent="0.3">
      <c r="A1266" s="1">
        <v>42905</v>
      </c>
      <c r="B1266">
        <v>1.33</v>
      </c>
      <c r="C1266">
        <v>1.98</v>
      </c>
      <c r="D1266">
        <v>1</v>
      </c>
      <c r="E1266">
        <v>18</v>
      </c>
      <c r="F1266">
        <v>1</v>
      </c>
      <c r="G1266">
        <v>1</v>
      </c>
      <c r="H1266">
        <v>8</v>
      </c>
      <c r="I1266">
        <v>3</v>
      </c>
      <c r="J1266">
        <v>2017</v>
      </c>
      <c r="K1266">
        <v>6</v>
      </c>
      <c r="L1266">
        <v>276</v>
      </c>
      <c r="M1266" t="s">
        <v>16</v>
      </c>
    </row>
    <row r="1267" spans="1:13" x14ac:dyDescent="0.3">
      <c r="A1267" s="1">
        <v>42906</v>
      </c>
      <c r="B1267">
        <v>9.33</v>
      </c>
      <c r="C1267">
        <v>1</v>
      </c>
      <c r="D1267">
        <v>5.0999999999999996</v>
      </c>
      <c r="E1267">
        <v>12</v>
      </c>
      <c r="F1267">
        <v>5</v>
      </c>
      <c r="G1267">
        <v>0</v>
      </c>
      <c r="H1267">
        <v>5</v>
      </c>
      <c r="I1267">
        <v>8.6300000000000008</v>
      </c>
      <c r="J1267">
        <v>2017</v>
      </c>
      <c r="K1267">
        <v>6</v>
      </c>
      <c r="L1267">
        <v>276</v>
      </c>
      <c r="M1267" t="s">
        <v>17</v>
      </c>
    </row>
    <row r="1268" spans="1:13" x14ac:dyDescent="0.3">
      <c r="A1268" s="1">
        <v>42907</v>
      </c>
      <c r="B1268">
        <v>4</v>
      </c>
      <c r="C1268">
        <v>1.33</v>
      </c>
      <c r="D1268">
        <v>2</v>
      </c>
      <c r="E1268">
        <v>21</v>
      </c>
      <c r="F1268">
        <v>4</v>
      </c>
      <c r="G1268">
        <v>0</v>
      </c>
      <c r="H1268">
        <v>2</v>
      </c>
      <c r="I1268">
        <v>5.4</v>
      </c>
      <c r="J1268">
        <v>2017</v>
      </c>
      <c r="K1268">
        <v>6</v>
      </c>
      <c r="L1268">
        <v>276</v>
      </c>
      <c r="M1268" t="s">
        <v>18</v>
      </c>
    </row>
    <row r="1269" spans="1:13" x14ac:dyDescent="0.3">
      <c r="A1269" s="1">
        <v>42908</v>
      </c>
      <c r="B1269">
        <v>1</v>
      </c>
      <c r="C1269">
        <v>3.34</v>
      </c>
      <c r="D1269">
        <v>0</v>
      </c>
      <c r="E1269">
        <v>7</v>
      </c>
      <c r="F1269">
        <v>4</v>
      </c>
      <c r="G1269">
        <v>0</v>
      </c>
      <c r="H1269">
        <v>8</v>
      </c>
      <c r="I1269">
        <v>11</v>
      </c>
      <c r="J1269">
        <v>2017</v>
      </c>
      <c r="K1269">
        <v>6</v>
      </c>
      <c r="L1269">
        <v>276</v>
      </c>
      <c r="M1269" t="s">
        <v>12</v>
      </c>
    </row>
    <row r="1270" spans="1:13" x14ac:dyDescent="0.3">
      <c r="A1270" s="1">
        <v>42909</v>
      </c>
      <c r="B1270">
        <v>1</v>
      </c>
      <c r="C1270">
        <v>1.34</v>
      </c>
      <c r="D1270">
        <v>2</v>
      </c>
      <c r="E1270">
        <v>16</v>
      </c>
      <c r="F1270">
        <v>5</v>
      </c>
      <c r="G1270">
        <v>0</v>
      </c>
      <c r="H1270">
        <v>0</v>
      </c>
      <c r="I1270">
        <v>1.2</v>
      </c>
      <c r="J1270">
        <v>2017</v>
      </c>
      <c r="K1270">
        <v>6</v>
      </c>
      <c r="L1270">
        <v>276</v>
      </c>
      <c r="M1270" t="s">
        <v>13</v>
      </c>
    </row>
    <row r="1271" spans="1:13" x14ac:dyDescent="0.3">
      <c r="A1271" s="1">
        <v>42910</v>
      </c>
      <c r="B1271">
        <v>5</v>
      </c>
      <c r="C1271">
        <v>3.65</v>
      </c>
      <c r="D1271">
        <v>6</v>
      </c>
      <c r="E1271">
        <v>32</v>
      </c>
      <c r="F1271">
        <v>8</v>
      </c>
      <c r="G1271">
        <v>1</v>
      </c>
      <c r="H1271">
        <v>0</v>
      </c>
      <c r="I1271">
        <v>1</v>
      </c>
      <c r="J1271">
        <v>2017</v>
      </c>
      <c r="K1271">
        <v>6</v>
      </c>
      <c r="L1271">
        <v>276</v>
      </c>
      <c r="M1271" t="s">
        <v>14</v>
      </c>
    </row>
    <row r="1272" spans="1:13" x14ac:dyDescent="0.3">
      <c r="A1272" s="1">
        <v>42911</v>
      </c>
      <c r="B1272">
        <v>6.5</v>
      </c>
      <c r="C1272">
        <v>2.34</v>
      </c>
      <c r="D1272">
        <v>6</v>
      </c>
      <c r="E1272">
        <v>22</v>
      </c>
      <c r="F1272">
        <v>4</v>
      </c>
      <c r="G1272">
        <v>0</v>
      </c>
      <c r="H1272">
        <v>0</v>
      </c>
      <c r="I1272">
        <v>4.5999999999999996</v>
      </c>
      <c r="J1272">
        <v>2017</v>
      </c>
      <c r="K1272">
        <v>6</v>
      </c>
      <c r="L1272">
        <v>276</v>
      </c>
      <c r="M1272" t="s">
        <v>15</v>
      </c>
    </row>
    <row r="1273" spans="1:13" x14ac:dyDescent="0.3">
      <c r="A1273" s="1">
        <v>42912</v>
      </c>
      <c r="B1273">
        <v>7.68</v>
      </c>
      <c r="C1273">
        <v>3.0329999999999999</v>
      </c>
      <c r="D1273">
        <v>6.25</v>
      </c>
      <c r="E1273">
        <v>10</v>
      </c>
      <c r="F1273">
        <v>11</v>
      </c>
      <c r="G1273">
        <v>0</v>
      </c>
      <c r="H1273">
        <v>0</v>
      </c>
      <c r="I1273">
        <v>3</v>
      </c>
      <c r="J1273">
        <v>2017</v>
      </c>
      <c r="K1273">
        <v>6</v>
      </c>
      <c r="L1273">
        <v>276</v>
      </c>
      <c r="M1273" t="s">
        <v>16</v>
      </c>
    </row>
    <row r="1274" spans="1:13" x14ac:dyDescent="0.3">
      <c r="A1274" s="1">
        <v>42913</v>
      </c>
      <c r="B1274">
        <v>4</v>
      </c>
      <c r="C1274">
        <v>3.32</v>
      </c>
      <c r="D1274">
        <v>6</v>
      </c>
      <c r="E1274">
        <v>13.5</v>
      </c>
      <c r="F1274">
        <v>9</v>
      </c>
      <c r="G1274">
        <v>0</v>
      </c>
      <c r="H1274">
        <v>3</v>
      </c>
      <c r="I1274">
        <v>6</v>
      </c>
      <c r="J1274">
        <v>2017</v>
      </c>
      <c r="K1274">
        <v>6</v>
      </c>
      <c r="L1274">
        <v>276</v>
      </c>
      <c r="M1274" t="s">
        <v>17</v>
      </c>
    </row>
    <row r="1275" spans="1:13" x14ac:dyDescent="0.3">
      <c r="A1275" s="1">
        <v>42914</v>
      </c>
      <c r="B1275">
        <v>4</v>
      </c>
      <c r="C1275">
        <v>4.0330000000000004</v>
      </c>
      <c r="D1275">
        <v>4.5</v>
      </c>
      <c r="E1275">
        <v>18</v>
      </c>
      <c r="F1275">
        <v>7</v>
      </c>
      <c r="G1275">
        <v>0</v>
      </c>
      <c r="H1275">
        <v>5</v>
      </c>
      <c r="I1275">
        <v>3</v>
      </c>
      <c r="J1275">
        <v>2017</v>
      </c>
      <c r="K1275">
        <v>6</v>
      </c>
      <c r="L1275">
        <v>276</v>
      </c>
      <c r="M1275" t="s">
        <v>18</v>
      </c>
    </row>
    <row r="1276" spans="1:13" x14ac:dyDescent="0.3">
      <c r="A1276" s="1">
        <v>42915</v>
      </c>
      <c r="B1276">
        <v>4</v>
      </c>
      <c r="C1276">
        <v>3.67</v>
      </c>
      <c r="D1276">
        <v>6</v>
      </c>
      <c r="E1276">
        <v>17</v>
      </c>
      <c r="F1276">
        <v>1</v>
      </c>
      <c r="G1276">
        <v>0</v>
      </c>
      <c r="H1276">
        <v>21</v>
      </c>
      <c r="I1276">
        <v>5</v>
      </c>
      <c r="J1276">
        <v>2017</v>
      </c>
      <c r="K1276">
        <v>6</v>
      </c>
      <c r="L1276">
        <v>276</v>
      </c>
      <c r="M1276" t="s">
        <v>12</v>
      </c>
    </row>
    <row r="1277" spans="1:13" x14ac:dyDescent="0.3">
      <c r="A1277" s="1">
        <v>42916</v>
      </c>
      <c r="B1277">
        <v>6.67</v>
      </c>
      <c r="C1277">
        <v>2.1320000000000001</v>
      </c>
      <c r="D1277">
        <v>2</v>
      </c>
      <c r="E1277">
        <v>18</v>
      </c>
      <c r="F1277">
        <v>2</v>
      </c>
      <c r="G1277">
        <v>0</v>
      </c>
      <c r="H1277">
        <v>0</v>
      </c>
      <c r="I1277">
        <v>6</v>
      </c>
      <c r="J1277">
        <v>2017</v>
      </c>
      <c r="K1277">
        <v>6</v>
      </c>
      <c r="L1277">
        <v>276</v>
      </c>
      <c r="M1277" t="s">
        <v>13</v>
      </c>
    </row>
    <row r="1278" spans="1:13" x14ac:dyDescent="0.3">
      <c r="A1278" s="1">
        <v>42917</v>
      </c>
      <c r="B1278">
        <v>3.33</v>
      </c>
      <c r="C1278">
        <v>2.33</v>
      </c>
      <c r="D1278">
        <v>1</v>
      </c>
      <c r="E1278">
        <v>10</v>
      </c>
      <c r="F1278">
        <v>5</v>
      </c>
      <c r="G1278">
        <v>0</v>
      </c>
      <c r="H1278">
        <v>10</v>
      </c>
      <c r="I1278">
        <v>4</v>
      </c>
      <c r="J1278">
        <v>2017</v>
      </c>
      <c r="K1278">
        <v>7</v>
      </c>
      <c r="L1278">
        <v>276</v>
      </c>
      <c r="M1278" t="s">
        <v>14</v>
      </c>
    </row>
    <row r="1279" spans="1:13" x14ac:dyDescent="0.3">
      <c r="A1279" s="1">
        <v>42918</v>
      </c>
      <c r="B1279">
        <v>5</v>
      </c>
      <c r="C1279">
        <v>3.68</v>
      </c>
      <c r="D1279">
        <v>2</v>
      </c>
      <c r="E1279">
        <v>9</v>
      </c>
      <c r="F1279">
        <v>6</v>
      </c>
      <c r="G1279">
        <v>0</v>
      </c>
      <c r="H1279">
        <v>0</v>
      </c>
      <c r="I1279">
        <v>4</v>
      </c>
      <c r="J1279">
        <v>2017</v>
      </c>
      <c r="K1279">
        <v>7</v>
      </c>
      <c r="L1279">
        <v>276</v>
      </c>
      <c r="M1279" t="s">
        <v>15</v>
      </c>
    </row>
    <row r="1280" spans="1:13" x14ac:dyDescent="0.3">
      <c r="A1280" s="1">
        <v>42919</v>
      </c>
      <c r="B1280">
        <v>3.67</v>
      </c>
      <c r="C1280">
        <v>0</v>
      </c>
      <c r="D1280">
        <v>1.5</v>
      </c>
      <c r="E1280">
        <v>8</v>
      </c>
      <c r="F1280">
        <v>11</v>
      </c>
      <c r="G1280">
        <v>0</v>
      </c>
      <c r="H1280">
        <v>11</v>
      </c>
      <c r="I1280">
        <v>0</v>
      </c>
      <c r="J1280">
        <v>2017</v>
      </c>
      <c r="K1280">
        <v>7</v>
      </c>
      <c r="L1280">
        <v>276</v>
      </c>
      <c r="M1280" t="s">
        <v>16</v>
      </c>
    </row>
    <row r="1281" spans="1:13" x14ac:dyDescent="0.3">
      <c r="A1281" s="1">
        <v>42920</v>
      </c>
      <c r="B1281">
        <v>10.67</v>
      </c>
      <c r="C1281">
        <v>2.34</v>
      </c>
      <c r="D1281">
        <v>5</v>
      </c>
      <c r="E1281">
        <v>18</v>
      </c>
      <c r="F1281">
        <v>7</v>
      </c>
      <c r="G1281">
        <v>0</v>
      </c>
      <c r="H1281">
        <v>0</v>
      </c>
      <c r="I1281">
        <v>6</v>
      </c>
      <c r="J1281">
        <v>2017</v>
      </c>
      <c r="K1281">
        <v>7</v>
      </c>
      <c r="L1281">
        <v>276</v>
      </c>
      <c r="M1281" t="s">
        <v>17</v>
      </c>
    </row>
    <row r="1282" spans="1:13" x14ac:dyDescent="0.3">
      <c r="A1282" s="1">
        <v>42921</v>
      </c>
      <c r="B1282">
        <v>4.5</v>
      </c>
      <c r="C1282">
        <v>1.66</v>
      </c>
      <c r="D1282">
        <v>2</v>
      </c>
      <c r="E1282">
        <v>16</v>
      </c>
      <c r="F1282">
        <v>20</v>
      </c>
      <c r="G1282">
        <v>0</v>
      </c>
      <c r="H1282">
        <v>22</v>
      </c>
      <c r="I1282">
        <v>6</v>
      </c>
      <c r="J1282">
        <v>2017</v>
      </c>
      <c r="K1282">
        <v>7</v>
      </c>
      <c r="L1282">
        <v>276</v>
      </c>
      <c r="M1282" t="s">
        <v>18</v>
      </c>
    </row>
    <row r="1283" spans="1:13" x14ac:dyDescent="0.3">
      <c r="A1283" s="1">
        <v>42922</v>
      </c>
      <c r="B1283">
        <v>4.33</v>
      </c>
      <c r="C1283">
        <v>7</v>
      </c>
      <c r="D1283">
        <v>4</v>
      </c>
      <c r="E1283">
        <v>20.6</v>
      </c>
      <c r="F1283">
        <v>3</v>
      </c>
      <c r="G1283">
        <v>1</v>
      </c>
      <c r="H1283">
        <v>1</v>
      </c>
      <c r="I1283">
        <v>1</v>
      </c>
      <c r="J1283">
        <v>2017</v>
      </c>
      <c r="K1283">
        <v>7</v>
      </c>
      <c r="L1283">
        <v>276</v>
      </c>
      <c r="M1283" t="s">
        <v>12</v>
      </c>
    </row>
    <row r="1284" spans="1:13" x14ac:dyDescent="0.3">
      <c r="A1284" s="1">
        <v>42923</v>
      </c>
      <c r="B1284">
        <v>5</v>
      </c>
      <c r="C1284">
        <v>2</v>
      </c>
      <c r="D1284">
        <v>4.0999999999999996</v>
      </c>
      <c r="E1284">
        <v>17</v>
      </c>
      <c r="F1284">
        <v>6</v>
      </c>
      <c r="G1284">
        <v>0</v>
      </c>
      <c r="H1284">
        <v>1</v>
      </c>
      <c r="I1284">
        <v>0</v>
      </c>
      <c r="J1284">
        <v>2017</v>
      </c>
      <c r="K1284">
        <v>7</v>
      </c>
      <c r="L1284">
        <v>276</v>
      </c>
      <c r="M1284" t="s">
        <v>13</v>
      </c>
    </row>
    <row r="1285" spans="1:13" x14ac:dyDescent="0.3">
      <c r="A1285" s="1">
        <v>42924</v>
      </c>
      <c r="B1285">
        <v>4.99</v>
      </c>
      <c r="C1285">
        <v>4.0890000000000004</v>
      </c>
      <c r="D1285">
        <v>5</v>
      </c>
      <c r="E1285">
        <v>16</v>
      </c>
      <c r="F1285">
        <v>12</v>
      </c>
      <c r="G1285">
        <v>0</v>
      </c>
      <c r="H1285">
        <v>1</v>
      </c>
      <c r="I1285">
        <v>3</v>
      </c>
      <c r="J1285">
        <v>2017</v>
      </c>
      <c r="K1285">
        <v>7</v>
      </c>
      <c r="L1285">
        <v>276</v>
      </c>
      <c r="M1285" t="s">
        <v>14</v>
      </c>
    </row>
    <row r="1286" spans="1:13" x14ac:dyDescent="0.3">
      <c r="A1286" s="1">
        <v>42925</v>
      </c>
      <c r="B1286">
        <v>2.33</v>
      </c>
      <c r="C1286">
        <v>7.16</v>
      </c>
      <c r="D1286">
        <v>0.5</v>
      </c>
      <c r="E1286">
        <v>15</v>
      </c>
      <c r="F1286">
        <v>4</v>
      </c>
      <c r="G1286">
        <v>0</v>
      </c>
      <c r="H1286">
        <v>1</v>
      </c>
      <c r="I1286">
        <v>4</v>
      </c>
      <c r="J1286">
        <v>2017</v>
      </c>
      <c r="K1286">
        <v>7</v>
      </c>
      <c r="L1286">
        <v>276</v>
      </c>
      <c r="M1286" t="s">
        <v>15</v>
      </c>
    </row>
    <row r="1287" spans="1:13" x14ac:dyDescent="0.3">
      <c r="A1287" s="1">
        <v>42926</v>
      </c>
      <c r="B1287">
        <v>2</v>
      </c>
      <c r="C1287">
        <v>4.3529999999999998</v>
      </c>
      <c r="D1287">
        <v>4</v>
      </c>
      <c r="E1287">
        <v>12</v>
      </c>
      <c r="F1287">
        <v>5</v>
      </c>
      <c r="G1287">
        <v>2</v>
      </c>
      <c r="H1287">
        <v>7</v>
      </c>
      <c r="I1287">
        <v>3</v>
      </c>
      <c r="J1287">
        <v>2017</v>
      </c>
      <c r="K1287">
        <v>7</v>
      </c>
      <c r="L1287">
        <v>276</v>
      </c>
      <c r="M1287" t="s">
        <v>16</v>
      </c>
    </row>
    <row r="1288" spans="1:13" x14ac:dyDescent="0.3">
      <c r="A1288" s="1">
        <v>42927</v>
      </c>
      <c r="B1288">
        <v>3.34</v>
      </c>
      <c r="C1288">
        <v>0.68</v>
      </c>
      <c r="D1288">
        <v>0</v>
      </c>
      <c r="E1288">
        <v>18</v>
      </c>
      <c r="F1288">
        <v>2</v>
      </c>
      <c r="G1288">
        <v>0</v>
      </c>
      <c r="H1288">
        <v>7</v>
      </c>
      <c r="I1288">
        <v>2</v>
      </c>
      <c r="J1288">
        <v>2017</v>
      </c>
      <c r="K1288">
        <v>7</v>
      </c>
      <c r="L1288">
        <v>276</v>
      </c>
      <c r="M1288" t="s">
        <v>17</v>
      </c>
    </row>
    <row r="1289" spans="1:13" x14ac:dyDescent="0.3">
      <c r="A1289" s="1">
        <v>42928</v>
      </c>
      <c r="B1289">
        <v>2</v>
      </c>
      <c r="C1289">
        <v>5.34</v>
      </c>
      <c r="D1289">
        <v>0</v>
      </c>
      <c r="E1289">
        <v>15.4</v>
      </c>
      <c r="F1289">
        <v>12</v>
      </c>
      <c r="G1289">
        <v>0</v>
      </c>
      <c r="H1289">
        <v>3</v>
      </c>
      <c r="I1289">
        <v>0</v>
      </c>
      <c r="J1289">
        <v>2017</v>
      </c>
      <c r="K1289">
        <v>7</v>
      </c>
      <c r="L1289">
        <v>276</v>
      </c>
      <c r="M1289" t="s">
        <v>18</v>
      </c>
    </row>
    <row r="1290" spans="1:13" x14ac:dyDescent="0.3">
      <c r="A1290" s="1">
        <v>42929</v>
      </c>
      <c r="B1290">
        <v>3.33</v>
      </c>
      <c r="C1290">
        <v>3.34</v>
      </c>
      <c r="D1290">
        <v>2.15</v>
      </c>
      <c r="E1290">
        <v>9.6</v>
      </c>
      <c r="F1290">
        <v>5</v>
      </c>
      <c r="G1290">
        <v>3</v>
      </c>
      <c r="H1290">
        <v>3</v>
      </c>
      <c r="I1290">
        <v>2</v>
      </c>
      <c r="J1290">
        <v>2017</v>
      </c>
      <c r="K1290">
        <v>7</v>
      </c>
      <c r="L1290">
        <v>276</v>
      </c>
      <c r="M1290" t="s">
        <v>12</v>
      </c>
    </row>
    <row r="1291" spans="1:13" x14ac:dyDescent="0.3">
      <c r="A1291" s="1">
        <v>42930</v>
      </c>
      <c r="B1291">
        <v>2.33</v>
      </c>
      <c r="C1291">
        <v>3.7589999999999999</v>
      </c>
      <c r="D1291">
        <v>2</v>
      </c>
      <c r="E1291">
        <v>16</v>
      </c>
      <c r="F1291">
        <v>8</v>
      </c>
      <c r="G1291">
        <v>0</v>
      </c>
      <c r="H1291">
        <v>5</v>
      </c>
      <c r="I1291">
        <v>3</v>
      </c>
      <c r="J1291">
        <v>2017</v>
      </c>
      <c r="K1291">
        <v>7</v>
      </c>
      <c r="L1291">
        <v>276</v>
      </c>
      <c r="M1291" t="s">
        <v>13</v>
      </c>
    </row>
    <row r="1292" spans="1:13" x14ac:dyDescent="0.3">
      <c r="A1292" s="1">
        <v>42931</v>
      </c>
      <c r="B1292">
        <v>3.33</v>
      </c>
      <c r="C1292">
        <v>9.34</v>
      </c>
      <c r="D1292">
        <v>3</v>
      </c>
      <c r="E1292">
        <v>21</v>
      </c>
      <c r="F1292">
        <v>3</v>
      </c>
      <c r="G1292">
        <v>0</v>
      </c>
      <c r="H1292">
        <v>0</v>
      </c>
      <c r="I1292">
        <v>2</v>
      </c>
      <c r="J1292">
        <v>2017</v>
      </c>
      <c r="K1292">
        <v>7</v>
      </c>
      <c r="L1292">
        <v>276</v>
      </c>
      <c r="M1292" t="s">
        <v>14</v>
      </c>
    </row>
    <row r="1293" spans="1:13" x14ac:dyDescent="0.3">
      <c r="A1293" s="1">
        <v>42932</v>
      </c>
      <c r="B1293">
        <v>11.34</v>
      </c>
      <c r="C1293">
        <v>9.34</v>
      </c>
      <c r="D1293">
        <v>3</v>
      </c>
      <c r="E1293">
        <v>19</v>
      </c>
      <c r="F1293">
        <v>6</v>
      </c>
      <c r="G1293">
        <v>0</v>
      </c>
      <c r="H1293">
        <v>0</v>
      </c>
      <c r="I1293">
        <v>1</v>
      </c>
      <c r="J1293">
        <v>2017</v>
      </c>
      <c r="K1293">
        <v>7</v>
      </c>
      <c r="L1293">
        <v>276</v>
      </c>
      <c r="M1293" t="s">
        <v>15</v>
      </c>
    </row>
    <row r="1294" spans="1:13" x14ac:dyDescent="0.3">
      <c r="A1294" s="1">
        <v>42933</v>
      </c>
      <c r="B1294">
        <v>9</v>
      </c>
      <c r="C1294">
        <v>4.7469999999999999</v>
      </c>
      <c r="D1294">
        <v>3</v>
      </c>
      <c r="E1294">
        <v>16.399999999999999</v>
      </c>
      <c r="F1294">
        <v>6</v>
      </c>
      <c r="G1294">
        <v>2</v>
      </c>
      <c r="H1294">
        <v>4</v>
      </c>
      <c r="I1294">
        <v>3</v>
      </c>
      <c r="J1294">
        <v>2017</v>
      </c>
      <c r="K1294">
        <v>7</v>
      </c>
      <c r="L1294">
        <v>276</v>
      </c>
      <c r="M1294" t="s">
        <v>16</v>
      </c>
    </row>
    <row r="1295" spans="1:13" x14ac:dyDescent="0.3">
      <c r="A1295" s="1">
        <v>42934</v>
      </c>
      <c r="B1295">
        <v>9.67</v>
      </c>
      <c r="C1295">
        <v>5.67</v>
      </c>
      <c r="D1295">
        <v>1.5</v>
      </c>
      <c r="E1295">
        <v>14</v>
      </c>
      <c r="F1295">
        <v>8</v>
      </c>
      <c r="G1295">
        <v>0</v>
      </c>
      <c r="H1295">
        <v>20</v>
      </c>
      <c r="I1295">
        <v>4</v>
      </c>
      <c r="J1295">
        <v>2017</v>
      </c>
      <c r="K1295">
        <v>7</v>
      </c>
      <c r="L1295">
        <v>276</v>
      </c>
      <c r="M1295" t="s">
        <v>17</v>
      </c>
    </row>
    <row r="1296" spans="1:13" x14ac:dyDescent="0.3">
      <c r="A1296" s="1">
        <v>42935</v>
      </c>
      <c r="B1296">
        <v>6.33</v>
      </c>
      <c r="C1296">
        <v>3.66</v>
      </c>
      <c r="D1296">
        <v>4</v>
      </c>
      <c r="E1296">
        <v>20.6</v>
      </c>
      <c r="F1296">
        <v>6</v>
      </c>
      <c r="G1296">
        <v>3</v>
      </c>
      <c r="H1296">
        <v>1</v>
      </c>
      <c r="I1296">
        <v>6</v>
      </c>
      <c r="J1296">
        <v>2017</v>
      </c>
      <c r="K1296">
        <v>7</v>
      </c>
      <c r="L1296">
        <v>276</v>
      </c>
      <c r="M1296" t="s">
        <v>18</v>
      </c>
    </row>
    <row r="1297" spans="1:13" x14ac:dyDescent="0.3">
      <c r="A1297" s="1">
        <v>42936</v>
      </c>
      <c r="B1297">
        <v>5</v>
      </c>
      <c r="C1297">
        <v>4</v>
      </c>
      <c r="D1297">
        <v>3</v>
      </c>
      <c r="E1297">
        <v>18</v>
      </c>
      <c r="F1297">
        <v>11</v>
      </c>
      <c r="G1297">
        <v>2</v>
      </c>
      <c r="H1297">
        <v>2</v>
      </c>
      <c r="I1297">
        <v>2</v>
      </c>
      <c r="J1297">
        <v>2017</v>
      </c>
      <c r="K1297">
        <v>7</v>
      </c>
      <c r="L1297">
        <v>276</v>
      </c>
      <c r="M1297" t="s">
        <v>12</v>
      </c>
    </row>
    <row r="1298" spans="1:13" x14ac:dyDescent="0.3">
      <c r="A1298" s="1">
        <v>42937</v>
      </c>
      <c r="B1298">
        <v>2.33</v>
      </c>
      <c r="C1298">
        <v>1</v>
      </c>
      <c r="D1298">
        <v>3</v>
      </c>
      <c r="E1298">
        <v>14</v>
      </c>
      <c r="F1298">
        <v>5</v>
      </c>
      <c r="G1298">
        <v>0</v>
      </c>
      <c r="H1298">
        <v>0</v>
      </c>
      <c r="I1298">
        <v>3</v>
      </c>
      <c r="J1298">
        <v>2017</v>
      </c>
      <c r="K1298">
        <v>7</v>
      </c>
      <c r="L1298">
        <v>276</v>
      </c>
      <c r="M1298" t="s">
        <v>13</v>
      </c>
    </row>
    <row r="1299" spans="1:13" x14ac:dyDescent="0.3">
      <c r="A1299" s="1">
        <v>42938</v>
      </c>
      <c r="B1299">
        <v>3</v>
      </c>
      <c r="C1299">
        <v>5.69</v>
      </c>
      <c r="D1299">
        <v>5</v>
      </c>
      <c r="E1299">
        <v>22</v>
      </c>
      <c r="F1299">
        <v>3</v>
      </c>
      <c r="G1299">
        <v>1</v>
      </c>
      <c r="H1299">
        <v>0</v>
      </c>
      <c r="I1299">
        <v>2</v>
      </c>
      <c r="J1299">
        <v>2017</v>
      </c>
      <c r="K1299">
        <v>7</v>
      </c>
      <c r="L1299">
        <v>276</v>
      </c>
      <c r="M1299" t="s">
        <v>14</v>
      </c>
    </row>
    <row r="1300" spans="1:13" x14ac:dyDescent="0.3">
      <c r="A1300" s="1">
        <v>42939</v>
      </c>
      <c r="B1300">
        <v>6.5</v>
      </c>
      <c r="C1300">
        <v>2.4289999999999998</v>
      </c>
      <c r="D1300">
        <v>2</v>
      </c>
      <c r="E1300">
        <v>12</v>
      </c>
      <c r="F1300">
        <v>4</v>
      </c>
      <c r="G1300">
        <v>0</v>
      </c>
      <c r="H1300">
        <v>4</v>
      </c>
      <c r="I1300">
        <v>5</v>
      </c>
      <c r="J1300">
        <v>2017</v>
      </c>
      <c r="K1300">
        <v>7</v>
      </c>
      <c r="L1300">
        <v>276</v>
      </c>
      <c r="M1300" t="s">
        <v>15</v>
      </c>
    </row>
    <row r="1301" spans="1:13" x14ac:dyDescent="0.3">
      <c r="A1301" s="1">
        <v>42940</v>
      </c>
      <c r="B1301">
        <v>3.84</v>
      </c>
      <c r="C1301">
        <v>1</v>
      </c>
      <c r="D1301">
        <v>2.1</v>
      </c>
      <c r="E1301">
        <v>15</v>
      </c>
      <c r="F1301">
        <v>6</v>
      </c>
      <c r="G1301">
        <v>0</v>
      </c>
      <c r="H1301">
        <v>0</v>
      </c>
      <c r="I1301">
        <v>3</v>
      </c>
      <c r="J1301">
        <v>2017</v>
      </c>
      <c r="K1301">
        <v>7</v>
      </c>
      <c r="L1301">
        <v>276</v>
      </c>
      <c r="M1301" t="s">
        <v>16</v>
      </c>
    </row>
    <row r="1302" spans="1:13" x14ac:dyDescent="0.3">
      <c r="A1302" s="1">
        <v>42941</v>
      </c>
      <c r="B1302">
        <v>6.34</v>
      </c>
      <c r="C1302">
        <v>2.35</v>
      </c>
      <c r="D1302">
        <v>2</v>
      </c>
      <c r="E1302">
        <v>14</v>
      </c>
      <c r="F1302">
        <v>5</v>
      </c>
      <c r="G1302">
        <v>0</v>
      </c>
      <c r="H1302">
        <v>6</v>
      </c>
      <c r="I1302">
        <v>0.1</v>
      </c>
      <c r="J1302">
        <v>2017</v>
      </c>
      <c r="K1302">
        <v>7</v>
      </c>
      <c r="L1302">
        <v>276</v>
      </c>
      <c r="M1302" t="s">
        <v>17</v>
      </c>
    </row>
    <row r="1303" spans="1:13" x14ac:dyDescent="0.3">
      <c r="A1303" s="1">
        <v>42942</v>
      </c>
      <c r="B1303">
        <v>3.33</v>
      </c>
      <c r="C1303">
        <v>6.7789999999999999</v>
      </c>
      <c r="D1303">
        <v>3</v>
      </c>
      <c r="E1303">
        <v>15</v>
      </c>
      <c r="F1303">
        <v>11</v>
      </c>
      <c r="G1303">
        <v>1</v>
      </c>
      <c r="H1303">
        <v>1</v>
      </c>
      <c r="I1303">
        <v>1</v>
      </c>
      <c r="J1303">
        <v>2017</v>
      </c>
      <c r="K1303">
        <v>7</v>
      </c>
      <c r="L1303">
        <v>276</v>
      </c>
      <c r="M1303" t="s">
        <v>18</v>
      </c>
    </row>
    <row r="1304" spans="1:13" x14ac:dyDescent="0.3">
      <c r="A1304" s="1">
        <v>42943</v>
      </c>
      <c r="B1304">
        <v>5</v>
      </c>
      <c r="C1304">
        <v>0.67</v>
      </c>
      <c r="D1304">
        <v>0</v>
      </c>
      <c r="E1304">
        <v>12.4</v>
      </c>
      <c r="F1304">
        <v>8</v>
      </c>
      <c r="G1304">
        <v>0</v>
      </c>
      <c r="H1304">
        <v>0</v>
      </c>
      <c r="I1304">
        <v>1</v>
      </c>
      <c r="J1304">
        <v>2017</v>
      </c>
      <c r="K1304">
        <v>7</v>
      </c>
      <c r="L1304">
        <v>276</v>
      </c>
      <c r="M1304" t="s">
        <v>12</v>
      </c>
    </row>
    <row r="1305" spans="1:13" x14ac:dyDescent="0.3">
      <c r="A1305" s="1">
        <v>42944</v>
      </c>
      <c r="B1305">
        <v>4</v>
      </c>
      <c r="C1305">
        <v>5</v>
      </c>
      <c r="D1305">
        <v>1.1000000000000001</v>
      </c>
      <c r="E1305">
        <v>17.2</v>
      </c>
      <c r="F1305">
        <v>10</v>
      </c>
      <c r="G1305">
        <v>0</v>
      </c>
      <c r="H1305">
        <v>0</v>
      </c>
      <c r="I1305">
        <v>3</v>
      </c>
      <c r="J1305">
        <v>2017</v>
      </c>
      <c r="K1305">
        <v>7</v>
      </c>
      <c r="L1305">
        <v>276</v>
      </c>
      <c r="M1305" t="s">
        <v>13</v>
      </c>
    </row>
    <row r="1306" spans="1:13" x14ac:dyDescent="0.3">
      <c r="A1306" s="1">
        <v>42945</v>
      </c>
      <c r="B1306">
        <v>3</v>
      </c>
      <c r="C1306">
        <v>3.33</v>
      </c>
      <c r="D1306">
        <v>2</v>
      </c>
      <c r="E1306">
        <v>14.15</v>
      </c>
      <c r="F1306">
        <v>1</v>
      </c>
      <c r="G1306">
        <v>0</v>
      </c>
      <c r="H1306">
        <v>0</v>
      </c>
      <c r="I1306">
        <v>4</v>
      </c>
      <c r="J1306">
        <v>2017</v>
      </c>
      <c r="K1306">
        <v>7</v>
      </c>
      <c r="L1306">
        <v>276</v>
      </c>
      <c r="M1306" t="s">
        <v>14</v>
      </c>
    </row>
    <row r="1307" spans="1:13" x14ac:dyDescent="0.3">
      <c r="A1307" s="1">
        <v>42946</v>
      </c>
      <c r="B1307">
        <v>4.125</v>
      </c>
      <c r="C1307">
        <v>2.66</v>
      </c>
      <c r="D1307">
        <v>2</v>
      </c>
      <c r="E1307">
        <v>13</v>
      </c>
      <c r="F1307">
        <v>11</v>
      </c>
      <c r="G1307">
        <v>0</v>
      </c>
      <c r="H1307">
        <v>0</v>
      </c>
      <c r="I1307">
        <v>1</v>
      </c>
      <c r="J1307">
        <v>2017</v>
      </c>
      <c r="K1307">
        <v>7</v>
      </c>
      <c r="L1307">
        <v>276</v>
      </c>
      <c r="M1307" t="s">
        <v>15</v>
      </c>
    </row>
    <row r="1308" spans="1:13" x14ac:dyDescent="0.3">
      <c r="A1308" s="1">
        <v>42947</v>
      </c>
      <c r="B1308">
        <v>7.34</v>
      </c>
      <c r="C1308">
        <v>0.81</v>
      </c>
      <c r="D1308">
        <v>2.25</v>
      </c>
      <c r="E1308">
        <v>21</v>
      </c>
      <c r="F1308">
        <v>9</v>
      </c>
      <c r="G1308">
        <v>0</v>
      </c>
      <c r="H1308">
        <v>5</v>
      </c>
      <c r="I1308">
        <v>2</v>
      </c>
      <c r="J1308">
        <v>2017</v>
      </c>
      <c r="K1308">
        <v>7</v>
      </c>
      <c r="L1308">
        <v>276</v>
      </c>
      <c r="M1308" t="s">
        <v>16</v>
      </c>
    </row>
    <row r="1309" spans="1:13" x14ac:dyDescent="0.3">
      <c r="A1309" s="1">
        <v>42948</v>
      </c>
      <c r="B1309">
        <v>7.33</v>
      </c>
      <c r="C1309">
        <v>3.33</v>
      </c>
      <c r="D1309">
        <v>2</v>
      </c>
      <c r="E1309">
        <v>15.6</v>
      </c>
      <c r="F1309">
        <v>3</v>
      </c>
      <c r="G1309">
        <v>0</v>
      </c>
      <c r="H1309">
        <v>1</v>
      </c>
      <c r="I1309">
        <v>1</v>
      </c>
      <c r="J1309">
        <v>2017</v>
      </c>
      <c r="K1309">
        <v>8</v>
      </c>
      <c r="L1309">
        <v>276</v>
      </c>
      <c r="M1309" t="s">
        <v>17</v>
      </c>
    </row>
    <row r="1310" spans="1:13" x14ac:dyDescent="0.3">
      <c r="A1310" s="1">
        <v>42949</v>
      </c>
      <c r="B1310">
        <v>6</v>
      </c>
      <c r="C1310">
        <v>2.66</v>
      </c>
      <c r="D1310">
        <v>1</v>
      </c>
      <c r="E1310">
        <v>25</v>
      </c>
      <c r="F1310">
        <v>2</v>
      </c>
      <c r="G1310">
        <v>0</v>
      </c>
      <c r="H1310">
        <v>1</v>
      </c>
      <c r="I1310">
        <v>4</v>
      </c>
      <c r="J1310">
        <v>2017</v>
      </c>
      <c r="K1310">
        <v>8</v>
      </c>
      <c r="L1310">
        <v>276</v>
      </c>
      <c r="M1310" t="s">
        <v>18</v>
      </c>
    </row>
    <row r="1311" spans="1:13" x14ac:dyDescent="0.3">
      <c r="A1311" s="1">
        <v>42950</v>
      </c>
      <c r="B1311">
        <v>6.33</v>
      </c>
      <c r="C1311">
        <v>0.66</v>
      </c>
      <c r="D1311">
        <v>4</v>
      </c>
      <c r="E1311">
        <v>10</v>
      </c>
      <c r="F1311">
        <v>8</v>
      </c>
      <c r="G1311">
        <v>0</v>
      </c>
      <c r="H1311">
        <v>1</v>
      </c>
      <c r="I1311">
        <v>3</v>
      </c>
      <c r="J1311">
        <v>2017</v>
      </c>
      <c r="K1311">
        <v>8</v>
      </c>
      <c r="L1311">
        <v>276</v>
      </c>
      <c r="M1311" t="s">
        <v>12</v>
      </c>
    </row>
    <row r="1312" spans="1:13" x14ac:dyDescent="0.3">
      <c r="A1312" s="1">
        <v>42951</v>
      </c>
      <c r="B1312">
        <v>8</v>
      </c>
      <c r="C1312">
        <v>4</v>
      </c>
      <c r="D1312">
        <v>1</v>
      </c>
      <c r="E1312">
        <v>15</v>
      </c>
      <c r="F1312">
        <v>11</v>
      </c>
      <c r="G1312">
        <v>2</v>
      </c>
      <c r="H1312">
        <v>5</v>
      </c>
      <c r="I1312">
        <v>2</v>
      </c>
      <c r="J1312">
        <v>2017</v>
      </c>
      <c r="K1312">
        <v>8</v>
      </c>
      <c r="L1312">
        <v>276</v>
      </c>
      <c r="M1312" t="s">
        <v>13</v>
      </c>
    </row>
    <row r="1313" spans="1:13" x14ac:dyDescent="0.3">
      <c r="A1313" s="1">
        <v>42952</v>
      </c>
      <c r="B1313">
        <v>4.66</v>
      </c>
      <c r="C1313">
        <v>2.472</v>
      </c>
      <c r="D1313">
        <v>2</v>
      </c>
      <c r="E1313">
        <v>13.311999999999999</v>
      </c>
      <c r="F1313">
        <v>2</v>
      </c>
      <c r="G1313">
        <v>0</v>
      </c>
      <c r="H1313">
        <v>0</v>
      </c>
      <c r="I1313">
        <v>2</v>
      </c>
      <c r="J1313">
        <v>2017</v>
      </c>
      <c r="K1313">
        <v>8</v>
      </c>
      <c r="L1313">
        <v>276</v>
      </c>
      <c r="M1313" t="s">
        <v>14</v>
      </c>
    </row>
    <row r="1314" spans="1:13" x14ac:dyDescent="0.3">
      <c r="A1314" s="1">
        <v>42953</v>
      </c>
      <c r="B1314">
        <v>2</v>
      </c>
      <c r="C1314">
        <v>3.4289999999999998</v>
      </c>
      <c r="D1314">
        <v>1</v>
      </c>
      <c r="E1314">
        <v>13</v>
      </c>
      <c r="F1314">
        <v>6</v>
      </c>
      <c r="G1314">
        <v>0</v>
      </c>
      <c r="H1314">
        <v>0</v>
      </c>
      <c r="I1314">
        <v>3</v>
      </c>
      <c r="J1314">
        <v>2017</v>
      </c>
      <c r="K1314">
        <v>8</v>
      </c>
      <c r="L1314">
        <v>276</v>
      </c>
      <c r="M1314" t="s">
        <v>15</v>
      </c>
    </row>
    <row r="1315" spans="1:13" x14ac:dyDescent="0.3">
      <c r="A1315" s="1">
        <v>42954</v>
      </c>
      <c r="B1315">
        <v>1</v>
      </c>
      <c r="C1315">
        <v>5.34</v>
      </c>
      <c r="D1315">
        <v>3.1</v>
      </c>
      <c r="E1315">
        <v>16</v>
      </c>
      <c r="F1315">
        <v>9</v>
      </c>
      <c r="G1315">
        <v>2</v>
      </c>
      <c r="H1315">
        <v>0</v>
      </c>
      <c r="I1315">
        <v>0</v>
      </c>
      <c r="J1315">
        <v>2017</v>
      </c>
      <c r="K1315">
        <v>8</v>
      </c>
      <c r="L1315">
        <v>276</v>
      </c>
      <c r="M1315" t="s">
        <v>16</v>
      </c>
    </row>
    <row r="1316" spans="1:13" x14ac:dyDescent="0.3">
      <c r="A1316" s="1">
        <v>42955</v>
      </c>
      <c r="B1316">
        <v>6</v>
      </c>
      <c r="C1316">
        <v>1.7030000000000001</v>
      </c>
      <c r="D1316">
        <v>2.1</v>
      </c>
      <c r="E1316">
        <v>11.188000000000001</v>
      </c>
      <c r="F1316">
        <v>8</v>
      </c>
      <c r="G1316">
        <v>0</v>
      </c>
      <c r="H1316">
        <v>0</v>
      </c>
      <c r="I1316">
        <v>4.2</v>
      </c>
      <c r="J1316">
        <v>2017</v>
      </c>
      <c r="K1316">
        <v>8</v>
      </c>
      <c r="L1316">
        <v>276</v>
      </c>
      <c r="M1316" t="s">
        <v>17</v>
      </c>
    </row>
    <row r="1317" spans="1:13" x14ac:dyDescent="0.3">
      <c r="A1317" s="1">
        <v>42956</v>
      </c>
      <c r="B1317">
        <v>2.33</v>
      </c>
      <c r="C1317">
        <v>5.0999999999999996</v>
      </c>
      <c r="D1317">
        <v>3.15</v>
      </c>
      <c r="E1317">
        <v>13</v>
      </c>
      <c r="F1317">
        <v>15</v>
      </c>
      <c r="G1317">
        <v>0</v>
      </c>
      <c r="H1317">
        <v>2</v>
      </c>
      <c r="I1317">
        <v>2.2000000000000002</v>
      </c>
      <c r="J1317">
        <v>2017</v>
      </c>
      <c r="K1317">
        <v>8</v>
      </c>
      <c r="L1317">
        <v>276</v>
      </c>
      <c r="M1317" t="s">
        <v>18</v>
      </c>
    </row>
    <row r="1318" spans="1:13" x14ac:dyDescent="0.3">
      <c r="A1318" s="1">
        <v>42957</v>
      </c>
      <c r="B1318">
        <v>0</v>
      </c>
      <c r="C1318">
        <v>3.99</v>
      </c>
      <c r="D1318">
        <v>4</v>
      </c>
      <c r="E1318">
        <v>9</v>
      </c>
      <c r="F1318">
        <v>19</v>
      </c>
      <c r="G1318">
        <v>0</v>
      </c>
      <c r="H1318">
        <v>3</v>
      </c>
      <c r="I1318">
        <v>1.1000000000000001</v>
      </c>
      <c r="J1318">
        <v>2017</v>
      </c>
      <c r="K1318">
        <v>8</v>
      </c>
      <c r="L1318">
        <v>276</v>
      </c>
      <c r="M1318" t="s">
        <v>12</v>
      </c>
    </row>
    <row r="1319" spans="1:13" x14ac:dyDescent="0.3">
      <c r="A1319" s="1">
        <v>42958</v>
      </c>
      <c r="B1319">
        <v>4.33</v>
      </c>
      <c r="C1319">
        <v>1.65</v>
      </c>
      <c r="D1319">
        <v>5.0999999999999996</v>
      </c>
      <c r="E1319">
        <v>8</v>
      </c>
      <c r="F1319">
        <v>6</v>
      </c>
      <c r="G1319">
        <v>3</v>
      </c>
      <c r="H1319">
        <v>0</v>
      </c>
      <c r="I1319">
        <v>0</v>
      </c>
      <c r="J1319">
        <v>2017</v>
      </c>
      <c r="K1319">
        <v>8</v>
      </c>
      <c r="L1319">
        <v>276</v>
      </c>
      <c r="M1319" t="s">
        <v>13</v>
      </c>
    </row>
    <row r="1320" spans="1:13" x14ac:dyDescent="0.3">
      <c r="A1320" s="1">
        <v>42959</v>
      </c>
      <c r="B1320">
        <v>2.69</v>
      </c>
      <c r="C1320">
        <v>4.9390000000000001</v>
      </c>
      <c r="D1320">
        <v>2.5</v>
      </c>
      <c r="E1320">
        <v>22.6</v>
      </c>
      <c r="F1320">
        <v>4</v>
      </c>
      <c r="G1320">
        <v>0</v>
      </c>
      <c r="H1320">
        <v>6</v>
      </c>
      <c r="I1320">
        <v>2</v>
      </c>
      <c r="J1320">
        <v>2017</v>
      </c>
      <c r="K1320">
        <v>8</v>
      </c>
      <c r="L1320">
        <v>276</v>
      </c>
      <c r="M1320" t="s">
        <v>14</v>
      </c>
    </row>
    <row r="1321" spans="1:13" x14ac:dyDescent="0.3">
      <c r="A1321" s="1">
        <v>42960</v>
      </c>
      <c r="B1321">
        <v>3.66</v>
      </c>
      <c r="C1321">
        <v>3.65</v>
      </c>
      <c r="D1321">
        <v>2.0499999999999998</v>
      </c>
      <c r="E1321">
        <v>24</v>
      </c>
      <c r="F1321">
        <v>5</v>
      </c>
      <c r="G1321">
        <v>0</v>
      </c>
      <c r="H1321">
        <v>1</v>
      </c>
      <c r="I1321">
        <v>1</v>
      </c>
      <c r="J1321">
        <v>2017</v>
      </c>
      <c r="K1321">
        <v>8</v>
      </c>
      <c r="L1321">
        <v>276</v>
      </c>
      <c r="M1321" t="s">
        <v>15</v>
      </c>
    </row>
    <row r="1322" spans="1:13" x14ac:dyDescent="0.3">
      <c r="A1322" s="1">
        <v>42961</v>
      </c>
      <c r="B1322">
        <v>11.34</v>
      </c>
      <c r="C1322">
        <v>2.0670000000000002</v>
      </c>
      <c r="D1322">
        <v>4</v>
      </c>
      <c r="E1322">
        <v>13</v>
      </c>
      <c r="F1322">
        <v>4</v>
      </c>
      <c r="G1322">
        <v>0</v>
      </c>
      <c r="H1322">
        <v>0</v>
      </c>
      <c r="I1322">
        <v>2</v>
      </c>
      <c r="J1322">
        <v>2017</v>
      </c>
      <c r="K1322">
        <v>8</v>
      </c>
      <c r="L1322">
        <v>276</v>
      </c>
      <c r="M1322" t="s">
        <v>16</v>
      </c>
    </row>
    <row r="1323" spans="1:13" x14ac:dyDescent="0.3">
      <c r="A1323" s="1">
        <v>42962</v>
      </c>
      <c r="B1323">
        <v>2.33</v>
      </c>
      <c r="C1323">
        <v>6.7030000000000003</v>
      </c>
      <c r="D1323">
        <v>2.15</v>
      </c>
      <c r="E1323">
        <v>35</v>
      </c>
      <c r="F1323">
        <v>11</v>
      </c>
      <c r="G1323">
        <v>0</v>
      </c>
      <c r="H1323">
        <v>2</v>
      </c>
      <c r="I1323">
        <v>3</v>
      </c>
      <c r="J1323">
        <v>2017</v>
      </c>
      <c r="K1323">
        <v>8</v>
      </c>
      <c r="L1323">
        <v>276</v>
      </c>
      <c r="M1323" t="s">
        <v>17</v>
      </c>
    </row>
    <row r="1324" spans="1:13" x14ac:dyDescent="0.3">
      <c r="A1324" s="1">
        <v>42963</v>
      </c>
      <c r="B1324">
        <v>5.33</v>
      </c>
      <c r="C1324">
        <v>3.67</v>
      </c>
      <c r="D1324">
        <v>1</v>
      </c>
      <c r="E1324">
        <v>10.45</v>
      </c>
      <c r="F1324">
        <v>13</v>
      </c>
      <c r="G1324">
        <v>0</v>
      </c>
      <c r="H1324">
        <v>4</v>
      </c>
      <c r="I1324">
        <v>2</v>
      </c>
      <c r="J1324">
        <v>2017</v>
      </c>
      <c r="K1324">
        <v>8</v>
      </c>
      <c r="L1324">
        <v>276</v>
      </c>
      <c r="M1324" t="s">
        <v>18</v>
      </c>
    </row>
    <row r="1325" spans="1:13" x14ac:dyDescent="0.3">
      <c r="A1325" s="1">
        <v>42964</v>
      </c>
      <c r="B1325">
        <v>5.16</v>
      </c>
      <c r="C1325">
        <v>1.33</v>
      </c>
      <c r="D1325">
        <v>5</v>
      </c>
      <c r="E1325">
        <v>12</v>
      </c>
      <c r="F1325">
        <v>8</v>
      </c>
      <c r="G1325">
        <v>0</v>
      </c>
      <c r="H1325">
        <v>1</v>
      </c>
      <c r="I1325">
        <v>1.5</v>
      </c>
      <c r="J1325">
        <v>2017</v>
      </c>
      <c r="K1325">
        <v>8</v>
      </c>
      <c r="L1325">
        <v>276</v>
      </c>
      <c r="M1325" t="s">
        <v>12</v>
      </c>
    </row>
    <row r="1326" spans="1:13" x14ac:dyDescent="0.3">
      <c r="A1326" s="1">
        <v>42965</v>
      </c>
      <c r="B1326">
        <v>2.33</v>
      </c>
      <c r="C1326">
        <v>3.99</v>
      </c>
      <c r="D1326">
        <v>3</v>
      </c>
      <c r="E1326">
        <v>15</v>
      </c>
      <c r="F1326">
        <v>4</v>
      </c>
      <c r="G1326">
        <v>0</v>
      </c>
      <c r="H1326">
        <v>0</v>
      </c>
      <c r="I1326">
        <v>3</v>
      </c>
      <c r="J1326">
        <v>2017</v>
      </c>
      <c r="K1326">
        <v>8</v>
      </c>
      <c r="L1326">
        <v>276</v>
      </c>
      <c r="M1326" t="s">
        <v>13</v>
      </c>
    </row>
    <row r="1327" spans="1:13" x14ac:dyDescent="0.3">
      <c r="A1327" s="1">
        <v>42966</v>
      </c>
      <c r="B1327">
        <v>5</v>
      </c>
      <c r="C1327">
        <v>4.7130000000000001</v>
      </c>
      <c r="D1327">
        <v>3</v>
      </c>
      <c r="E1327">
        <v>16</v>
      </c>
      <c r="F1327">
        <v>10</v>
      </c>
      <c r="G1327">
        <v>0</v>
      </c>
      <c r="H1327">
        <v>11</v>
      </c>
      <c r="I1327">
        <v>2</v>
      </c>
      <c r="J1327">
        <v>2017</v>
      </c>
      <c r="K1327">
        <v>8</v>
      </c>
      <c r="L1327">
        <v>276</v>
      </c>
      <c r="M1327" t="s">
        <v>14</v>
      </c>
    </row>
    <row r="1328" spans="1:13" x14ac:dyDescent="0.3">
      <c r="A1328" s="1">
        <v>42967</v>
      </c>
      <c r="B1328">
        <v>4.33</v>
      </c>
      <c r="C1328">
        <v>2.056</v>
      </c>
      <c r="D1328">
        <v>6</v>
      </c>
      <c r="E1328">
        <v>14.4</v>
      </c>
      <c r="F1328">
        <v>6</v>
      </c>
      <c r="G1328">
        <v>0</v>
      </c>
      <c r="H1328">
        <v>2</v>
      </c>
      <c r="I1328">
        <v>1</v>
      </c>
      <c r="J1328">
        <v>2017</v>
      </c>
      <c r="K1328">
        <v>8</v>
      </c>
      <c r="L1328">
        <v>276</v>
      </c>
      <c r="M1328" t="s">
        <v>15</v>
      </c>
    </row>
    <row r="1329" spans="1:13" x14ac:dyDescent="0.3">
      <c r="A1329" s="1">
        <v>42968</v>
      </c>
      <c r="B1329">
        <v>9.33</v>
      </c>
      <c r="C1329">
        <v>3.34</v>
      </c>
      <c r="D1329">
        <v>2.4</v>
      </c>
      <c r="E1329">
        <v>19</v>
      </c>
      <c r="F1329">
        <v>4</v>
      </c>
      <c r="G1329">
        <v>0</v>
      </c>
      <c r="H1329">
        <v>0</v>
      </c>
      <c r="I1329">
        <v>0</v>
      </c>
      <c r="J1329">
        <v>2017</v>
      </c>
      <c r="K1329">
        <v>8</v>
      </c>
      <c r="L1329">
        <v>276</v>
      </c>
      <c r="M1329" t="s">
        <v>16</v>
      </c>
    </row>
    <row r="1330" spans="1:13" x14ac:dyDescent="0.3">
      <c r="A1330" s="1">
        <v>42969</v>
      </c>
      <c r="B1330">
        <v>6</v>
      </c>
      <c r="C1330">
        <v>1.34</v>
      </c>
      <c r="D1330">
        <v>3.15</v>
      </c>
      <c r="E1330">
        <v>22.2</v>
      </c>
      <c r="F1330">
        <v>3</v>
      </c>
      <c r="G1330">
        <v>0</v>
      </c>
      <c r="H1330">
        <v>0</v>
      </c>
      <c r="I1330">
        <v>2</v>
      </c>
      <c r="J1330">
        <v>2017</v>
      </c>
      <c r="K1330">
        <v>8</v>
      </c>
      <c r="L1330">
        <v>276</v>
      </c>
      <c r="M1330" t="s">
        <v>17</v>
      </c>
    </row>
    <row r="1331" spans="1:13" x14ac:dyDescent="0.3">
      <c r="A1331" s="1">
        <v>42970</v>
      </c>
      <c r="B1331">
        <v>3.33</v>
      </c>
      <c r="C1331">
        <v>2.33</v>
      </c>
      <c r="D1331">
        <v>2</v>
      </c>
      <c r="E1331">
        <v>42</v>
      </c>
      <c r="F1331">
        <v>8</v>
      </c>
      <c r="G1331">
        <v>0</v>
      </c>
      <c r="H1331">
        <v>9</v>
      </c>
      <c r="I1331">
        <v>3</v>
      </c>
      <c r="J1331">
        <v>2017</v>
      </c>
      <c r="K1331">
        <v>8</v>
      </c>
      <c r="L1331">
        <v>276</v>
      </c>
      <c r="M1331" t="s">
        <v>18</v>
      </c>
    </row>
    <row r="1332" spans="1:13" x14ac:dyDescent="0.3">
      <c r="A1332" s="1">
        <v>42971</v>
      </c>
      <c r="B1332">
        <v>8</v>
      </c>
      <c r="C1332">
        <v>9.0530000000000008</v>
      </c>
      <c r="D1332">
        <v>2</v>
      </c>
      <c r="E1332">
        <v>27</v>
      </c>
      <c r="F1332">
        <v>13</v>
      </c>
      <c r="G1332">
        <v>0</v>
      </c>
      <c r="H1332">
        <v>1</v>
      </c>
      <c r="I1332">
        <v>3</v>
      </c>
      <c r="J1332">
        <v>2017</v>
      </c>
      <c r="K1332">
        <v>8</v>
      </c>
      <c r="L1332">
        <v>276</v>
      </c>
      <c r="M1332" t="s">
        <v>12</v>
      </c>
    </row>
    <row r="1333" spans="1:13" x14ac:dyDescent="0.3">
      <c r="A1333" s="1">
        <v>42972</v>
      </c>
      <c r="B1333">
        <v>6</v>
      </c>
      <c r="C1333">
        <v>3.01</v>
      </c>
      <c r="D1333">
        <v>1</v>
      </c>
      <c r="E1333">
        <v>20.25</v>
      </c>
      <c r="F1333">
        <v>17</v>
      </c>
      <c r="G1333">
        <v>0</v>
      </c>
      <c r="H1333">
        <v>0</v>
      </c>
      <c r="I1333">
        <v>1</v>
      </c>
      <c r="J1333">
        <v>2017</v>
      </c>
      <c r="K1333">
        <v>8</v>
      </c>
      <c r="L1333">
        <v>276</v>
      </c>
      <c r="M1333" t="s">
        <v>13</v>
      </c>
    </row>
    <row r="1334" spans="1:13" x14ac:dyDescent="0.3">
      <c r="A1334" s="1">
        <v>42973</v>
      </c>
      <c r="B1334">
        <v>4.99</v>
      </c>
      <c r="C1334">
        <v>3.516</v>
      </c>
      <c r="D1334">
        <v>1</v>
      </c>
      <c r="E1334">
        <v>19</v>
      </c>
      <c r="F1334">
        <v>10</v>
      </c>
      <c r="G1334">
        <v>0</v>
      </c>
      <c r="H1334">
        <v>6</v>
      </c>
      <c r="I1334">
        <v>2</v>
      </c>
      <c r="J1334">
        <v>2017</v>
      </c>
      <c r="K1334">
        <v>8</v>
      </c>
      <c r="L1334">
        <v>276</v>
      </c>
      <c r="M1334" t="s">
        <v>14</v>
      </c>
    </row>
    <row r="1335" spans="1:13" x14ac:dyDescent="0.3">
      <c r="A1335" s="1">
        <v>42974</v>
      </c>
      <c r="B1335">
        <v>3</v>
      </c>
      <c r="C1335">
        <v>5.34</v>
      </c>
      <c r="D1335">
        <v>1</v>
      </c>
      <c r="E1335">
        <v>21.3</v>
      </c>
      <c r="F1335">
        <v>5</v>
      </c>
      <c r="G1335">
        <v>2</v>
      </c>
      <c r="H1335">
        <v>7</v>
      </c>
      <c r="I1335">
        <v>1</v>
      </c>
      <c r="J1335">
        <v>2017</v>
      </c>
      <c r="K1335">
        <v>8</v>
      </c>
      <c r="L1335">
        <v>276</v>
      </c>
      <c r="M1335" t="s">
        <v>15</v>
      </c>
    </row>
    <row r="1336" spans="1:13" x14ac:dyDescent="0.3">
      <c r="A1336" s="1">
        <v>42975</v>
      </c>
      <c r="B1336">
        <v>8</v>
      </c>
      <c r="C1336">
        <v>7</v>
      </c>
      <c r="D1336">
        <v>5</v>
      </c>
      <c r="E1336">
        <v>16</v>
      </c>
      <c r="F1336">
        <v>12</v>
      </c>
      <c r="G1336">
        <v>0</v>
      </c>
      <c r="H1336">
        <v>1</v>
      </c>
      <c r="I1336">
        <v>3</v>
      </c>
      <c r="J1336">
        <v>2017</v>
      </c>
      <c r="K1336">
        <v>8</v>
      </c>
      <c r="L1336">
        <v>276</v>
      </c>
      <c r="M1336" t="s">
        <v>16</v>
      </c>
    </row>
    <row r="1337" spans="1:13" x14ac:dyDescent="0.3">
      <c r="A1337" s="1">
        <v>42976</v>
      </c>
      <c r="B1337">
        <v>7</v>
      </c>
      <c r="C1337">
        <v>3.0659999999999998</v>
      </c>
      <c r="D1337">
        <v>3.5</v>
      </c>
      <c r="E1337">
        <v>17</v>
      </c>
      <c r="F1337">
        <v>5</v>
      </c>
      <c r="G1337">
        <v>0</v>
      </c>
      <c r="H1337">
        <v>11</v>
      </c>
      <c r="I1337">
        <v>2.1</v>
      </c>
      <c r="J1337">
        <v>2017</v>
      </c>
      <c r="K1337">
        <v>8</v>
      </c>
      <c r="L1337">
        <v>276</v>
      </c>
      <c r="M1337" t="s">
        <v>17</v>
      </c>
    </row>
    <row r="1338" spans="1:13" x14ac:dyDescent="0.3">
      <c r="A1338" s="1">
        <v>42977</v>
      </c>
      <c r="B1338">
        <v>7.67</v>
      </c>
      <c r="C1338">
        <v>3.99</v>
      </c>
      <c r="D1338">
        <v>3.15</v>
      </c>
      <c r="E1338">
        <v>17</v>
      </c>
      <c r="F1338">
        <v>4</v>
      </c>
      <c r="G1338">
        <v>3</v>
      </c>
      <c r="H1338">
        <v>0</v>
      </c>
      <c r="I1338">
        <v>2</v>
      </c>
      <c r="J1338">
        <v>2017</v>
      </c>
      <c r="K1338">
        <v>8</v>
      </c>
      <c r="L1338">
        <v>276</v>
      </c>
      <c r="M1338" t="s">
        <v>18</v>
      </c>
    </row>
    <row r="1339" spans="1:13" x14ac:dyDescent="0.3">
      <c r="A1339" s="1">
        <v>42978</v>
      </c>
      <c r="B1339">
        <v>16.68</v>
      </c>
      <c r="C1339">
        <v>3.0329999999999999</v>
      </c>
      <c r="D1339">
        <v>3.05</v>
      </c>
      <c r="E1339">
        <v>17</v>
      </c>
      <c r="F1339">
        <v>4</v>
      </c>
      <c r="G1339">
        <v>0</v>
      </c>
      <c r="H1339">
        <v>0</v>
      </c>
      <c r="I1339">
        <v>1</v>
      </c>
      <c r="J1339">
        <v>2017</v>
      </c>
      <c r="K1339">
        <v>8</v>
      </c>
      <c r="L1339">
        <v>276</v>
      </c>
      <c r="M1339" t="s">
        <v>12</v>
      </c>
    </row>
    <row r="1340" spans="1:13" x14ac:dyDescent="0.3">
      <c r="A1340" s="1">
        <v>42979</v>
      </c>
      <c r="B1340">
        <v>3.34</v>
      </c>
      <c r="C1340">
        <v>3</v>
      </c>
      <c r="D1340">
        <v>5</v>
      </c>
      <c r="E1340">
        <v>20.6</v>
      </c>
      <c r="F1340">
        <v>8</v>
      </c>
      <c r="G1340">
        <v>0</v>
      </c>
      <c r="H1340">
        <v>2</v>
      </c>
      <c r="I1340">
        <v>0</v>
      </c>
      <c r="J1340">
        <v>2017</v>
      </c>
      <c r="K1340">
        <v>9</v>
      </c>
      <c r="L1340">
        <v>276</v>
      </c>
      <c r="M1340" t="s">
        <v>13</v>
      </c>
    </row>
    <row r="1341" spans="1:13" x14ac:dyDescent="0.3">
      <c r="A1341" s="1">
        <v>42980</v>
      </c>
      <c r="B1341">
        <v>6.34</v>
      </c>
      <c r="C1341">
        <v>2.13</v>
      </c>
      <c r="D1341">
        <v>6</v>
      </c>
      <c r="E1341">
        <v>18.399999999999999</v>
      </c>
      <c r="F1341">
        <v>8</v>
      </c>
      <c r="G1341">
        <v>0</v>
      </c>
      <c r="H1341">
        <v>1</v>
      </c>
      <c r="I1341">
        <v>3</v>
      </c>
      <c r="J1341">
        <v>2017</v>
      </c>
      <c r="K1341">
        <v>9</v>
      </c>
      <c r="L1341">
        <v>276</v>
      </c>
      <c r="M1341" t="s">
        <v>14</v>
      </c>
    </row>
    <row r="1342" spans="1:13" x14ac:dyDescent="0.3">
      <c r="A1342" s="1">
        <v>42981</v>
      </c>
      <c r="B1342">
        <v>6.83</v>
      </c>
      <c r="C1342">
        <v>5.4619999999999997</v>
      </c>
      <c r="D1342">
        <v>2</v>
      </c>
      <c r="E1342">
        <v>18.399999999999999</v>
      </c>
      <c r="F1342">
        <v>7</v>
      </c>
      <c r="G1342">
        <v>0</v>
      </c>
      <c r="H1342">
        <v>1</v>
      </c>
      <c r="I1342">
        <v>3</v>
      </c>
      <c r="J1342">
        <v>2017</v>
      </c>
      <c r="K1342">
        <v>9</v>
      </c>
      <c r="L1342">
        <v>276</v>
      </c>
      <c r="M1342" t="s">
        <v>15</v>
      </c>
    </row>
    <row r="1343" spans="1:13" x14ac:dyDescent="0.3">
      <c r="A1343" s="1">
        <v>42982</v>
      </c>
      <c r="B1343">
        <v>6.5</v>
      </c>
      <c r="C1343">
        <v>3.33</v>
      </c>
      <c r="D1343">
        <v>6</v>
      </c>
      <c r="E1343">
        <v>24</v>
      </c>
      <c r="F1343">
        <v>7</v>
      </c>
      <c r="G1343">
        <v>0</v>
      </c>
      <c r="H1343">
        <v>0</v>
      </c>
      <c r="I1343">
        <v>3</v>
      </c>
      <c r="J1343">
        <v>2017</v>
      </c>
      <c r="K1343">
        <v>9</v>
      </c>
      <c r="L1343">
        <v>276</v>
      </c>
      <c r="M1343" t="s">
        <v>16</v>
      </c>
    </row>
    <row r="1344" spans="1:13" x14ac:dyDescent="0.3">
      <c r="A1344" s="1">
        <v>42983</v>
      </c>
      <c r="B1344">
        <v>6.17</v>
      </c>
      <c r="C1344">
        <v>4.0199999999999996</v>
      </c>
      <c r="D1344">
        <v>4</v>
      </c>
      <c r="E1344">
        <v>19.100000000000001</v>
      </c>
      <c r="F1344">
        <v>7</v>
      </c>
      <c r="G1344">
        <v>1</v>
      </c>
      <c r="H1344">
        <v>2</v>
      </c>
      <c r="I1344">
        <v>1.3</v>
      </c>
      <c r="J1344">
        <v>2017</v>
      </c>
      <c r="K1344">
        <v>9</v>
      </c>
      <c r="L1344">
        <v>276</v>
      </c>
      <c r="M1344" t="s">
        <v>17</v>
      </c>
    </row>
    <row r="1345" spans="1:13" x14ac:dyDescent="0.3">
      <c r="A1345" s="1">
        <v>42984</v>
      </c>
      <c r="B1345">
        <v>4.33</v>
      </c>
      <c r="C1345">
        <v>3</v>
      </c>
      <c r="D1345">
        <v>5</v>
      </c>
      <c r="E1345">
        <v>32</v>
      </c>
      <c r="F1345">
        <v>6</v>
      </c>
      <c r="G1345">
        <v>0</v>
      </c>
      <c r="H1345">
        <v>3</v>
      </c>
      <c r="I1345">
        <v>3</v>
      </c>
      <c r="J1345">
        <v>2017</v>
      </c>
      <c r="K1345">
        <v>9</v>
      </c>
      <c r="L1345">
        <v>276</v>
      </c>
      <c r="M1345" t="s">
        <v>18</v>
      </c>
    </row>
    <row r="1346" spans="1:13" x14ac:dyDescent="0.3">
      <c r="A1346" s="1">
        <v>42985</v>
      </c>
      <c r="B1346">
        <v>3</v>
      </c>
      <c r="C1346">
        <v>1</v>
      </c>
      <c r="D1346">
        <v>3.2</v>
      </c>
      <c r="E1346">
        <v>18</v>
      </c>
      <c r="F1346">
        <v>2</v>
      </c>
      <c r="G1346">
        <v>0</v>
      </c>
      <c r="H1346">
        <v>0</v>
      </c>
      <c r="I1346">
        <v>2</v>
      </c>
      <c r="J1346">
        <v>2017</v>
      </c>
      <c r="K1346">
        <v>9</v>
      </c>
      <c r="L1346">
        <v>276</v>
      </c>
      <c r="M1346" t="s">
        <v>12</v>
      </c>
    </row>
    <row r="1347" spans="1:13" x14ac:dyDescent="0.3">
      <c r="A1347" s="1">
        <v>42986</v>
      </c>
      <c r="B1347">
        <v>8.83</v>
      </c>
      <c r="C1347">
        <v>7.32</v>
      </c>
      <c r="D1347">
        <v>3.1</v>
      </c>
      <c r="E1347">
        <v>34</v>
      </c>
      <c r="F1347">
        <v>8</v>
      </c>
      <c r="G1347">
        <v>0</v>
      </c>
      <c r="H1347">
        <v>3</v>
      </c>
      <c r="I1347">
        <v>4</v>
      </c>
      <c r="J1347">
        <v>2017</v>
      </c>
      <c r="K1347">
        <v>9</v>
      </c>
      <c r="L1347">
        <v>276</v>
      </c>
      <c r="M1347" t="s">
        <v>13</v>
      </c>
    </row>
    <row r="1348" spans="1:13" x14ac:dyDescent="0.3">
      <c r="A1348" s="1">
        <v>42987</v>
      </c>
      <c r="B1348">
        <v>6</v>
      </c>
      <c r="C1348">
        <v>8.34</v>
      </c>
      <c r="D1348">
        <v>2.5</v>
      </c>
      <c r="E1348">
        <v>20</v>
      </c>
      <c r="F1348">
        <v>7</v>
      </c>
      <c r="G1348">
        <v>0</v>
      </c>
      <c r="H1348">
        <v>0</v>
      </c>
      <c r="I1348">
        <v>4</v>
      </c>
      <c r="J1348">
        <v>2017</v>
      </c>
      <c r="K1348">
        <v>9</v>
      </c>
      <c r="L1348">
        <v>276</v>
      </c>
      <c r="M1348" t="s">
        <v>14</v>
      </c>
    </row>
    <row r="1349" spans="1:13" x14ac:dyDescent="0.3">
      <c r="A1349" s="1">
        <v>42988</v>
      </c>
      <c r="B1349">
        <v>3.34</v>
      </c>
      <c r="C1349">
        <v>5.35</v>
      </c>
      <c r="D1349">
        <v>1</v>
      </c>
      <c r="E1349">
        <v>35.6</v>
      </c>
      <c r="F1349">
        <v>7</v>
      </c>
      <c r="G1349">
        <v>0</v>
      </c>
      <c r="H1349">
        <v>0</v>
      </c>
      <c r="I1349">
        <v>4.2</v>
      </c>
      <c r="J1349">
        <v>2017</v>
      </c>
      <c r="K1349">
        <v>9</v>
      </c>
      <c r="L1349">
        <v>276</v>
      </c>
      <c r="M1349" t="s">
        <v>15</v>
      </c>
    </row>
    <row r="1350" spans="1:13" x14ac:dyDescent="0.3">
      <c r="A1350" s="1">
        <v>42989</v>
      </c>
      <c r="B1350">
        <v>2</v>
      </c>
      <c r="C1350">
        <v>3.3730000000000002</v>
      </c>
      <c r="D1350">
        <v>2</v>
      </c>
      <c r="E1350">
        <v>12</v>
      </c>
      <c r="F1350">
        <v>16</v>
      </c>
      <c r="G1350">
        <v>0</v>
      </c>
      <c r="H1350">
        <v>0</v>
      </c>
      <c r="I1350">
        <v>2</v>
      </c>
      <c r="J1350">
        <v>2017</v>
      </c>
      <c r="K1350">
        <v>9</v>
      </c>
      <c r="L1350">
        <v>276</v>
      </c>
      <c r="M1350" t="s">
        <v>16</v>
      </c>
    </row>
    <row r="1351" spans="1:13" x14ac:dyDescent="0.3">
      <c r="A1351" s="1">
        <v>42990</v>
      </c>
      <c r="B1351">
        <v>1</v>
      </c>
      <c r="C1351">
        <v>4.3499999999999996</v>
      </c>
      <c r="D1351">
        <v>5.2</v>
      </c>
      <c r="E1351">
        <v>18.25</v>
      </c>
      <c r="F1351">
        <v>6</v>
      </c>
      <c r="G1351">
        <v>1</v>
      </c>
      <c r="H1351">
        <v>1</v>
      </c>
      <c r="I1351">
        <v>2.2000000000000002</v>
      </c>
      <c r="J1351">
        <v>2017</v>
      </c>
      <c r="K1351">
        <v>9</v>
      </c>
      <c r="L1351">
        <v>276</v>
      </c>
      <c r="M1351" t="s">
        <v>17</v>
      </c>
    </row>
    <row r="1352" spans="1:13" x14ac:dyDescent="0.3">
      <c r="A1352" s="1">
        <v>42991</v>
      </c>
      <c r="B1352">
        <v>4</v>
      </c>
      <c r="C1352">
        <v>0.66</v>
      </c>
      <c r="D1352">
        <v>2</v>
      </c>
      <c r="E1352">
        <v>25</v>
      </c>
      <c r="F1352">
        <v>16</v>
      </c>
      <c r="G1352">
        <v>0</v>
      </c>
      <c r="H1352">
        <v>5</v>
      </c>
      <c r="I1352">
        <v>0</v>
      </c>
      <c r="J1352">
        <v>2017</v>
      </c>
      <c r="K1352">
        <v>9</v>
      </c>
      <c r="L1352">
        <v>276</v>
      </c>
      <c r="M1352" t="s">
        <v>18</v>
      </c>
    </row>
    <row r="1353" spans="1:13" x14ac:dyDescent="0.3">
      <c r="A1353" s="1">
        <v>42992</v>
      </c>
      <c r="B1353">
        <v>5</v>
      </c>
      <c r="C1353">
        <v>5.34</v>
      </c>
      <c r="D1353">
        <v>5</v>
      </c>
      <c r="E1353">
        <v>22.4</v>
      </c>
      <c r="F1353">
        <v>6</v>
      </c>
      <c r="G1353">
        <v>0</v>
      </c>
      <c r="H1353">
        <v>9</v>
      </c>
      <c r="I1353">
        <v>5</v>
      </c>
      <c r="J1353">
        <v>2017</v>
      </c>
      <c r="K1353">
        <v>9</v>
      </c>
      <c r="L1353">
        <v>276</v>
      </c>
      <c r="M1353" t="s">
        <v>12</v>
      </c>
    </row>
    <row r="1354" spans="1:13" x14ac:dyDescent="0.3">
      <c r="A1354" s="1">
        <v>42993</v>
      </c>
      <c r="B1354">
        <v>3</v>
      </c>
      <c r="C1354">
        <v>3</v>
      </c>
      <c r="D1354">
        <v>3</v>
      </c>
      <c r="E1354">
        <v>16</v>
      </c>
      <c r="F1354">
        <v>12</v>
      </c>
      <c r="G1354">
        <v>1</v>
      </c>
      <c r="H1354">
        <v>8</v>
      </c>
      <c r="I1354">
        <v>3</v>
      </c>
      <c r="J1354">
        <v>2017</v>
      </c>
      <c r="K1354">
        <v>9</v>
      </c>
      <c r="L1354">
        <v>276</v>
      </c>
      <c r="M1354" t="s">
        <v>13</v>
      </c>
    </row>
    <row r="1355" spans="1:13" x14ac:dyDescent="0.3">
      <c r="A1355" s="1">
        <v>42994</v>
      </c>
      <c r="B1355">
        <v>7</v>
      </c>
      <c r="C1355">
        <v>3</v>
      </c>
      <c r="D1355">
        <v>3.45</v>
      </c>
      <c r="E1355">
        <v>27.3</v>
      </c>
      <c r="F1355">
        <v>11</v>
      </c>
      <c r="G1355">
        <v>0</v>
      </c>
      <c r="H1355">
        <v>0</v>
      </c>
      <c r="I1355">
        <v>1.2</v>
      </c>
      <c r="J1355">
        <v>2017</v>
      </c>
      <c r="K1355">
        <v>9</v>
      </c>
      <c r="L1355">
        <v>276</v>
      </c>
      <c r="M1355" t="s">
        <v>14</v>
      </c>
    </row>
    <row r="1356" spans="1:13" x14ac:dyDescent="0.3">
      <c r="A1356" s="1">
        <v>42995</v>
      </c>
      <c r="B1356">
        <v>5</v>
      </c>
      <c r="C1356">
        <v>4.34</v>
      </c>
      <c r="D1356">
        <v>4</v>
      </c>
      <c r="E1356">
        <v>32</v>
      </c>
      <c r="F1356">
        <v>6</v>
      </c>
      <c r="G1356">
        <v>1</v>
      </c>
      <c r="H1356">
        <v>7</v>
      </c>
      <c r="I1356">
        <v>5</v>
      </c>
      <c r="J1356">
        <v>2017</v>
      </c>
      <c r="K1356">
        <v>9</v>
      </c>
      <c r="L1356">
        <v>276</v>
      </c>
      <c r="M1356" t="s">
        <v>15</v>
      </c>
    </row>
    <row r="1357" spans="1:13" x14ac:dyDescent="0.3">
      <c r="A1357" s="1">
        <v>42996</v>
      </c>
      <c r="B1357">
        <v>9</v>
      </c>
      <c r="C1357">
        <v>4.34</v>
      </c>
      <c r="D1357">
        <v>1</v>
      </c>
      <c r="E1357">
        <v>27</v>
      </c>
      <c r="F1357">
        <v>7</v>
      </c>
      <c r="G1357">
        <v>0</v>
      </c>
      <c r="H1357">
        <v>1</v>
      </c>
      <c r="I1357">
        <v>2</v>
      </c>
      <c r="J1357">
        <v>2017</v>
      </c>
      <c r="K1357">
        <v>9</v>
      </c>
      <c r="L1357">
        <v>276</v>
      </c>
      <c r="M1357" t="s">
        <v>16</v>
      </c>
    </row>
    <row r="1358" spans="1:13" x14ac:dyDescent="0.3">
      <c r="A1358" s="1">
        <v>42997</v>
      </c>
      <c r="B1358">
        <v>3.33</v>
      </c>
      <c r="C1358">
        <v>6.0330000000000004</v>
      </c>
      <c r="D1358">
        <v>1</v>
      </c>
      <c r="E1358">
        <v>43.25</v>
      </c>
      <c r="F1358">
        <v>6</v>
      </c>
      <c r="G1358">
        <v>2</v>
      </c>
      <c r="H1358">
        <v>6</v>
      </c>
      <c r="I1358">
        <v>9</v>
      </c>
      <c r="J1358">
        <v>2017</v>
      </c>
      <c r="K1358">
        <v>9</v>
      </c>
      <c r="L1358">
        <v>276</v>
      </c>
      <c r="M1358" t="s">
        <v>17</v>
      </c>
    </row>
    <row r="1359" spans="1:13" x14ac:dyDescent="0.3">
      <c r="A1359" s="1">
        <v>42998</v>
      </c>
      <c r="B1359">
        <v>2</v>
      </c>
      <c r="C1359">
        <v>2.363</v>
      </c>
      <c r="D1359">
        <v>0.1</v>
      </c>
      <c r="E1359">
        <v>35.450000000000003</v>
      </c>
      <c r="F1359">
        <v>6</v>
      </c>
      <c r="G1359">
        <v>0</v>
      </c>
      <c r="H1359">
        <v>6</v>
      </c>
      <c r="I1359">
        <v>0</v>
      </c>
      <c r="J1359">
        <v>2017</v>
      </c>
      <c r="K1359">
        <v>9</v>
      </c>
      <c r="L1359">
        <v>276</v>
      </c>
      <c r="M1359" t="s">
        <v>18</v>
      </c>
    </row>
    <row r="1360" spans="1:13" x14ac:dyDescent="0.3">
      <c r="A1360" s="1">
        <v>42999</v>
      </c>
      <c r="B1360">
        <v>7.34</v>
      </c>
      <c r="C1360">
        <v>3.6960000000000002</v>
      </c>
      <c r="D1360">
        <v>1</v>
      </c>
      <c r="E1360">
        <v>19.7</v>
      </c>
      <c r="F1360">
        <v>8</v>
      </c>
      <c r="G1360">
        <v>2</v>
      </c>
      <c r="H1360">
        <v>0</v>
      </c>
      <c r="I1360">
        <v>1</v>
      </c>
      <c r="J1360">
        <v>2017</v>
      </c>
      <c r="K1360">
        <v>9</v>
      </c>
      <c r="L1360">
        <v>276</v>
      </c>
      <c r="M1360" t="s">
        <v>12</v>
      </c>
    </row>
    <row r="1361" spans="1:13" x14ac:dyDescent="0.3">
      <c r="A1361" s="1">
        <v>43000</v>
      </c>
      <c r="B1361">
        <v>4.66</v>
      </c>
      <c r="C1361">
        <v>2.2410000000000001</v>
      </c>
      <c r="D1361">
        <v>3</v>
      </c>
      <c r="E1361">
        <v>27.5</v>
      </c>
      <c r="F1361">
        <v>2</v>
      </c>
      <c r="G1361">
        <v>0</v>
      </c>
      <c r="H1361">
        <v>0</v>
      </c>
      <c r="I1361">
        <v>3</v>
      </c>
      <c r="J1361">
        <v>2017</v>
      </c>
      <c r="K1361">
        <v>9</v>
      </c>
      <c r="L1361">
        <v>276</v>
      </c>
      <c r="M1361" t="s">
        <v>13</v>
      </c>
    </row>
    <row r="1362" spans="1:13" x14ac:dyDescent="0.3">
      <c r="A1362" s="1">
        <v>43001</v>
      </c>
      <c r="B1362">
        <v>9.99</v>
      </c>
      <c r="C1362">
        <v>6.99</v>
      </c>
      <c r="D1362">
        <v>3</v>
      </c>
      <c r="E1362">
        <v>14.45</v>
      </c>
      <c r="F1362">
        <v>12</v>
      </c>
      <c r="G1362">
        <v>2</v>
      </c>
      <c r="H1362">
        <v>0</v>
      </c>
      <c r="I1362">
        <v>2</v>
      </c>
      <c r="J1362">
        <v>2017</v>
      </c>
      <c r="K1362">
        <v>9</v>
      </c>
      <c r="L1362">
        <v>276</v>
      </c>
      <c r="M1362" t="s">
        <v>14</v>
      </c>
    </row>
    <row r="1363" spans="1:13" x14ac:dyDescent="0.3">
      <c r="A1363" s="1">
        <v>43002</v>
      </c>
      <c r="B1363">
        <v>3.66</v>
      </c>
      <c r="C1363">
        <v>4.8259999999999996</v>
      </c>
      <c r="D1363">
        <v>2</v>
      </c>
      <c r="E1363">
        <v>52.4</v>
      </c>
      <c r="F1363">
        <v>7</v>
      </c>
      <c r="G1363">
        <v>1</v>
      </c>
      <c r="H1363">
        <v>6</v>
      </c>
      <c r="I1363">
        <v>1</v>
      </c>
      <c r="J1363">
        <v>2017</v>
      </c>
      <c r="K1363">
        <v>9</v>
      </c>
      <c r="L1363">
        <v>276</v>
      </c>
      <c r="M1363" t="s">
        <v>15</v>
      </c>
    </row>
    <row r="1364" spans="1:13" x14ac:dyDescent="0.3">
      <c r="A1364" s="1">
        <v>43003</v>
      </c>
      <c r="B1364">
        <v>1</v>
      </c>
      <c r="C1364">
        <v>2.5169999999999999</v>
      </c>
      <c r="D1364">
        <v>1</v>
      </c>
      <c r="E1364">
        <v>39.200000000000003</v>
      </c>
      <c r="F1364">
        <v>7</v>
      </c>
      <c r="G1364">
        <v>3</v>
      </c>
      <c r="H1364">
        <v>26</v>
      </c>
      <c r="I1364">
        <v>1</v>
      </c>
      <c r="J1364">
        <v>2017</v>
      </c>
      <c r="K1364">
        <v>9</v>
      </c>
      <c r="L1364">
        <v>276</v>
      </c>
      <c r="M1364" t="s">
        <v>16</v>
      </c>
    </row>
    <row r="1365" spans="1:13" x14ac:dyDescent="0.3">
      <c r="A1365" s="1">
        <v>43004</v>
      </c>
      <c r="B1365">
        <v>2</v>
      </c>
      <c r="C1365">
        <v>5.67</v>
      </c>
      <c r="D1365">
        <v>2.1</v>
      </c>
      <c r="E1365">
        <v>38.6</v>
      </c>
      <c r="F1365">
        <v>4</v>
      </c>
      <c r="G1365">
        <v>0</v>
      </c>
      <c r="H1365">
        <v>6</v>
      </c>
      <c r="I1365">
        <v>1</v>
      </c>
      <c r="J1365">
        <v>2017</v>
      </c>
      <c r="K1365">
        <v>9</v>
      </c>
      <c r="L1365">
        <v>276</v>
      </c>
      <c r="M1365" t="s">
        <v>17</v>
      </c>
    </row>
    <row r="1366" spans="1:13" x14ac:dyDescent="0.3">
      <c r="A1366" s="1">
        <v>43005</v>
      </c>
      <c r="B1366">
        <v>4</v>
      </c>
      <c r="C1366">
        <v>2.33</v>
      </c>
      <c r="D1366">
        <v>3</v>
      </c>
      <c r="E1366">
        <v>38</v>
      </c>
      <c r="F1366">
        <v>7</v>
      </c>
      <c r="G1366">
        <v>3</v>
      </c>
      <c r="H1366">
        <v>3</v>
      </c>
      <c r="I1366">
        <v>0</v>
      </c>
      <c r="J1366">
        <v>2017</v>
      </c>
      <c r="K1366">
        <v>9</v>
      </c>
      <c r="L1366">
        <v>276</v>
      </c>
      <c r="M1366" t="s">
        <v>18</v>
      </c>
    </row>
    <row r="1367" spans="1:13" x14ac:dyDescent="0.3">
      <c r="A1367" s="1">
        <v>43006</v>
      </c>
      <c r="B1367">
        <v>3.34</v>
      </c>
      <c r="C1367">
        <v>2.68</v>
      </c>
      <c r="D1367">
        <v>2.5</v>
      </c>
      <c r="E1367">
        <v>37.85</v>
      </c>
      <c r="F1367">
        <v>3</v>
      </c>
      <c r="G1367">
        <v>0</v>
      </c>
      <c r="H1367">
        <v>10</v>
      </c>
      <c r="I1367">
        <v>0</v>
      </c>
      <c r="J1367">
        <v>2017</v>
      </c>
      <c r="K1367">
        <v>9</v>
      </c>
      <c r="L1367">
        <v>276</v>
      </c>
      <c r="M1367" t="s">
        <v>12</v>
      </c>
    </row>
    <row r="1368" spans="1:13" x14ac:dyDescent="0.3">
      <c r="A1368" s="1">
        <v>43007</v>
      </c>
      <c r="B1368">
        <v>1</v>
      </c>
      <c r="C1368">
        <v>5</v>
      </c>
      <c r="D1368">
        <v>3</v>
      </c>
      <c r="E1368">
        <v>35.4</v>
      </c>
      <c r="F1368">
        <v>8</v>
      </c>
      <c r="G1368">
        <v>6</v>
      </c>
      <c r="H1368">
        <v>5</v>
      </c>
      <c r="I1368">
        <v>1</v>
      </c>
      <c r="J1368">
        <v>2017</v>
      </c>
      <c r="K1368">
        <v>9</v>
      </c>
      <c r="L1368">
        <v>276</v>
      </c>
      <c r="M1368" t="s">
        <v>13</v>
      </c>
    </row>
    <row r="1369" spans="1:13" x14ac:dyDescent="0.3">
      <c r="A1369" s="1">
        <v>43008</v>
      </c>
      <c r="B1369">
        <v>5.33</v>
      </c>
      <c r="C1369">
        <v>3.01</v>
      </c>
      <c r="D1369">
        <v>3</v>
      </c>
      <c r="E1369">
        <v>61.9</v>
      </c>
      <c r="F1369">
        <v>6</v>
      </c>
      <c r="G1369">
        <v>0</v>
      </c>
      <c r="H1369">
        <v>28</v>
      </c>
      <c r="I1369">
        <v>0</v>
      </c>
      <c r="J1369">
        <v>2017</v>
      </c>
      <c r="K1369">
        <v>9</v>
      </c>
      <c r="L1369">
        <v>276</v>
      </c>
      <c r="M1369" t="s">
        <v>14</v>
      </c>
    </row>
    <row r="1370" spans="1:13" x14ac:dyDescent="0.3">
      <c r="A1370" s="1">
        <v>43009</v>
      </c>
      <c r="B1370">
        <v>4</v>
      </c>
      <c r="C1370">
        <v>5.891</v>
      </c>
      <c r="D1370">
        <v>3</v>
      </c>
      <c r="E1370">
        <v>72.099999999999994</v>
      </c>
      <c r="F1370">
        <v>7</v>
      </c>
      <c r="G1370">
        <v>1</v>
      </c>
      <c r="H1370">
        <v>20</v>
      </c>
      <c r="I1370">
        <v>1</v>
      </c>
      <c r="J1370">
        <v>2017</v>
      </c>
      <c r="K1370">
        <v>10</v>
      </c>
      <c r="L1370">
        <v>276</v>
      </c>
      <c r="M1370" t="s">
        <v>15</v>
      </c>
    </row>
    <row r="1371" spans="1:13" x14ac:dyDescent="0.3">
      <c r="A1371" s="1">
        <v>43010</v>
      </c>
      <c r="B1371">
        <v>8.33</v>
      </c>
      <c r="C1371">
        <v>2</v>
      </c>
      <c r="D1371">
        <v>3.15</v>
      </c>
      <c r="E1371">
        <v>18</v>
      </c>
      <c r="F1371">
        <v>3</v>
      </c>
      <c r="G1371">
        <v>1</v>
      </c>
      <c r="H1371">
        <v>0</v>
      </c>
      <c r="I1371">
        <v>0</v>
      </c>
      <c r="J1371">
        <v>2017</v>
      </c>
      <c r="K1371">
        <v>10</v>
      </c>
      <c r="L1371">
        <v>276</v>
      </c>
      <c r="M1371" t="s">
        <v>16</v>
      </c>
    </row>
    <row r="1372" spans="1:13" x14ac:dyDescent="0.3">
      <c r="A1372" s="1">
        <v>43011</v>
      </c>
      <c r="B1372">
        <v>0.34</v>
      </c>
      <c r="C1372">
        <v>2.1</v>
      </c>
      <c r="D1372">
        <v>3.15</v>
      </c>
      <c r="E1372">
        <v>57.2</v>
      </c>
      <c r="F1372">
        <v>21</v>
      </c>
      <c r="G1372">
        <v>3</v>
      </c>
      <c r="H1372">
        <v>5</v>
      </c>
      <c r="I1372">
        <v>2</v>
      </c>
      <c r="J1372">
        <v>2017</v>
      </c>
      <c r="K1372">
        <v>10</v>
      </c>
      <c r="L1372">
        <v>276</v>
      </c>
      <c r="M1372" t="s">
        <v>17</v>
      </c>
    </row>
    <row r="1373" spans="1:13" x14ac:dyDescent="0.3">
      <c r="A1373" s="1">
        <v>43012</v>
      </c>
      <c r="B1373">
        <v>2</v>
      </c>
      <c r="C1373">
        <v>4.33</v>
      </c>
      <c r="D1373">
        <v>4</v>
      </c>
      <c r="E1373">
        <v>37</v>
      </c>
      <c r="F1373">
        <v>6</v>
      </c>
      <c r="G1373">
        <v>0</v>
      </c>
      <c r="H1373">
        <v>2</v>
      </c>
      <c r="I1373">
        <v>1</v>
      </c>
      <c r="J1373">
        <v>2017</v>
      </c>
      <c r="K1373">
        <v>10</v>
      </c>
      <c r="L1373">
        <v>276</v>
      </c>
      <c r="M1373" t="s">
        <v>18</v>
      </c>
    </row>
    <row r="1374" spans="1:13" x14ac:dyDescent="0.3">
      <c r="A1374" s="1">
        <v>43013</v>
      </c>
      <c r="B1374">
        <v>5.33</v>
      </c>
      <c r="C1374">
        <v>3.99</v>
      </c>
      <c r="D1374">
        <v>5</v>
      </c>
      <c r="E1374">
        <v>40.799999999999997</v>
      </c>
      <c r="F1374">
        <v>5</v>
      </c>
      <c r="G1374">
        <v>0</v>
      </c>
      <c r="H1374">
        <v>11</v>
      </c>
      <c r="I1374">
        <v>2</v>
      </c>
      <c r="J1374">
        <v>2017</v>
      </c>
      <c r="K1374">
        <v>10</v>
      </c>
      <c r="L1374">
        <v>276</v>
      </c>
      <c r="M1374" t="s">
        <v>12</v>
      </c>
    </row>
    <row r="1375" spans="1:13" x14ac:dyDescent="0.3">
      <c r="A1375" s="1">
        <v>43014</v>
      </c>
      <c r="B1375">
        <v>3.99</v>
      </c>
      <c r="C1375">
        <v>4.66</v>
      </c>
      <c r="D1375">
        <v>1</v>
      </c>
      <c r="E1375">
        <v>39.799999999999997</v>
      </c>
      <c r="F1375">
        <v>7</v>
      </c>
      <c r="G1375">
        <v>0</v>
      </c>
      <c r="H1375">
        <v>6</v>
      </c>
      <c r="I1375">
        <v>2</v>
      </c>
      <c r="J1375">
        <v>2017</v>
      </c>
      <c r="K1375">
        <v>10</v>
      </c>
      <c r="L1375">
        <v>276</v>
      </c>
      <c r="M1375" t="s">
        <v>13</v>
      </c>
    </row>
    <row r="1376" spans="1:13" x14ac:dyDescent="0.3">
      <c r="A1376" s="1">
        <v>43015</v>
      </c>
      <c r="B1376">
        <v>4</v>
      </c>
      <c r="C1376">
        <v>2.0230000000000001</v>
      </c>
      <c r="D1376">
        <v>2</v>
      </c>
      <c r="E1376">
        <v>35.25</v>
      </c>
      <c r="F1376">
        <v>4</v>
      </c>
      <c r="G1376">
        <v>0</v>
      </c>
      <c r="H1376">
        <v>10</v>
      </c>
      <c r="I1376">
        <v>1</v>
      </c>
      <c r="J1376">
        <v>2017</v>
      </c>
      <c r="K1376">
        <v>10</v>
      </c>
      <c r="L1376">
        <v>276</v>
      </c>
      <c r="M1376" t="s">
        <v>14</v>
      </c>
    </row>
    <row r="1377" spans="1:13" x14ac:dyDescent="0.3">
      <c r="A1377" s="1">
        <v>43016</v>
      </c>
      <c r="B1377">
        <v>8.67</v>
      </c>
      <c r="C1377">
        <v>3.2610000000000001</v>
      </c>
      <c r="D1377">
        <v>5.2</v>
      </c>
      <c r="E1377">
        <v>77.099999999999994</v>
      </c>
      <c r="F1377">
        <v>2</v>
      </c>
      <c r="G1377">
        <v>0</v>
      </c>
      <c r="H1377">
        <v>15</v>
      </c>
      <c r="I1377">
        <v>4</v>
      </c>
      <c r="J1377">
        <v>2017</v>
      </c>
      <c r="K1377">
        <v>10</v>
      </c>
      <c r="L1377">
        <v>276</v>
      </c>
      <c r="M1377" t="s">
        <v>15</v>
      </c>
    </row>
    <row r="1378" spans="1:13" x14ac:dyDescent="0.3">
      <c r="A1378" s="1">
        <v>43017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2017</v>
      </c>
      <c r="K1378">
        <v>10</v>
      </c>
      <c r="L1378">
        <v>276</v>
      </c>
      <c r="M1378" t="s">
        <v>16</v>
      </c>
    </row>
    <row r="1379" spans="1:13" x14ac:dyDescent="0.3">
      <c r="A1379" s="1">
        <v>43018</v>
      </c>
      <c r="B1379">
        <v>10</v>
      </c>
      <c r="C1379">
        <v>2.68</v>
      </c>
      <c r="D1379">
        <v>2</v>
      </c>
      <c r="E1379">
        <v>25</v>
      </c>
      <c r="F1379">
        <v>8</v>
      </c>
      <c r="G1379">
        <v>0</v>
      </c>
      <c r="H1379">
        <v>11</v>
      </c>
      <c r="I1379">
        <v>3</v>
      </c>
      <c r="J1379">
        <v>2017</v>
      </c>
      <c r="K1379">
        <v>10</v>
      </c>
      <c r="L1379">
        <v>276</v>
      </c>
      <c r="M1379" t="s">
        <v>17</v>
      </c>
    </row>
    <row r="1380" spans="1:13" x14ac:dyDescent="0.3">
      <c r="A1380" s="1">
        <v>43019</v>
      </c>
      <c r="B1380">
        <v>3.5</v>
      </c>
      <c r="C1380">
        <v>1</v>
      </c>
      <c r="D1380">
        <v>4.5999999999999996</v>
      </c>
      <c r="E1380">
        <v>39.4</v>
      </c>
      <c r="F1380">
        <v>2</v>
      </c>
      <c r="G1380">
        <v>0</v>
      </c>
      <c r="H1380">
        <v>6</v>
      </c>
      <c r="I1380">
        <v>2.5</v>
      </c>
      <c r="J1380">
        <v>2017</v>
      </c>
      <c r="K1380">
        <v>10</v>
      </c>
      <c r="L1380">
        <v>276</v>
      </c>
      <c r="M1380" t="s">
        <v>18</v>
      </c>
    </row>
    <row r="1381" spans="1:13" x14ac:dyDescent="0.3">
      <c r="A1381" s="1">
        <v>43020</v>
      </c>
      <c r="B1381">
        <v>4</v>
      </c>
      <c r="C1381">
        <v>2.3929999999999998</v>
      </c>
      <c r="D1381">
        <v>2.2999999999999998</v>
      </c>
      <c r="E1381">
        <v>41</v>
      </c>
      <c r="F1381">
        <v>9</v>
      </c>
      <c r="G1381">
        <v>0</v>
      </c>
      <c r="H1381">
        <v>1</v>
      </c>
      <c r="I1381">
        <v>2</v>
      </c>
      <c r="J1381">
        <v>2017</v>
      </c>
      <c r="K1381">
        <v>10</v>
      </c>
      <c r="L1381">
        <v>276</v>
      </c>
      <c r="M1381" t="s">
        <v>12</v>
      </c>
    </row>
    <row r="1382" spans="1:13" x14ac:dyDescent="0.3">
      <c r="A1382" s="1">
        <v>43021</v>
      </c>
      <c r="B1382">
        <v>5.33</v>
      </c>
      <c r="C1382">
        <v>1.3959999999999999</v>
      </c>
      <c r="D1382">
        <v>0.6</v>
      </c>
      <c r="E1382">
        <v>38</v>
      </c>
      <c r="F1382">
        <v>8</v>
      </c>
      <c r="G1382">
        <v>2</v>
      </c>
      <c r="H1382">
        <v>3</v>
      </c>
      <c r="I1382">
        <v>4</v>
      </c>
      <c r="J1382">
        <v>2017</v>
      </c>
      <c r="K1382">
        <v>10</v>
      </c>
      <c r="L1382">
        <v>276</v>
      </c>
      <c r="M1382" t="s">
        <v>13</v>
      </c>
    </row>
    <row r="1383" spans="1:13" x14ac:dyDescent="0.3">
      <c r="A1383" s="1">
        <v>43022</v>
      </c>
      <c r="B1383">
        <v>4.84</v>
      </c>
      <c r="C1383">
        <v>3.66</v>
      </c>
      <c r="D1383">
        <v>4</v>
      </c>
      <c r="E1383">
        <v>42.2</v>
      </c>
      <c r="F1383">
        <v>9</v>
      </c>
      <c r="G1383">
        <v>1</v>
      </c>
      <c r="H1383">
        <v>20</v>
      </c>
      <c r="I1383">
        <v>0</v>
      </c>
      <c r="J1383">
        <v>2017</v>
      </c>
      <c r="K1383">
        <v>10</v>
      </c>
      <c r="L1383">
        <v>276</v>
      </c>
      <c r="M1383" t="s">
        <v>14</v>
      </c>
    </row>
    <row r="1384" spans="1:13" x14ac:dyDescent="0.3">
      <c r="A1384" s="1">
        <v>43023</v>
      </c>
      <c r="B1384">
        <v>6</v>
      </c>
      <c r="C1384">
        <v>6.68</v>
      </c>
      <c r="D1384">
        <v>1</v>
      </c>
      <c r="E1384">
        <v>37</v>
      </c>
      <c r="F1384">
        <v>5</v>
      </c>
      <c r="G1384">
        <v>0</v>
      </c>
      <c r="H1384">
        <v>11</v>
      </c>
      <c r="I1384">
        <v>2</v>
      </c>
      <c r="J1384">
        <v>2017</v>
      </c>
      <c r="K1384">
        <v>10</v>
      </c>
      <c r="L1384">
        <v>276</v>
      </c>
      <c r="M1384" t="s">
        <v>15</v>
      </c>
    </row>
    <row r="1385" spans="1:13" x14ac:dyDescent="0.3">
      <c r="A1385" s="1">
        <v>43024</v>
      </c>
      <c r="B1385">
        <v>2.33</v>
      </c>
      <c r="C1385">
        <v>0.67</v>
      </c>
      <c r="D1385">
        <v>0</v>
      </c>
      <c r="E1385">
        <v>45.1</v>
      </c>
      <c r="F1385">
        <v>9</v>
      </c>
      <c r="G1385">
        <v>0</v>
      </c>
      <c r="H1385">
        <v>2</v>
      </c>
      <c r="I1385">
        <v>2</v>
      </c>
      <c r="J1385">
        <v>2017</v>
      </c>
      <c r="K1385">
        <v>10</v>
      </c>
      <c r="L1385">
        <v>276</v>
      </c>
      <c r="M1385" t="s">
        <v>16</v>
      </c>
    </row>
    <row r="1386" spans="1:13" x14ac:dyDescent="0.3">
      <c r="A1386" s="1">
        <v>43025</v>
      </c>
      <c r="B1386">
        <v>3.34</v>
      </c>
      <c r="C1386">
        <v>1.67</v>
      </c>
      <c r="D1386">
        <v>6</v>
      </c>
      <c r="E1386">
        <v>26.2</v>
      </c>
      <c r="F1386">
        <v>9</v>
      </c>
      <c r="G1386">
        <v>2</v>
      </c>
      <c r="H1386">
        <v>6</v>
      </c>
      <c r="I1386">
        <v>1</v>
      </c>
      <c r="J1386">
        <v>2017</v>
      </c>
      <c r="K1386">
        <v>10</v>
      </c>
      <c r="L1386">
        <v>276</v>
      </c>
      <c r="M1386" t="s">
        <v>17</v>
      </c>
    </row>
    <row r="1387" spans="1:13" x14ac:dyDescent="0.3">
      <c r="A1387" s="1">
        <v>43026</v>
      </c>
      <c r="B1387">
        <v>5.34</v>
      </c>
      <c r="C1387">
        <v>1.33</v>
      </c>
      <c r="D1387">
        <v>1</v>
      </c>
      <c r="E1387">
        <v>52.85</v>
      </c>
      <c r="F1387">
        <v>15</v>
      </c>
      <c r="G1387">
        <v>0</v>
      </c>
      <c r="H1387">
        <v>1</v>
      </c>
      <c r="I1387">
        <v>1</v>
      </c>
      <c r="J1387">
        <v>2017</v>
      </c>
      <c r="K1387">
        <v>10</v>
      </c>
      <c r="L1387">
        <v>276</v>
      </c>
      <c r="M1387" t="s">
        <v>18</v>
      </c>
    </row>
    <row r="1388" spans="1:13" x14ac:dyDescent="0.3">
      <c r="A1388" s="1">
        <v>43027</v>
      </c>
      <c r="B1388">
        <v>4.33</v>
      </c>
      <c r="C1388">
        <v>5.99</v>
      </c>
      <c r="D1388">
        <v>4.7</v>
      </c>
      <c r="E1388">
        <v>25.5</v>
      </c>
      <c r="F1388">
        <v>8</v>
      </c>
      <c r="G1388">
        <v>0</v>
      </c>
      <c r="H1388">
        <v>13</v>
      </c>
      <c r="I1388">
        <v>0</v>
      </c>
      <c r="J1388">
        <v>2017</v>
      </c>
      <c r="K1388">
        <v>10</v>
      </c>
      <c r="L1388">
        <v>276</v>
      </c>
      <c r="M1388" t="s">
        <v>12</v>
      </c>
    </row>
    <row r="1389" spans="1:13" x14ac:dyDescent="0.3">
      <c r="A1389" s="1">
        <v>43028</v>
      </c>
      <c r="B1389">
        <v>2.83</v>
      </c>
      <c r="C1389">
        <v>4.3630000000000004</v>
      </c>
      <c r="D1389">
        <v>3</v>
      </c>
      <c r="E1389">
        <v>36.25</v>
      </c>
      <c r="F1389">
        <v>15</v>
      </c>
      <c r="G1389">
        <v>0</v>
      </c>
      <c r="H1389">
        <v>8</v>
      </c>
      <c r="I1389">
        <v>0</v>
      </c>
      <c r="J1389">
        <v>2017</v>
      </c>
      <c r="K1389">
        <v>10</v>
      </c>
      <c r="L1389">
        <v>276</v>
      </c>
      <c r="M1389" t="s">
        <v>13</v>
      </c>
    </row>
    <row r="1390" spans="1:13" x14ac:dyDescent="0.3">
      <c r="A1390" s="1">
        <v>43029</v>
      </c>
      <c r="B1390">
        <v>3.33</v>
      </c>
      <c r="C1390">
        <v>3.7690000000000001</v>
      </c>
      <c r="D1390">
        <v>3.3</v>
      </c>
      <c r="E1390">
        <v>25.2</v>
      </c>
      <c r="F1390">
        <v>9</v>
      </c>
      <c r="G1390">
        <v>3</v>
      </c>
      <c r="H1390">
        <v>5</v>
      </c>
      <c r="I1390">
        <v>4</v>
      </c>
      <c r="J1390">
        <v>2017</v>
      </c>
      <c r="K1390">
        <v>10</v>
      </c>
      <c r="L1390">
        <v>276</v>
      </c>
      <c r="M1390" t="s">
        <v>14</v>
      </c>
    </row>
    <row r="1391" spans="1:13" x14ac:dyDescent="0.3">
      <c r="A1391" s="1">
        <v>43030</v>
      </c>
      <c r="B1391">
        <v>8</v>
      </c>
      <c r="C1391">
        <v>5</v>
      </c>
      <c r="D1391">
        <v>5</v>
      </c>
      <c r="E1391">
        <v>57.8</v>
      </c>
      <c r="F1391">
        <v>8</v>
      </c>
      <c r="G1391">
        <v>0</v>
      </c>
      <c r="H1391">
        <v>9</v>
      </c>
      <c r="I1391">
        <v>2</v>
      </c>
      <c r="J1391">
        <v>2017</v>
      </c>
      <c r="K1391">
        <v>10</v>
      </c>
      <c r="L1391">
        <v>276</v>
      </c>
      <c r="M1391" t="s">
        <v>15</v>
      </c>
    </row>
    <row r="1392" spans="1:13" x14ac:dyDescent="0.3">
      <c r="A1392" s="1">
        <v>43031</v>
      </c>
      <c r="B1392">
        <v>3.33</v>
      </c>
      <c r="C1392">
        <v>1.363</v>
      </c>
      <c r="D1392">
        <v>2</v>
      </c>
      <c r="E1392">
        <v>28.6</v>
      </c>
      <c r="F1392">
        <v>4</v>
      </c>
      <c r="G1392">
        <v>0</v>
      </c>
      <c r="H1392">
        <v>28</v>
      </c>
      <c r="I1392">
        <v>1</v>
      </c>
      <c r="J1392">
        <v>2017</v>
      </c>
      <c r="K1392">
        <v>10</v>
      </c>
      <c r="L1392">
        <v>276</v>
      </c>
      <c r="M1392" t="s">
        <v>16</v>
      </c>
    </row>
    <row r="1393" spans="1:13" x14ac:dyDescent="0.3">
      <c r="A1393" s="1">
        <v>43032</v>
      </c>
      <c r="B1393">
        <v>2</v>
      </c>
      <c r="C1393">
        <v>2</v>
      </c>
      <c r="D1393">
        <v>10</v>
      </c>
      <c r="E1393">
        <v>65.2</v>
      </c>
      <c r="F1393">
        <v>3</v>
      </c>
      <c r="G1393">
        <v>0</v>
      </c>
      <c r="H1393">
        <v>10</v>
      </c>
      <c r="I1393">
        <v>1</v>
      </c>
      <c r="J1393">
        <v>2017</v>
      </c>
      <c r="K1393">
        <v>10</v>
      </c>
      <c r="L1393">
        <v>276</v>
      </c>
      <c r="M1393" t="s">
        <v>17</v>
      </c>
    </row>
    <row r="1394" spans="1:13" x14ac:dyDescent="0.3">
      <c r="A1394" s="1">
        <v>43033</v>
      </c>
      <c r="B1394">
        <v>6.34</v>
      </c>
      <c r="C1394">
        <v>3.33</v>
      </c>
      <c r="D1394">
        <v>5.35</v>
      </c>
      <c r="E1394">
        <v>26.9</v>
      </c>
      <c r="F1394">
        <v>4</v>
      </c>
      <c r="G1394">
        <v>0</v>
      </c>
      <c r="H1394">
        <v>1</v>
      </c>
      <c r="I1394">
        <v>1</v>
      </c>
      <c r="J1394">
        <v>2017</v>
      </c>
      <c r="K1394">
        <v>10</v>
      </c>
      <c r="L1394">
        <v>276</v>
      </c>
      <c r="M1394" t="s">
        <v>18</v>
      </c>
    </row>
    <row r="1395" spans="1:13" x14ac:dyDescent="0.3">
      <c r="A1395" s="1">
        <v>43034</v>
      </c>
      <c r="B1395">
        <v>1.33</v>
      </c>
      <c r="C1395">
        <v>1.099</v>
      </c>
      <c r="D1395">
        <v>2</v>
      </c>
      <c r="E1395">
        <v>38</v>
      </c>
      <c r="F1395">
        <v>9</v>
      </c>
      <c r="G1395">
        <v>1</v>
      </c>
      <c r="H1395">
        <v>5</v>
      </c>
      <c r="I1395">
        <v>2.2999999999999998</v>
      </c>
      <c r="J1395">
        <v>2017</v>
      </c>
      <c r="K1395">
        <v>10</v>
      </c>
      <c r="L1395">
        <v>276</v>
      </c>
      <c r="M1395" t="s">
        <v>12</v>
      </c>
    </row>
    <row r="1396" spans="1:13" x14ac:dyDescent="0.3">
      <c r="A1396" s="1">
        <v>43035</v>
      </c>
      <c r="B1396">
        <v>6.32</v>
      </c>
      <c r="C1396">
        <v>2.363</v>
      </c>
      <c r="D1396">
        <v>6</v>
      </c>
      <c r="E1396">
        <v>26</v>
      </c>
      <c r="F1396">
        <v>14</v>
      </c>
      <c r="G1396">
        <v>1</v>
      </c>
      <c r="H1396">
        <v>21</v>
      </c>
      <c r="I1396">
        <v>2</v>
      </c>
      <c r="J1396">
        <v>2017</v>
      </c>
      <c r="K1396">
        <v>10</v>
      </c>
      <c r="L1396">
        <v>276</v>
      </c>
      <c r="M1396" t="s">
        <v>13</v>
      </c>
    </row>
    <row r="1397" spans="1:13" x14ac:dyDescent="0.3">
      <c r="A1397" s="1">
        <v>43036</v>
      </c>
      <c r="B1397">
        <v>5</v>
      </c>
      <c r="C1397">
        <v>2.33</v>
      </c>
      <c r="D1397">
        <v>4</v>
      </c>
      <c r="E1397">
        <v>24.1</v>
      </c>
      <c r="F1397">
        <v>11</v>
      </c>
      <c r="G1397">
        <v>0</v>
      </c>
      <c r="H1397">
        <v>7</v>
      </c>
      <c r="I1397">
        <v>3</v>
      </c>
      <c r="J1397">
        <v>2017</v>
      </c>
      <c r="K1397">
        <v>10</v>
      </c>
      <c r="L1397">
        <v>276</v>
      </c>
      <c r="M1397" t="s">
        <v>14</v>
      </c>
    </row>
    <row r="1398" spans="1:13" x14ac:dyDescent="0.3">
      <c r="A1398" s="1">
        <v>43037</v>
      </c>
      <c r="B1398">
        <v>7.66</v>
      </c>
      <c r="C1398">
        <v>2.3730000000000002</v>
      </c>
      <c r="D1398">
        <v>1.05</v>
      </c>
      <c r="E1398">
        <v>36</v>
      </c>
      <c r="F1398">
        <v>3</v>
      </c>
      <c r="G1398">
        <v>0</v>
      </c>
      <c r="H1398">
        <v>1</v>
      </c>
      <c r="I1398">
        <v>2.2000000000000002</v>
      </c>
      <c r="J1398">
        <v>2017</v>
      </c>
      <c r="K1398">
        <v>10</v>
      </c>
      <c r="L1398">
        <v>276</v>
      </c>
      <c r="M1398" t="s">
        <v>15</v>
      </c>
    </row>
    <row r="1399" spans="1:13" x14ac:dyDescent="0.3">
      <c r="A1399" s="1">
        <v>43038</v>
      </c>
      <c r="B1399">
        <v>1.5</v>
      </c>
      <c r="C1399">
        <v>3.66</v>
      </c>
      <c r="D1399">
        <v>2</v>
      </c>
      <c r="E1399">
        <v>32.799999999999997</v>
      </c>
      <c r="F1399">
        <v>7</v>
      </c>
      <c r="G1399">
        <v>0</v>
      </c>
      <c r="H1399">
        <v>9</v>
      </c>
      <c r="I1399">
        <v>1</v>
      </c>
      <c r="J1399">
        <v>2017</v>
      </c>
      <c r="K1399">
        <v>10</v>
      </c>
      <c r="L1399">
        <v>276</v>
      </c>
      <c r="M1399" t="s">
        <v>16</v>
      </c>
    </row>
    <row r="1400" spans="1:13" x14ac:dyDescent="0.3">
      <c r="A1400" s="1">
        <v>43039</v>
      </c>
      <c r="B1400">
        <v>4.33</v>
      </c>
      <c r="C1400">
        <v>1.363</v>
      </c>
      <c r="D1400">
        <v>4</v>
      </c>
      <c r="E1400">
        <v>38</v>
      </c>
      <c r="F1400">
        <v>2</v>
      </c>
      <c r="G1400">
        <v>0</v>
      </c>
      <c r="H1400">
        <v>0</v>
      </c>
      <c r="I1400">
        <v>1</v>
      </c>
      <c r="J1400">
        <v>2017</v>
      </c>
      <c r="K1400">
        <v>10</v>
      </c>
      <c r="L1400">
        <v>276</v>
      </c>
      <c r="M1400" t="s">
        <v>17</v>
      </c>
    </row>
    <row r="1401" spans="1:13" x14ac:dyDescent="0.3">
      <c r="A1401" s="1">
        <v>43040</v>
      </c>
      <c r="B1401">
        <v>0.67</v>
      </c>
      <c r="C1401">
        <v>3.4289999999999998</v>
      </c>
      <c r="D1401">
        <v>2</v>
      </c>
      <c r="E1401">
        <v>23</v>
      </c>
      <c r="F1401">
        <v>5</v>
      </c>
      <c r="G1401">
        <v>0</v>
      </c>
      <c r="H1401">
        <v>3</v>
      </c>
      <c r="I1401">
        <v>1</v>
      </c>
      <c r="J1401">
        <v>2017</v>
      </c>
      <c r="K1401">
        <v>11</v>
      </c>
      <c r="L1401">
        <v>276</v>
      </c>
      <c r="M1401" t="s">
        <v>18</v>
      </c>
    </row>
    <row r="1402" spans="1:13" x14ac:dyDescent="0.3">
      <c r="A1402" s="1">
        <v>43041</v>
      </c>
      <c r="B1402">
        <v>4</v>
      </c>
      <c r="C1402">
        <v>2.0659999999999998</v>
      </c>
      <c r="D1402">
        <v>1.55</v>
      </c>
      <c r="E1402">
        <v>22.1</v>
      </c>
      <c r="F1402">
        <v>5</v>
      </c>
      <c r="G1402">
        <v>0</v>
      </c>
      <c r="H1402">
        <v>11</v>
      </c>
      <c r="I1402">
        <v>3</v>
      </c>
      <c r="J1402">
        <v>2017</v>
      </c>
      <c r="K1402">
        <v>11</v>
      </c>
      <c r="L1402">
        <v>276</v>
      </c>
      <c r="M1402" t="s">
        <v>12</v>
      </c>
    </row>
    <row r="1403" spans="1:13" x14ac:dyDescent="0.3">
      <c r="A1403" s="1">
        <v>43042</v>
      </c>
      <c r="B1403">
        <v>2.33</v>
      </c>
      <c r="C1403">
        <v>7.67</v>
      </c>
      <c r="D1403">
        <v>4.4000000000000004</v>
      </c>
      <c r="E1403">
        <v>37.4</v>
      </c>
      <c r="F1403">
        <v>10</v>
      </c>
      <c r="G1403">
        <v>3</v>
      </c>
      <c r="H1403">
        <v>6</v>
      </c>
      <c r="I1403">
        <v>1</v>
      </c>
      <c r="J1403">
        <v>2017</v>
      </c>
      <c r="K1403">
        <v>11</v>
      </c>
      <c r="L1403">
        <v>276</v>
      </c>
      <c r="M1403" t="s">
        <v>13</v>
      </c>
    </row>
    <row r="1404" spans="1:13" x14ac:dyDescent="0.3">
      <c r="A1404" s="1">
        <v>43043</v>
      </c>
      <c r="B1404">
        <v>10.34</v>
      </c>
      <c r="C1404">
        <v>7.4720000000000004</v>
      </c>
      <c r="D1404">
        <v>6</v>
      </c>
      <c r="E1404">
        <v>33</v>
      </c>
      <c r="F1404">
        <v>5</v>
      </c>
      <c r="G1404">
        <v>0</v>
      </c>
      <c r="H1404">
        <v>1</v>
      </c>
      <c r="I1404">
        <v>3.2</v>
      </c>
      <c r="J1404">
        <v>2017</v>
      </c>
      <c r="K1404">
        <v>11</v>
      </c>
      <c r="L1404">
        <v>276</v>
      </c>
      <c r="M1404" t="s">
        <v>14</v>
      </c>
    </row>
    <row r="1405" spans="1:13" x14ac:dyDescent="0.3">
      <c r="A1405" s="1">
        <v>43044</v>
      </c>
      <c r="B1405">
        <v>6.33</v>
      </c>
      <c r="C1405">
        <v>5.7990000000000004</v>
      </c>
      <c r="D1405">
        <v>1.1000000000000001</v>
      </c>
      <c r="E1405">
        <v>35.450000000000003</v>
      </c>
      <c r="F1405">
        <v>1</v>
      </c>
      <c r="G1405">
        <v>0</v>
      </c>
      <c r="H1405">
        <v>5</v>
      </c>
      <c r="I1405">
        <v>2</v>
      </c>
      <c r="J1405">
        <v>2017</v>
      </c>
      <c r="K1405">
        <v>11</v>
      </c>
      <c r="L1405">
        <v>276</v>
      </c>
      <c r="M1405" t="s">
        <v>15</v>
      </c>
    </row>
    <row r="1406" spans="1:13" x14ac:dyDescent="0.3">
      <c r="A1406" s="1">
        <v>43045</v>
      </c>
      <c r="B1406">
        <v>8.34</v>
      </c>
      <c r="C1406">
        <v>3.2</v>
      </c>
      <c r="D1406">
        <v>2</v>
      </c>
      <c r="E1406">
        <v>20.2</v>
      </c>
      <c r="F1406">
        <v>11</v>
      </c>
      <c r="G1406">
        <v>3</v>
      </c>
      <c r="H1406">
        <v>8</v>
      </c>
      <c r="I1406">
        <v>1</v>
      </c>
      <c r="J1406">
        <v>2017</v>
      </c>
      <c r="K1406">
        <v>11</v>
      </c>
      <c r="L1406">
        <v>276</v>
      </c>
      <c r="M1406" t="s">
        <v>16</v>
      </c>
    </row>
    <row r="1407" spans="1:13" x14ac:dyDescent="0.3">
      <c r="A1407" s="1">
        <v>43046</v>
      </c>
      <c r="B1407">
        <v>0.67</v>
      </c>
      <c r="C1407">
        <v>4</v>
      </c>
      <c r="D1407">
        <v>7</v>
      </c>
      <c r="E1407">
        <v>20</v>
      </c>
      <c r="F1407">
        <v>4</v>
      </c>
      <c r="G1407">
        <v>0</v>
      </c>
      <c r="H1407">
        <v>0</v>
      </c>
      <c r="I1407">
        <v>1.5</v>
      </c>
      <c r="J1407">
        <v>2017</v>
      </c>
      <c r="K1407">
        <v>11</v>
      </c>
      <c r="L1407">
        <v>276</v>
      </c>
      <c r="M1407" t="s">
        <v>17</v>
      </c>
    </row>
    <row r="1408" spans="1:13" x14ac:dyDescent="0.3">
      <c r="A1408" s="1">
        <v>43047</v>
      </c>
      <c r="B1408">
        <v>6</v>
      </c>
      <c r="C1408">
        <v>1.1000000000000001</v>
      </c>
      <c r="D1408">
        <v>2</v>
      </c>
      <c r="E1408">
        <v>9.1999999999999993</v>
      </c>
      <c r="F1408">
        <v>1</v>
      </c>
      <c r="G1408">
        <v>0</v>
      </c>
      <c r="H1408">
        <v>5</v>
      </c>
      <c r="I1408">
        <v>1</v>
      </c>
      <c r="J1408">
        <v>2017</v>
      </c>
      <c r="K1408">
        <v>11</v>
      </c>
      <c r="L1408">
        <v>276</v>
      </c>
      <c r="M1408" t="s">
        <v>18</v>
      </c>
    </row>
    <row r="1409" spans="1:13" x14ac:dyDescent="0.3">
      <c r="A1409" s="1">
        <v>43048</v>
      </c>
      <c r="B1409">
        <v>2.67</v>
      </c>
      <c r="C1409">
        <v>3.746</v>
      </c>
      <c r="D1409">
        <v>0</v>
      </c>
      <c r="E1409">
        <v>28.8</v>
      </c>
      <c r="F1409">
        <v>2</v>
      </c>
      <c r="G1409">
        <v>0</v>
      </c>
      <c r="H1409">
        <v>11</v>
      </c>
      <c r="I1409">
        <v>1</v>
      </c>
      <c r="J1409">
        <v>2017</v>
      </c>
      <c r="K1409">
        <v>11</v>
      </c>
      <c r="L1409">
        <v>276</v>
      </c>
      <c r="M1409" t="s">
        <v>12</v>
      </c>
    </row>
    <row r="1410" spans="1:13" x14ac:dyDescent="0.3">
      <c r="A1410" s="1">
        <v>43049</v>
      </c>
      <c r="B1410">
        <v>9.34</v>
      </c>
      <c r="C1410">
        <v>6.66</v>
      </c>
      <c r="D1410">
        <v>6.2</v>
      </c>
      <c r="E1410">
        <v>34</v>
      </c>
      <c r="F1410">
        <v>9</v>
      </c>
      <c r="G1410">
        <v>0</v>
      </c>
      <c r="H1410">
        <v>22</v>
      </c>
      <c r="I1410">
        <v>2</v>
      </c>
      <c r="J1410">
        <v>2017</v>
      </c>
      <c r="K1410">
        <v>11</v>
      </c>
      <c r="L1410">
        <v>276</v>
      </c>
      <c r="M1410" t="s">
        <v>13</v>
      </c>
    </row>
    <row r="1411" spans="1:13" x14ac:dyDescent="0.3">
      <c r="A1411" s="1">
        <v>43050</v>
      </c>
      <c r="B1411">
        <v>8.5</v>
      </c>
      <c r="C1411">
        <v>3</v>
      </c>
      <c r="D1411">
        <v>4.0999999999999996</v>
      </c>
      <c r="E1411">
        <v>32</v>
      </c>
      <c r="F1411">
        <v>8</v>
      </c>
      <c r="G1411">
        <v>0</v>
      </c>
      <c r="H1411">
        <v>2</v>
      </c>
      <c r="I1411">
        <v>0</v>
      </c>
      <c r="J1411">
        <v>2017</v>
      </c>
      <c r="K1411">
        <v>11</v>
      </c>
      <c r="L1411">
        <v>276</v>
      </c>
      <c r="M1411" t="s">
        <v>14</v>
      </c>
    </row>
    <row r="1412" spans="1:13" x14ac:dyDescent="0.3">
      <c r="A1412" s="1">
        <v>43051</v>
      </c>
      <c r="B1412">
        <v>5</v>
      </c>
      <c r="C1412">
        <v>3.65</v>
      </c>
      <c r="D1412">
        <v>6.15</v>
      </c>
      <c r="E1412">
        <v>40</v>
      </c>
      <c r="F1412">
        <v>9</v>
      </c>
      <c r="G1412">
        <v>0</v>
      </c>
      <c r="H1412">
        <v>3</v>
      </c>
      <c r="I1412">
        <v>2</v>
      </c>
      <c r="J1412">
        <v>2017</v>
      </c>
      <c r="K1412">
        <v>11</v>
      </c>
      <c r="L1412">
        <v>276</v>
      </c>
      <c r="M1412" t="s">
        <v>15</v>
      </c>
    </row>
    <row r="1413" spans="1:13" x14ac:dyDescent="0.3">
      <c r="A1413" s="1">
        <v>43052</v>
      </c>
      <c r="B1413">
        <v>9.33</v>
      </c>
      <c r="C1413">
        <v>2.4289999999999998</v>
      </c>
      <c r="D1413">
        <v>4.2</v>
      </c>
      <c r="E1413">
        <v>44.2</v>
      </c>
      <c r="F1413">
        <v>5</v>
      </c>
      <c r="G1413">
        <v>0</v>
      </c>
      <c r="H1413">
        <v>5</v>
      </c>
      <c r="I1413">
        <v>0.2</v>
      </c>
      <c r="J1413">
        <v>2017</v>
      </c>
      <c r="K1413">
        <v>11</v>
      </c>
      <c r="L1413">
        <v>276</v>
      </c>
      <c r="M1413" t="s">
        <v>16</v>
      </c>
    </row>
    <row r="1414" spans="1:13" x14ac:dyDescent="0.3">
      <c r="A1414" s="1">
        <v>43053</v>
      </c>
      <c r="B1414">
        <v>3</v>
      </c>
      <c r="C1414">
        <v>0.85899999999999999</v>
      </c>
      <c r="D1414">
        <v>2</v>
      </c>
      <c r="E1414">
        <v>6.8</v>
      </c>
      <c r="F1414">
        <v>14</v>
      </c>
      <c r="G1414">
        <v>0</v>
      </c>
      <c r="H1414">
        <v>19</v>
      </c>
      <c r="I1414">
        <v>1</v>
      </c>
      <c r="J1414">
        <v>2017</v>
      </c>
      <c r="K1414">
        <v>11</v>
      </c>
      <c r="L1414">
        <v>276</v>
      </c>
      <c r="M1414" t="s">
        <v>17</v>
      </c>
    </row>
    <row r="1415" spans="1:13" x14ac:dyDescent="0.3">
      <c r="A1415" s="1">
        <v>43054</v>
      </c>
      <c r="B1415">
        <v>5.33</v>
      </c>
      <c r="C1415">
        <v>2.726</v>
      </c>
      <c r="D1415">
        <v>7.7</v>
      </c>
      <c r="E1415">
        <v>17</v>
      </c>
      <c r="F1415">
        <v>8</v>
      </c>
      <c r="G1415">
        <v>3</v>
      </c>
      <c r="H1415">
        <v>0</v>
      </c>
      <c r="I1415">
        <v>1</v>
      </c>
      <c r="J1415">
        <v>2017</v>
      </c>
      <c r="K1415">
        <v>11</v>
      </c>
      <c r="L1415">
        <v>276</v>
      </c>
      <c r="M1415" t="s">
        <v>18</v>
      </c>
    </row>
    <row r="1416" spans="1:13" x14ac:dyDescent="0.3">
      <c r="A1416" s="1">
        <v>43055</v>
      </c>
      <c r="B1416">
        <v>5.33</v>
      </c>
      <c r="C1416">
        <v>2</v>
      </c>
      <c r="D1416">
        <v>3</v>
      </c>
      <c r="E1416">
        <v>17.600000000000001</v>
      </c>
      <c r="F1416">
        <v>3</v>
      </c>
      <c r="G1416">
        <v>0</v>
      </c>
      <c r="H1416">
        <v>1</v>
      </c>
      <c r="I1416">
        <v>1</v>
      </c>
      <c r="J1416">
        <v>2017</v>
      </c>
      <c r="K1416">
        <v>11</v>
      </c>
      <c r="L1416">
        <v>276</v>
      </c>
      <c r="M1416" t="s">
        <v>12</v>
      </c>
    </row>
    <row r="1417" spans="1:13" x14ac:dyDescent="0.3">
      <c r="A1417" s="1">
        <v>43056</v>
      </c>
      <c r="B1417">
        <v>3</v>
      </c>
      <c r="C1417">
        <v>4.8369999999999997</v>
      </c>
      <c r="D1417">
        <v>3</v>
      </c>
      <c r="E1417">
        <v>34</v>
      </c>
      <c r="F1417">
        <v>5</v>
      </c>
      <c r="G1417">
        <v>0</v>
      </c>
      <c r="H1417">
        <v>30</v>
      </c>
      <c r="I1417">
        <v>2</v>
      </c>
      <c r="J1417">
        <v>2017</v>
      </c>
      <c r="K1417">
        <v>11</v>
      </c>
      <c r="L1417">
        <v>276</v>
      </c>
      <c r="M1417" t="s">
        <v>13</v>
      </c>
    </row>
    <row r="1418" spans="1:13" x14ac:dyDescent="0.3">
      <c r="A1418" s="1">
        <v>43057</v>
      </c>
      <c r="B1418">
        <v>5.33</v>
      </c>
      <c r="C1418">
        <v>8.4499999999999993</v>
      </c>
      <c r="D1418">
        <v>2</v>
      </c>
      <c r="E1418">
        <v>42.5</v>
      </c>
      <c r="F1418">
        <v>2</v>
      </c>
      <c r="G1418">
        <v>0</v>
      </c>
      <c r="H1418">
        <v>8</v>
      </c>
      <c r="I1418">
        <v>1.2</v>
      </c>
      <c r="J1418">
        <v>2017</v>
      </c>
      <c r="K1418">
        <v>11</v>
      </c>
      <c r="L1418">
        <v>276</v>
      </c>
      <c r="M1418" t="s">
        <v>14</v>
      </c>
    </row>
    <row r="1419" spans="1:13" x14ac:dyDescent="0.3">
      <c r="A1419" s="1">
        <v>43058</v>
      </c>
      <c r="B1419">
        <v>4</v>
      </c>
      <c r="C1419">
        <v>6.88</v>
      </c>
      <c r="D1419">
        <v>1</v>
      </c>
      <c r="E1419">
        <v>29</v>
      </c>
      <c r="F1419">
        <v>3</v>
      </c>
      <c r="G1419">
        <v>0</v>
      </c>
      <c r="H1419">
        <v>6</v>
      </c>
      <c r="I1419">
        <v>2.5</v>
      </c>
      <c r="J1419">
        <v>2017</v>
      </c>
      <c r="K1419">
        <v>11</v>
      </c>
      <c r="L1419">
        <v>276</v>
      </c>
      <c r="M1419" t="s">
        <v>15</v>
      </c>
    </row>
    <row r="1420" spans="1:13" x14ac:dyDescent="0.3">
      <c r="A1420" s="1">
        <v>43059</v>
      </c>
      <c r="B1420">
        <v>2.34</v>
      </c>
      <c r="C1420">
        <v>5.34</v>
      </c>
      <c r="D1420">
        <v>2.4</v>
      </c>
      <c r="E1420">
        <v>28.8</v>
      </c>
      <c r="F1420">
        <v>10</v>
      </c>
      <c r="G1420">
        <v>0</v>
      </c>
      <c r="H1420">
        <v>2</v>
      </c>
      <c r="I1420">
        <v>0</v>
      </c>
      <c r="J1420">
        <v>2017</v>
      </c>
      <c r="K1420">
        <v>11</v>
      </c>
      <c r="L1420">
        <v>276</v>
      </c>
      <c r="M1420" t="s">
        <v>16</v>
      </c>
    </row>
    <row r="1421" spans="1:13" x14ac:dyDescent="0.3">
      <c r="A1421" s="1">
        <v>43060</v>
      </c>
      <c r="B1421">
        <v>13.33</v>
      </c>
      <c r="C1421">
        <v>0.68</v>
      </c>
      <c r="D1421">
        <v>1</v>
      </c>
      <c r="E1421">
        <v>22.4</v>
      </c>
      <c r="F1421">
        <v>5</v>
      </c>
      <c r="G1421">
        <v>0</v>
      </c>
      <c r="H1421">
        <v>2</v>
      </c>
      <c r="I1421">
        <v>1</v>
      </c>
      <c r="J1421">
        <v>2017</v>
      </c>
      <c r="K1421">
        <v>11</v>
      </c>
      <c r="L1421">
        <v>276</v>
      </c>
      <c r="M1421" t="s">
        <v>17</v>
      </c>
    </row>
    <row r="1422" spans="1:13" x14ac:dyDescent="0.3">
      <c r="A1422" s="1">
        <v>43061</v>
      </c>
      <c r="B1422">
        <v>2</v>
      </c>
      <c r="C1422">
        <v>4</v>
      </c>
      <c r="D1422">
        <v>1</v>
      </c>
      <c r="E1422">
        <v>26.1</v>
      </c>
      <c r="F1422">
        <v>20</v>
      </c>
      <c r="G1422">
        <v>0</v>
      </c>
      <c r="H1422">
        <v>1</v>
      </c>
      <c r="I1422">
        <v>1</v>
      </c>
      <c r="J1422">
        <v>2017</v>
      </c>
      <c r="K1422">
        <v>11</v>
      </c>
      <c r="L1422">
        <v>276</v>
      </c>
      <c r="M1422" t="s">
        <v>18</v>
      </c>
    </row>
    <row r="1423" spans="1:13" x14ac:dyDescent="0.3">
      <c r="A1423" s="1">
        <v>43062</v>
      </c>
      <c r="B1423">
        <v>9.33</v>
      </c>
      <c r="C1423">
        <v>5.99</v>
      </c>
      <c r="D1423">
        <v>6</v>
      </c>
      <c r="E1423">
        <v>34.299999999999997</v>
      </c>
      <c r="F1423">
        <v>14</v>
      </c>
      <c r="G1423">
        <v>0</v>
      </c>
      <c r="H1423">
        <v>0</v>
      </c>
      <c r="I1423">
        <v>3</v>
      </c>
      <c r="J1423">
        <v>2017</v>
      </c>
      <c r="K1423">
        <v>11</v>
      </c>
      <c r="L1423">
        <v>276</v>
      </c>
      <c r="M1423" t="s">
        <v>12</v>
      </c>
    </row>
    <row r="1424" spans="1:13" x14ac:dyDescent="0.3">
      <c r="A1424" s="1">
        <v>43063</v>
      </c>
      <c r="B1424">
        <v>8</v>
      </c>
      <c r="C1424">
        <v>3.1320000000000001</v>
      </c>
      <c r="D1424">
        <v>5</v>
      </c>
      <c r="E1424">
        <v>34.323999999999998</v>
      </c>
      <c r="F1424">
        <v>5</v>
      </c>
      <c r="G1424">
        <v>2</v>
      </c>
      <c r="H1424">
        <v>2</v>
      </c>
      <c r="I1424">
        <v>0</v>
      </c>
      <c r="J1424">
        <v>2017</v>
      </c>
      <c r="K1424">
        <v>11</v>
      </c>
      <c r="L1424">
        <v>276</v>
      </c>
      <c r="M1424" t="s">
        <v>13</v>
      </c>
    </row>
    <row r="1425" spans="1:13" x14ac:dyDescent="0.3">
      <c r="A1425" s="1">
        <v>43064</v>
      </c>
      <c r="B1425">
        <v>5.33</v>
      </c>
      <c r="C1425">
        <v>6.0759999999999996</v>
      </c>
      <c r="D1425">
        <v>4.0999999999999996</v>
      </c>
      <c r="E1425">
        <v>26.5</v>
      </c>
      <c r="F1425">
        <v>8</v>
      </c>
      <c r="G1425">
        <v>0</v>
      </c>
      <c r="H1425">
        <v>2</v>
      </c>
      <c r="I1425">
        <v>0</v>
      </c>
      <c r="J1425">
        <v>2017</v>
      </c>
      <c r="K1425">
        <v>11</v>
      </c>
      <c r="L1425">
        <v>276</v>
      </c>
      <c r="M1425" t="s">
        <v>14</v>
      </c>
    </row>
    <row r="1426" spans="1:13" x14ac:dyDescent="0.3">
      <c r="A1426" s="1">
        <v>43065</v>
      </c>
      <c r="B1426">
        <v>5.66</v>
      </c>
      <c r="C1426">
        <v>5.7859999999999996</v>
      </c>
      <c r="D1426">
        <v>1</v>
      </c>
      <c r="E1426">
        <v>31.2</v>
      </c>
      <c r="F1426">
        <v>2</v>
      </c>
      <c r="G1426">
        <v>1</v>
      </c>
      <c r="H1426">
        <v>12</v>
      </c>
      <c r="I1426">
        <v>2</v>
      </c>
      <c r="J1426">
        <v>2017</v>
      </c>
      <c r="K1426">
        <v>11</v>
      </c>
      <c r="L1426">
        <v>276</v>
      </c>
      <c r="M1426" t="s">
        <v>15</v>
      </c>
    </row>
    <row r="1427" spans="1:13" x14ac:dyDescent="0.3">
      <c r="A1427" s="1">
        <v>43066</v>
      </c>
      <c r="B1427">
        <v>1.34</v>
      </c>
      <c r="C1427">
        <v>3.67</v>
      </c>
      <c r="D1427">
        <v>6.1</v>
      </c>
      <c r="E1427">
        <v>34.825000000000003</v>
      </c>
      <c r="F1427">
        <v>4</v>
      </c>
      <c r="G1427">
        <v>0</v>
      </c>
      <c r="H1427">
        <v>7</v>
      </c>
      <c r="I1427">
        <v>3</v>
      </c>
      <c r="J1427">
        <v>2017</v>
      </c>
      <c r="K1427">
        <v>11</v>
      </c>
      <c r="L1427">
        <v>276</v>
      </c>
      <c r="M1427" t="s">
        <v>16</v>
      </c>
    </row>
    <row r="1428" spans="1:13" x14ac:dyDescent="0.3">
      <c r="A1428" s="1">
        <v>43067</v>
      </c>
      <c r="B1428">
        <v>5</v>
      </c>
      <c r="C1428">
        <v>1.34</v>
      </c>
      <c r="D1428">
        <v>5.35</v>
      </c>
      <c r="E1428">
        <v>40.6</v>
      </c>
      <c r="F1428">
        <v>5</v>
      </c>
      <c r="G1428">
        <v>3</v>
      </c>
      <c r="H1428">
        <v>8</v>
      </c>
      <c r="I1428">
        <v>3</v>
      </c>
      <c r="J1428">
        <v>2017</v>
      </c>
      <c r="K1428">
        <v>11</v>
      </c>
      <c r="L1428">
        <v>276</v>
      </c>
      <c r="M1428" t="s">
        <v>17</v>
      </c>
    </row>
    <row r="1429" spans="1:13" x14ac:dyDescent="0.3">
      <c r="A1429" s="1">
        <v>43068</v>
      </c>
      <c r="B1429">
        <v>6.34</v>
      </c>
      <c r="C1429">
        <v>2.3969999999999998</v>
      </c>
      <c r="D1429">
        <v>4.0999999999999996</v>
      </c>
      <c r="E1429">
        <v>32.6</v>
      </c>
      <c r="F1429">
        <v>7</v>
      </c>
      <c r="G1429">
        <v>0</v>
      </c>
      <c r="H1429">
        <v>5</v>
      </c>
      <c r="I1429">
        <v>3</v>
      </c>
      <c r="J1429">
        <v>2017</v>
      </c>
      <c r="K1429">
        <v>11</v>
      </c>
      <c r="L1429">
        <v>276</v>
      </c>
      <c r="M1429" t="s">
        <v>18</v>
      </c>
    </row>
    <row r="1430" spans="1:13" x14ac:dyDescent="0.3">
      <c r="A1430" s="1">
        <v>43069</v>
      </c>
      <c r="B1430">
        <v>5.67</v>
      </c>
      <c r="C1430">
        <v>1.3959999999999999</v>
      </c>
      <c r="D1430">
        <v>3</v>
      </c>
      <c r="E1430">
        <v>30</v>
      </c>
      <c r="F1430">
        <v>2</v>
      </c>
      <c r="G1430">
        <v>0</v>
      </c>
      <c r="H1430">
        <v>9</v>
      </c>
      <c r="I1430">
        <v>3</v>
      </c>
      <c r="J1430">
        <v>2017</v>
      </c>
      <c r="K1430">
        <v>11</v>
      </c>
      <c r="L1430">
        <v>276</v>
      </c>
      <c r="M1430" t="s">
        <v>12</v>
      </c>
    </row>
    <row r="1431" spans="1:13" x14ac:dyDescent="0.3">
      <c r="A1431" s="1">
        <v>43070</v>
      </c>
      <c r="B1431">
        <v>10.33</v>
      </c>
      <c r="C1431">
        <v>7.66</v>
      </c>
      <c r="D1431">
        <v>1</v>
      </c>
      <c r="E1431">
        <v>25.4</v>
      </c>
      <c r="F1431">
        <v>3</v>
      </c>
      <c r="G1431">
        <v>0</v>
      </c>
      <c r="H1431">
        <v>5</v>
      </c>
      <c r="I1431">
        <v>2</v>
      </c>
      <c r="J1431">
        <v>2017</v>
      </c>
      <c r="K1431">
        <v>12</v>
      </c>
      <c r="L1431">
        <v>276</v>
      </c>
      <c r="M1431" t="s">
        <v>13</v>
      </c>
    </row>
    <row r="1432" spans="1:13" x14ac:dyDescent="0.3">
      <c r="A1432" s="1">
        <v>43071</v>
      </c>
      <c r="B1432">
        <v>4.33</v>
      </c>
      <c r="C1432">
        <v>3.67</v>
      </c>
      <c r="D1432">
        <v>5</v>
      </c>
      <c r="E1432">
        <v>22</v>
      </c>
      <c r="F1432">
        <v>11</v>
      </c>
      <c r="G1432">
        <v>0</v>
      </c>
      <c r="H1432">
        <v>0</v>
      </c>
      <c r="I1432">
        <v>1.5</v>
      </c>
      <c r="J1432">
        <v>2017</v>
      </c>
      <c r="K1432">
        <v>12</v>
      </c>
      <c r="L1432">
        <v>276</v>
      </c>
      <c r="M1432" t="s">
        <v>14</v>
      </c>
    </row>
    <row r="1433" spans="1:13" x14ac:dyDescent="0.3">
      <c r="A1433" s="1">
        <v>43072</v>
      </c>
      <c r="B1433">
        <v>5.33</v>
      </c>
      <c r="C1433">
        <v>6.0229999999999997</v>
      </c>
      <c r="D1433">
        <v>3</v>
      </c>
      <c r="E1433">
        <v>33.4</v>
      </c>
      <c r="F1433">
        <v>3</v>
      </c>
      <c r="G1433">
        <v>0</v>
      </c>
      <c r="H1433">
        <v>6</v>
      </c>
      <c r="I1433">
        <v>2</v>
      </c>
      <c r="J1433">
        <v>2017</v>
      </c>
      <c r="K1433">
        <v>12</v>
      </c>
      <c r="L1433">
        <v>276</v>
      </c>
      <c r="M1433" t="s">
        <v>15</v>
      </c>
    </row>
    <row r="1434" spans="1:13" x14ac:dyDescent="0.3">
      <c r="A1434" s="1">
        <v>43073</v>
      </c>
      <c r="B1434">
        <v>1</v>
      </c>
      <c r="C1434">
        <v>2.363</v>
      </c>
      <c r="D1434">
        <v>4</v>
      </c>
      <c r="E1434">
        <v>15.6</v>
      </c>
      <c r="F1434">
        <v>3</v>
      </c>
      <c r="G1434">
        <v>0</v>
      </c>
      <c r="H1434">
        <v>13</v>
      </c>
      <c r="I1434">
        <v>3</v>
      </c>
      <c r="J1434">
        <v>2017</v>
      </c>
      <c r="K1434">
        <v>12</v>
      </c>
      <c r="L1434">
        <v>276</v>
      </c>
      <c r="M1434" t="s">
        <v>16</v>
      </c>
    </row>
    <row r="1435" spans="1:13" x14ac:dyDescent="0.3">
      <c r="A1435" s="1">
        <v>43074</v>
      </c>
      <c r="B1435">
        <v>3.68</v>
      </c>
      <c r="C1435">
        <v>3.165</v>
      </c>
      <c r="D1435">
        <v>4.05</v>
      </c>
      <c r="E1435">
        <v>17.100000000000001</v>
      </c>
      <c r="F1435">
        <v>1</v>
      </c>
      <c r="G1435">
        <v>0</v>
      </c>
      <c r="H1435">
        <v>6</v>
      </c>
      <c r="I1435">
        <v>2</v>
      </c>
      <c r="J1435">
        <v>2017</v>
      </c>
      <c r="K1435">
        <v>12</v>
      </c>
      <c r="L1435">
        <v>276</v>
      </c>
      <c r="M1435" t="s">
        <v>17</v>
      </c>
    </row>
    <row r="1436" spans="1:13" x14ac:dyDescent="0.3">
      <c r="A1436" s="1">
        <v>43075</v>
      </c>
      <c r="B1436">
        <v>4</v>
      </c>
      <c r="C1436">
        <v>4.3959999999999999</v>
      </c>
      <c r="D1436">
        <v>2.1</v>
      </c>
      <c r="E1436">
        <v>29.2</v>
      </c>
      <c r="F1436">
        <v>12</v>
      </c>
      <c r="G1436">
        <v>0</v>
      </c>
      <c r="H1436">
        <v>6</v>
      </c>
      <c r="I1436">
        <v>1</v>
      </c>
      <c r="J1436">
        <v>2017</v>
      </c>
      <c r="K1436">
        <v>12</v>
      </c>
      <c r="L1436">
        <v>276</v>
      </c>
      <c r="M1436" t="s">
        <v>18</v>
      </c>
    </row>
    <row r="1437" spans="1:13" x14ac:dyDescent="0.3">
      <c r="A1437" s="1">
        <v>43076</v>
      </c>
      <c r="B1437">
        <v>3</v>
      </c>
      <c r="C1437">
        <v>2.66</v>
      </c>
      <c r="D1437">
        <v>5.45</v>
      </c>
      <c r="E1437">
        <v>24.9</v>
      </c>
      <c r="F1437">
        <v>8</v>
      </c>
      <c r="G1437">
        <v>0</v>
      </c>
      <c r="H1437">
        <v>7</v>
      </c>
      <c r="I1437">
        <v>1</v>
      </c>
      <c r="J1437">
        <v>2017</v>
      </c>
      <c r="K1437">
        <v>12</v>
      </c>
      <c r="L1437">
        <v>276</v>
      </c>
      <c r="M1437" t="s">
        <v>12</v>
      </c>
    </row>
    <row r="1438" spans="1:13" x14ac:dyDescent="0.3">
      <c r="A1438" s="1">
        <v>43077</v>
      </c>
      <c r="B1438">
        <v>5.33</v>
      </c>
      <c r="C1438">
        <v>2.5099999999999998</v>
      </c>
      <c r="D1438">
        <v>3.5</v>
      </c>
      <c r="E1438">
        <v>44.2</v>
      </c>
      <c r="F1438">
        <v>5</v>
      </c>
      <c r="G1438">
        <v>1</v>
      </c>
      <c r="H1438">
        <v>7</v>
      </c>
      <c r="I1438">
        <v>2</v>
      </c>
      <c r="J1438">
        <v>2017</v>
      </c>
      <c r="K1438">
        <v>12</v>
      </c>
      <c r="L1438">
        <v>276</v>
      </c>
      <c r="M1438" t="s">
        <v>13</v>
      </c>
    </row>
    <row r="1439" spans="1:13" x14ac:dyDescent="0.3">
      <c r="A1439" s="1">
        <v>43078</v>
      </c>
      <c r="B1439">
        <v>5</v>
      </c>
      <c r="C1439">
        <v>2.17</v>
      </c>
      <c r="D1439">
        <v>5.4</v>
      </c>
      <c r="E1439">
        <v>36.6</v>
      </c>
      <c r="F1439">
        <v>14</v>
      </c>
      <c r="G1439">
        <v>0</v>
      </c>
      <c r="H1439">
        <v>7</v>
      </c>
      <c r="I1439">
        <v>2</v>
      </c>
      <c r="J1439">
        <v>2017</v>
      </c>
      <c r="K1439">
        <v>12</v>
      </c>
      <c r="L1439">
        <v>276</v>
      </c>
      <c r="M1439" t="s">
        <v>14</v>
      </c>
    </row>
    <row r="1440" spans="1:13" x14ac:dyDescent="0.3">
      <c r="A1440" s="1">
        <v>43079</v>
      </c>
      <c r="B1440">
        <v>5</v>
      </c>
      <c r="C1440">
        <v>2.802</v>
      </c>
      <c r="D1440">
        <v>5</v>
      </c>
      <c r="E1440">
        <v>48</v>
      </c>
      <c r="F1440">
        <v>7</v>
      </c>
      <c r="G1440">
        <v>0</v>
      </c>
      <c r="H1440">
        <v>18</v>
      </c>
      <c r="I1440">
        <v>2</v>
      </c>
      <c r="J1440">
        <v>2017</v>
      </c>
      <c r="K1440">
        <v>12</v>
      </c>
      <c r="L1440">
        <v>276</v>
      </c>
      <c r="M1440" t="s">
        <v>15</v>
      </c>
    </row>
    <row r="1441" spans="1:13" x14ac:dyDescent="0.3">
      <c r="A1441" s="1">
        <v>43080</v>
      </c>
      <c r="B1441">
        <v>8</v>
      </c>
      <c r="C1441">
        <v>6</v>
      </c>
      <c r="D1441">
        <v>5.5</v>
      </c>
      <c r="E1441">
        <v>34.4</v>
      </c>
      <c r="F1441">
        <v>10</v>
      </c>
      <c r="G1441">
        <v>0</v>
      </c>
      <c r="H1441">
        <v>6</v>
      </c>
      <c r="I1441">
        <v>1</v>
      </c>
      <c r="J1441">
        <v>2017</v>
      </c>
      <c r="K1441">
        <v>12</v>
      </c>
      <c r="L1441">
        <v>276</v>
      </c>
      <c r="M1441" t="s">
        <v>16</v>
      </c>
    </row>
    <row r="1442" spans="1:13" x14ac:dyDescent="0.3">
      <c r="A1442" s="1">
        <v>43081</v>
      </c>
      <c r="B1442">
        <v>1.33</v>
      </c>
      <c r="C1442">
        <v>5.0659999999999998</v>
      </c>
      <c r="D1442">
        <v>3</v>
      </c>
      <c r="E1442">
        <v>44</v>
      </c>
      <c r="F1442">
        <v>6</v>
      </c>
      <c r="G1442">
        <v>1</v>
      </c>
      <c r="H1442">
        <v>12</v>
      </c>
      <c r="I1442">
        <v>2</v>
      </c>
      <c r="J1442">
        <v>2017</v>
      </c>
      <c r="K1442">
        <v>12</v>
      </c>
      <c r="L1442">
        <v>276</v>
      </c>
      <c r="M1442" t="s">
        <v>17</v>
      </c>
    </row>
    <row r="1443" spans="1:13" x14ac:dyDescent="0.3">
      <c r="A1443" s="1">
        <v>43082</v>
      </c>
      <c r="B1443">
        <v>4</v>
      </c>
      <c r="C1443">
        <v>3.34</v>
      </c>
      <c r="D1443">
        <v>2.2999999999999998</v>
      </c>
      <c r="E1443">
        <v>29</v>
      </c>
      <c r="F1443">
        <v>9</v>
      </c>
      <c r="G1443">
        <v>0</v>
      </c>
      <c r="H1443">
        <v>0</v>
      </c>
      <c r="I1443">
        <v>1</v>
      </c>
      <c r="J1443">
        <v>2017</v>
      </c>
      <c r="K1443">
        <v>12</v>
      </c>
      <c r="L1443">
        <v>276</v>
      </c>
      <c r="M1443" t="s">
        <v>18</v>
      </c>
    </row>
    <row r="1444" spans="1:13" x14ac:dyDescent="0.3">
      <c r="A1444" s="1">
        <v>43083</v>
      </c>
      <c r="B1444">
        <v>3</v>
      </c>
      <c r="C1444">
        <v>3</v>
      </c>
      <c r="D1444">
        <v>3</v>
      </c>
      <c r="E1444">
        <v>30</v>
      </c>
      <c r="F1444">
        <v>5</v>
      </c>
      <c r="G1444">
        <v>0</v>
      </c>
      <c r="H1444">
        <v>0</v>
      </c>
      <c r="I1444">
        <v>3</v>
      </c>
      <c r="J1444">
        <v>2017</v>
      </c>
      <c r="K1444">
        <v>12</v>
      </c>
      <c r="L1444">
        <v>276</v>
      </c>
      <c r="M1444" t="s">
        <v>12</v>
      </c>
    </row>
    <row r="1445" spans="1:13" x14ac:dyDescent="0.3">
      <c r="A1445" s="1">
        <v>43084</v>
      </c>
      <c r="B1445">
        <v>4.18</v>
      </c>
      <c r="C1445">
        <v>5.01</v>
      </c>
      <c r="D1445">
        <v>2.5</v>
      </c>
      <c r="E1445">
        <v>29</v>
      </c>
      <c r="F1445">
        <v>6</v>
      </c>
      <c r="G1445">
        <v>0</v>
      </c>
      <c r="H1445">
        <v>0</v>
      </c>
      <c r="I1445">
        <v>1</v>
      </c>
      <c r="J1445">
        <v>2017</v>
      </c>
      <c r="K1445">
        <v>12</v>
      </c>
      <c r="L1445">
        <v>276</v>
      </c>
      <c r="M1445" t="s">
        <v>13</v>
      </c>
    </row>
    <row r="1446" spans="1:13" x14ac:dyDescent="0.3">
      <c r="A1446" s="1">
        <v>43085</v>
      </c>
      <c r="B1446">
        <v>11</v>
      </c>
      <c r="C1446">
        <v>6</v>
      </c>
      <c r="D1446">
        <v>3</v>
      </c>
      <c r="E1446">
        <v>36.6</v>
      </c>
      <c r="F1446">
        <v>6</v>
      </c>
      <c r="G1446">
        <v>1</v>
      </c>
      <c r="H1446">
        <v>1</v>
      </c>
      <c r="I1446">
        <v>2</v>
      </c>
      <c r="J1446">
        <v>2017</v>
      </c>
      <c r="K1446">
        <v>12</v>
      </c>
      <c r="L1446">
        <v>276</v>
      </c>
      <c r="M1446" t="s">
        <v>14</v>
      </c>
    </row>
    <row r="1447" spans="1:13" x14ac:dyDescent="0.3">
      <c r="A1447" s="1">
        <v>43086</v>
      </c>
      <c r="B1447">
        <v>7</v>
      </c>
      <c r="C1447">
        <v>0.33</v>
      </c>
      <c r="D1447">
        <v>5.0999999999999996</v>
      </c>
      <c r="E1447">
        <v>37</v>
      </c>
      <c r="F1447">
        <v>11</v>
      </c>
      <c r="G1447">
        <v>0</v>
      </c>
      <c r="H1447">
        <v>15</v>
      </c>
      <c r="I1447">
        <v>2</v>
      </c>
      <c r="J1447">
        <v>2017</v>
      </c>
      <c r="K1447">
        <v>12</v>
      </c>
      <c r="L1447">
        <v>276</v>
      </c>
      <c r="M1447" t="s">
        <v>15</v>
      </c>
    </row>
    <row r="1448" spans="1:13" x14ac:dyDescent="0.3">
      <c r="A1448" s="1">
        <v>43087</v>
      </c>
      <c r="B1448">
        <v>0.66</v>
      </c>
      <c r="C1448">
        <v>4.67</v>
      </c>
      <c r="D1448">
        <v>6</v>
      </c>
      <c r="E1448">
        <v>31.6</v>
      </c>
      <c r="F1448">
        <v>7</v>
      </c>
      <c r="G1448">
        <v>0</v>
      </c>
      <c r="H1448">
        <v>8</v>
      </c>
      <c r="I1448">
        <v>0</v>
      </c>
      <c r="J1448">
        <v>2017</v>
      </c>
      <c r="K1448">
        <v>12</v>
      </c>
      <c r="L1448">
        <v>276</v>
      </c>
      <c r="M1448" t="s">
        <v>16</v>
      </c>
    </row>
    <row r="1449" spans="1:13" x14ac:dyDescent="0.3">
      <c r="A1449" s="1">
        <v>43088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2017</v>
      </c>
      <c r="K1449">
        <v>12</v>
      </c>
      <c r="L1449">
        <v>276</v>
      </c>
      <c r="M1449" t="s">
        <v>17</v>
      </c>
    </row>
    <row r="1450" spans="1:13" x14ac:dyDescent="0.3">
      <c r="A1450" s="1">
        <v>43089</v>
      </c>
      <c r="B1450">
        <v>2</v>
      </c>
      <c r="C1450">
        <v>3.3959999999999999</v>
      </c>
      <c r="D1450">
        <v>3</v>
      </c>
      <c r="E1450">
        <v>27.2</v>
      </c>
      <c r="F1450">
        <v>3</v>
      </c>
      <c r="G1450">
        <v>0</v>
      </c>
      <c r="H1450">
        <v>11</v>
      </c>
      <c r="I1450">
        <v>2</v>
      </c>
      <c r="J1450">
        <v>2017</v>
      </c>
      <c r="K1450">
        <v>12</v>
      </c>
      <c r="L1450">
        <v>276</v>
      </c>
      <c r="M1450" t="s">
        <v>18</v>
      </c>
    </row>
    <row r="1451" spans="1:13" x14ac:dyDescent="0.3">
      <c r="A1451" s="1">
        <v>43090</v>
      </c>
      <c r="B1451">
        <v>2.02</v>
      </c>
      <c r="C1451">
        <v>2.66</v>
      </c>
      <c r="D1451">
        <v>4</v>
      </c>
      <c r="E1451">
        <v>23.4</v>
      </c>
      <c r="F1451">
        <v>5</v>
      </c>
      <c r="G1451">
        <v>0</v>
      </c>
      <c r="H1451">
        <v>6</v>
      </c>
      <c r="I1451">
        <v>0</v>
      </c>
      <c r="J1451">
        <v>2017</v>
      </c>
      <c r="K1451">
        <v>12</v>
      </c>
      <c r="L1451">
        <v>276</v>
      </c>
      <c r="M1451" t="s">
        <v>12</v>
      </c>
    </row>
    <row r="1452" spans="1:13" x14ac:dyDescent="0.3">
      <c r="A1452" s="1">
        <v>43091</v>
      </c>
      <c r="B1452">
        <v>5.99</v>
      </c>
      <c r="C1452">
        <v>2.7690000000000001</v>
      </c>
      <c r="D1452">
        <v>1.5</v>
      </c>
      <c r="E1452">
        <v>26</v>
      </c>
      <c r="F1452">
        <v>13</v>
      </c>
      <c r="G1452">
        <v>0</v>
      </c>
      <c r="H1452">
        <v>1</v>
      </c>
      <c r="I1452">
        <v>1.6</v>
      </c>
      <c r="J1452">
        <v>2017</v>
      </c>
      <c r="K1452">
        <v>12</v>
      </c>
      <c r="L1452">
        <v>276</v>
      </c>
      <c r="M1452" t="s">
        <v>13</v>
      </c>
    </row>
    <row r="1453" spans="1:13" x14ac:dyDescent="0.3">
      <c r="A1453" s="1">
        <v>43092</v>
      </c>
      <c r="B1453">
        <v>6</v>
      </c>
      <c r="C1453">
        <v>4.5049999999999999</v>
      </c>
      <c r="D1453">
        <v>6.1</v>
      </c>
      <c r="E1453">
        <v>28.3</v>
      </c>
      <c r="F1453">
        <v>6</v>
      </c>
      <c r="G1453">
        <v>0</v>
      </c>
      <c r="H1453">
        <v>1</v>
      </c>
      <c r="I1453">
        <v>1</v>
      </c>
      <c r="J1453">
        <v>2017</v>
      </c>
      <c r="K1453">
        <v>12</v>
      </c>
      <c r="L1453">
        <v>276</v>
      </c>
      <c r="M1453" t="s">
        <v>14</v>
      </c>
    </row>
    <row r="1454" spans="1:13" x14ac:dyDescent="0.3">
      <c r="A1454" s="1">
        <v>43093</v>
      </c>
      <c r="B1454">
        <v>7.66</v>
      </c>
      <c r="C1454">
        <v>3.46</v>
      </c>
      <c r="D1454">
        <v>2</v>
      </c>
      <c r="E1454">
        <v>32.200000000000003</v>
      </c>
      <c r="F1454">
        <v>4</v>
      </c>
      <c r="G1454">
        <v>0</v>
      </c>
      <c r="H1454">
        <v>5</v>
      </c>
      <c r="I1454">
        <v>1</v>
      </c>
      <c r="J1454">
        <v>2017</v>
      </c>
      <c r="K1454">
        <v>12</v>
      </c>
      <c r="L1454">
        <v>276</v>
      </c>
      <c r="M1454" t="s">
        <v>15</v>
      </c>
    </row>
    <row r="1455" spans="1:13" x14ac:dyDescent="0.3">
      <c r="A1455" s="1">
        <v>43094</v>
      </c>
      <c r="B1455">
        <v>1</v>
      </c>
      <c r="C1455">
        <v>0.62</v>
      </c>
      <c r="D1455">
        <v>4.0999999999999996</v>
      </c>
      <c r="E1455">
        <v>15.53</v>
      </c>
      <c r="F1455">
        <v>4</v>
      </c>
      <c r="G1455">
        <v>0</v>
      </c>
      <c r="H1455">
        <v>6</v>
      </c>
      <c r="I1455">
        <v>2</v>
      </c>
      <c r="J1455">
        <v>2017</v>
      </c>
      <c r="K1455">
        <v>12</v>
      </c>
      <c r="L1455">
        <v>276</v>
      </c>
      <c r="M1455" t="s">
        <v>16</v>
      </c>
    </row>
    <row r="1456" spans="1:13" x14ac:dyDescent="0.3">
      <c r="A1456" s="1">
        <v>43095</v>
      </c>
      <c r="B1456">
        <v>2.99</v>
      </c>
      <c r="C1456">
        <v>4.67</v>
      </c>
      <c r="D1456">
        <v>3.5</v>
      </c>
      <c r="E1456">
        <v>56.9</v>
      </c>
      <c r="F1456">
        <v>9</v>
      </c>
      <c r="G1456">
        <v>0</v>
      </c>
      <c r="H1456">
        <v>9</v>
      </c>
      <c r="I1456">
        <v>2</v>
      </c>
      <c r="J1456">
        <v>2017</v>
      </c>
      <c r="K1456">
        <v>12</v>
      </c>
      <c r="L1456">
        <v>276</v>
      </c>
      <c r="M1456" t="s">
        <v>17</v>
      </c>
    </row>
    <row r="1457" spans="1:13" x14ac:dyDescent="0.3">
      <c r="A1457" s="1">
        <v>43096</v>
      </c>
      <c r="B1457">
        <v>7</v>
      </c>
      <c r="C1457">
        <v>4.8140000000000001</v>
      </c>
      <c r="D1457">
        <v>5.15</v>
      </c>
      <c r="E1457">
        <v>32.700000000000003</v>
      </c>
      <c r="F1457">
        <v>9</v>
      </c>
      <c r="G1457">
        <v>0</v>
      </c>
      <c r="H1457">
        <v>3</v>
      </c>
      <c r="I1457">
        <v>0</v>
      </c>
      <c r="J1457">
        <v>2017</v>
      </c>
      <c r="K1457">
        <v>12</v>
      </c>
      <c r="L1457">
        <v>276</v>
      </c>
      <c r="M1457" t="s">
        <v>18</v>
      </c>
    </row>
    <row r="1458" spans="1:13" x14ac:dyDescent="0.3">
      <c r="A1458" s="1">
        <v>43097</v>
      </c>
      <c r="B1458">
        <v>7.33</v>
      </c>
      <c r="C1458">
        <v>3.4620000000000002</v>
      </c>
      <c r="D1458">
        <v>5.0999999999999996</v>
      </c>
      <c r="E1458">
        <v>35.35</v>
      </c>
      <c r="F1458">
        <v>12</v>
      </c>
      <c r="G1458">
        <v>3</v>
      </c>
      <c r="H1458">
        <v>24</v>
      </c>
      <c r="I1458">
        <v>1</v>
      </c>
      <c r="J1458">
        <v>2017</v>
      </c>
      <c r="K1458">
        <v>12</v>
      </c>
      <c r="L1458">
        <v>276</v>
      </c>
      <c r="M1458" t="s">
        <v>12</v>
      </c>
    </row>
    <row r="1459" spans="1:13" x14ac:dyDescent="0.3">
      <c r="A1459" s="1">
        <v>43098</v>
      </c>
      <c r="B1459">
        <v>9.34</v>
      </c>
      <c r="C1459">
        <v>2.0659999999999998</v>
      </c>
      <c r="D1459">
        <v>2.5</v>
      </c>
      <c r="E1459">
        <v>41.4</v>
      </c>
      <c r="F1459">
        <v>17</v>
      </c>
      <c r="G1459">
        <v>0</v>
      </c>
      <c r="H1459">
        <v>11</v>
      </c>
      <c r="I1459">
        <v>2</v>
      </c>
      <c r="J1459">
        <v>2017</v>
      </c>
      <c r="K1459">
        <v>12</v>
      </c>
      <c r="L1459">
        <v>276</v>
      </c>
      <c r="M1459" t="s">
        <v>13</v>
      </c>
    </row>
    <row r="1460" spans="1:13" x14ac:dyDescent="0.3">
      <c r="A1460" s="1">
        <v>43099</v>
      </c>
      <c r="B1460">
        <v>8.68</v>
      </c>
      <c r="C1460">
        <v>8.3629999999999995</v>
      </c>
      <c r="D1460">
        <v>4</v>
      </c>
      <c r="E1460">
        <v>50</v>
      </c>
      <c r="F1460">
        <v>8</v>
      </c>
      <c r="G1460">
        <v>0</v>
      </c>
      <c r="H1460">
        <v>10</v>
      </c>
      <c r="I1460">
        <v>3</v>
      </c>
      <c r="J1460">
        <v>2017</v>
      </c>
      <c r="K1460">
        <v>12</v>
      </c>
      <c r="L1460">
        <v>276</v>
      </c>
      <c r="M1460" t="s">
        <v>14</v>
      </c>
    </row>
    <row r="1461" spans="1:13" x14ac:dyDescent="0.3">
      <c r="A1461" s="1">
        <v>43100</v>
      </c>
      <c r="B1461">
        <v>13.83</v>
      </c>
      <c r="C1461">
        <v>10.042999999999999</v>
      </c>
      <c r="D1461">
        <v>5.3</v>
      </c>
      <c r="E1461">
        <v>70.2</v>
      </c>
      <c r="F1461">
        <v>9</v>
      </c>
      <c r="G1461">
        <v>0</v>
      </c>
      <c r="H1461">
        <v>0</v>
      </c>
      <c r="I1461">
        <v>1</v>
      </c>
      <c r="J1461">
        <v>2017</v>
      </c>
      <c r="K1461">
        <v>12</v>
      </c>
      <c r="L1461">
        <v>276</v>
      </c>
      <c r="M1461" t="s">
        <v>15</v>
      </c>
    </row>
    <row r="1462" spans="1:13" x14ac:dyDescent="0.3">
      <c r="A1462" s="1">
        <v>43101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2018</v>
      </c>
      <c r="K1462">
        <v>1</v>
      </c>
      <c r="L1462">
        <v>276</v>
      </c>
      <c r="M1462" t="s">
        <v>16</v>
      </c>
    </row>
    <row r="1463" spans="1:13" x14ac:dyDescent="0.3">
      <c r="A1463" s="1">
        <v>43102</v>
      </c>
      <c r="B1463">
        <v>1</v>
      </c>
      <c r="C1463">
        <v>5.33</v>
      </c>
      <c r="D1463">
        <v>2.25</v>
      </c>
      <c r="E1463">
        <v>38</v>
      </c>
      <c r="F1463">
        <v>3</v>
      </c>
      <c r="G1463">
        <v>0</v>
      </c>
      <c r="H1463">
        <v>2</v>
      </c>
      <c r="I1463">
        <v>2</v>
      </c>
      <c r="J1463">
        <v>2018</v>
      </c>
      <c r="K1463">
        <v>1</v>
      </c>
      <c r="L1463">
        <v>276</v>
      </c>
      <c r="M1463" t="s">
        <v>17</v>
      </c>
    </row>
    <row r="1464" spans="1:13" x14ac:dyDescent="0.3">
      <c r="A1464" s="1">
        <v>43103</v>
      </c>
      <c r="B1464">
        <v>4.67</v>
      </c>
      <c r="C1464">
        <v>2.3969999999999998</v>
      </c>
      <c r="D1464">
        <v>3</v>
      </c>
      <c r="E1464">
        <v>54</v>
      </c>
      <c r="F1464">
        <v>4</v>
      </c>
      <c r="G1464">
        <v>0</v>
      </c>
      <c r="H1464">
        <v>10</v>
      </c>
      <c r="I1464">
        <v>3</v>
      </c>
      <c r="J1464">
        <v>2018</v>
      </c>
      <c r="K1464">
        <v>1</v>
      </c>
      <c r="L1464">
        <v>276</v>
      </c>
      <c r="M1464" t="s">
        <v>18</v>
      </c>
    </row>
    <row r="1465" spans="1:13" x14ac:dyDescent="0.3">
      <c r="A1465" s="1">
        <v>43104</v>
      </c>
      <c r="B1465">
        <v>6</v>
      </c>
      <c r="C1465">
        <v>1.099</v>
      </c>
      <c r="D1465">
        <v>1</v>
      </c>
      <c r="E1465">
        <v>39.200000000000003</v>
      </c>
      <c r="F1465">
        <v>9</v>
      </c>
      <c r="G1465">
        <v>0</v>
      </c>
      <c r="H1465">
        <v>1</v>
      </c>
      <c r="I1465">
        <v>2</v>
      </c>
      <c r="J1465">
        <v>2018</v>
      </c>
      <c r="K1465">
        <v>1</v>
      </c>
      <c r="L1465">
        <v>276</v>
      </c>
      <c r="M1465" t="s">
        <v>12</v>
      </c>
    </row>
    <row r="1466" spans="1:13" x14ac:dyDescent="0.3">
      <c r="A1466" s="1">
        <v>43105</v>
      </c>
      <c r="B1466">
        <v>12</v>
      </c>
      <c r="C1466">
        <v>6.8250000000000002</v>
      </c>
      <c r="D1466">
        <v>3</v>
      </c>
      <c r="E1466">
        <v>26</v>
      </c>
      <c r="F1466">
        <v>11</v>
      </c>
      <c r="G1466">
        <v>0</v>
      </c>
      <c r="H1466">
        <v>21</v>
      </c>
      <c r="I1466">
        <v>1</v>
      </c>
      <c r="J1466">
        <v>2018</v>
      </c>
      <c r="K1466">
        <v>1</v>
      </c>
      <c r="L1466">
        <v>276</v>
      </c>
      <c r="M1466" t="s">
        <v>13</v>
      </c>
    </row>
    <row r="1467" spans="1:13" x14ac:dyDescent="0.3">
      <c r="A1467" s="1">
        <v>43106</v>
      </c>
      <c r="B1467">
        <v>4.66</v>
      </c>
      <c r="C1467">
        <v>1.66</v>
      </c>
      <c r="D1467">
        <v>2.2000000000000002</v>
      </c>
      <c r="E1467">
        <v>73</v>
      </c>
      <c r="F1467">
        <v>4</v>
      </c>
      <c r="G1467">
        <v>0</v>
      </c>
      <c r="H1467">
        <v>5</v>
      </c>
      <c r="I1467">
        <v>8</v>
      </c>
      <c r="J1467">
        <v>2018</v>
      </c>
      <c r="K1467">
        <v>1</v>
      </c>
      <c r="L1467">
        <v>276</v>
      </c>
      <c r="M1467" t="s">
        <v>14</v>
      </c>
    </row>
    <row r="1468" spans="1:13" x14ac:dyDescent="0.3">
      <c r="A1468" s="1">
        <v>43107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2018</v>
      </c>
      <c r="K1468">
        <v>1</v>
      </c>
      <c r="L1468">
        <v>276</v>
      </c>
      <c r="M1468" t="s">
        <v>15</v>
      </c>
    </row>
    <row r="1469" spans="1:13" x14ac:dyDescent="0.3">
      <c r="A1469" s="1">
        <v>43108</v>
      </c>
      <c r="B1469">
        <v>2.33</v>
      </c>
      <c r="C1469">
        <v>6.53</v>
      </c>
      <c r="D1469">
        <v>4.2</v>
      </c>
      <c r="E1469">
        <v>29.6</v>
      </c>
      <c r="F1469">
        <v>5</v>
      </c>
      <c r="G1469">
        <v>0</v>
      </c>
      <c r="H1469">
        <v>0</v>
      </c>
      <c r="I1469">
        <v>1</v>
      </c>
      <c r="J1469">
        <v>2018</v>
      </c>
      <c r="K1469">
        <v>1</v>
      </c>
      <c r="L1469">
        <v>276</v>
      </c>
      <c r="M1469" t="s">
        <v>16</v>
      </c>
    </row>
    <row r="1470" spans="1:13" x14ac:dyDescent="0.3">
      <c r="A1470" s="1">
        <v>43109</v>
      </c>
      <c r="B1470">
        <v>5.33</v>
      </c>
      <c r="C1470">
        <v>2.0990000000000002</v>
      </c>
      <c r="D1470">
        <v>5</v>
      </c>
      <c r="E1470">
        <v>33.825000000000003</v>
      </c>
      <c r="F1470">
        <v>9</v>
      </c>
      <c r="G1470">
        <v>6</v>
      </c>
      <c r="H1470">
        <v>10</v>
      </c>
      <c r="I1470">
        <v>1</v>
      </c>
      <c r="J1470">
        <v>2018</v>
      </c>
      <c r="K1470">
        <v>1</v>
      </c>
      <c r="L1470">
        <v>276</v>
      </c>
      <c r="M1470" t="s">
        <v>17</v>
      </c>
    </row>
    <row r="1471" spans="1:13" x14ac:dyDescent="0.3">
      <c r="A1471" s="1">
        <v>43110</v>
      </c>
      <c r="B1471">
        <v>9.33</v>
      </c>
      <c r="C1471">
        <v>7.4059999999999997</v>
      </c>
      <c r="D1471">
        <v>6</v>
      </c>
      <c r="E1471">
        <v>44.5</v>
      </c>
      <c r="F1471">
        <v>12</v>
      </c>
      <c r="G1471">
        <v>0</v>
      </c>
      <c r="H1471">
        <v>6</v>
      </c>
      <c r="I1471">
        <v>2</v>
      </c>
      <c r="J1471">
        <v>2018</v>
      </c>
      <c r="K1471">
        <v>1</v>
      </c>
      <c r="L1471">
        <v>276</v>
      </c>
      <c r="M1471" t="s">
        <v>18</v>
      </c>
    </row>
    <row r="1472" spans="1:13" x14ac:dyDescent="0.3">
      <c r="A1472" s="1">
        <v>43111</v>
      </c>
      <c r="B1472">
        <v>4</v>
      </c>
      <c r="C1472">
        <v>4.33</v>
      </c>
      <c r="D1472">
        <v>5.5</v>
      </c>
      <c r="E1472">
        <v>37.6</v>
      </c>
      <c r="F1472">
        <v>7</v>
      </c>
      <c r="G1472">
        <v>0</v>
      </c>
      <c r="H1472">
        <v>5</v>
      </c>
      <c r="I1472">
        <v>0</v>
      </c>
      <c r="J1472">
        <v>2018</v>
      </c>
      <c r="K1472">
        <v>1</v>
      </c>
      <c r="L1472">
        <v>276</v>
      </c>
      <c r="M1472" t="s">
        <v>12</v>
      </c>
    </row>
    <row r="1473" spans="1:13" x14ac:dyDescent="0.3">
      <c r="A1473" s="1">
        <v>43112</v>
      </c>
      <c r="B1473">
        <v>5.66</v>
      </c>
      <c r="C1473">
        <v>1.33</v>
      </c>
      <c r="D1473">
        <v>3</v>
      </c>
      <c r="E1473">
        <v>42</v>
      </c>
      <c r="F1473">
        <v>11</v>
      </c>
      <c r="G1473">
        <v>0</v>
      </c>
      <c r="H1473">
        <v>10</v>
      </c>
      <c r="I1473">
        <v>0</v>
      </c>
      <c r="J1473">
        <v>2018</v>
      </c>
      <c r="K1473">
        <v>1</v>
      </c>
      <c r="L1473">
        <v>276</v>
      </c>
      <c r="M1473" t="s">
        <v>13</v>
      </c>
    </row>
    <row r="1474" spans="1:13" x14ac:dyDescent="0.3">
      <c r="A1474" s="1">
        <v>43113</v>
      </c>
      <c r="B1474">
        <v>3.5</v>
      </c>
      <c r="C1474">
        <v>3.4950000000000001</v>
      </c>
      <c r="D1474">
        <v>3.2</v>
      </c>
      <c r="E1474">
        <v>32</v>
      </c>
      <c r="F1474">
        <v>6</v>
      </c>
      <c r="G1474">
        <v>0</v>
      </c>
      <c r="H1474">
        <v>8</v>
      </c>
      <c r="I1474">
        <v>1</v>
      </c>
      <c r="J1474">
        <v>2018</v>
      </c>
      <c r="K1474">
        <v>1</v>
      </c>
      <c r="L1474">
        <v>276</v>
      </c>
      <c r="M1474" t="s">
        <v>14</v>
      </c>
    </row>
    <row r="1475" spans="1:13" x14ac:dyDescent="0.3">
      <c r="A1475" s="1">
        <v>43114</v>
      </c>
      <c r="B1475">
        <v>4.33</v>
      </c>
      <c r="C1475">
        <v>5.1550000000000002</v>
      </c>
      <c r="D1475">
        <v>1.2</v>
      </c>
      <c r="E1475">
        <v>36</v>
      </c>
      <c r="F1475">
        <v>2</v>
      </c>
      <c r="G1475">
        <v>0</v>
      </c>
      <c r="H1475">
        <v>5</v>
      </c>
      <c r="I1475">
        <v>1</v>
      </c>
      <c r="J1475">
        <v>2018</v>
      </c>
      <c r="K1475">
        <v>1</v>
      </c>
      <c r="L1475">
        <v>276</v>
      </c>
      <c r="M1475" t="s">
        <v>15</v>
      </c>
    </row>
    <row r="1476" spans="1:13" x14ac:dyDescent="0.3">
      <c r="A1476" s="1">
        <v>43115</v>
      </c>
      <c r="B1476">
        <v>6.99</v>
      </c>
      <c r="C1476">
        <v>2</v>
      </c>
      <c r="D1476">
        <v>5.0999999999999996</v>
      </c>
      <c r="E1476">
        <v>26</v>
      </c>
      <c r="F1476">
        <v>8</v>
      </c>
      <c r="G1476">
        <v>0</v>
      </c>
      <c r="H1476">
        <v>15</v>
      </c>
      <c r="I1476">
        <v>2</v>
      </c>
      <c r="J1476">
        <v>2018</v>
      </c>
      <c r="K1476">
        <v>1</v>
      </c>
      <c r="L1476">
        <v>276</v>
      </c>
      <c r="M1476" t="s">
        <v>16</v>
      </c>
    </row>
    <row r="1477" spans="1:13" x14ac:dyDescent="0.3">
      <c r="A1477" s="1">
        <v>43116</v>
      </c>
      <c r="B1477">
        <v>6.34</v>
      </c>
      <c r="C1477">
        <v>2.67</v>
      </c>
      <c r="D1477">
        <v>3</v>
      </c>
      <c r="E1477">
        <v>18</v>
      </c>
      <c r="F1477">
        <v>2</v>
      </c>
      <c r="G1477">
        <v>0</v>
      </c>
      <c r="H1477">
        <v>8</v>
      </c>
      <c r="I1477">
        <v>0</v>
      </c>
      <c r="J1477">
        <v>2018</v>
      </c>
      <c r="K1477">
        <v>1</v>
      </c>
      <c r="L1477">
        <v>276</v>
      </c>
      <c r="M1477" t="s">
        <v>17</v>
      </c>
    </row>
    <row r="1478" spans="1:13" x14ac:dyDescent="0.3">
      <c r="A1478" s="1">
        <v>43117</v>
      </c>
      <c r="B1478">
        <v>6.67</v>
      </c>
      <c r="C1478">
        <v>2.85</v>
      </c>
      <c r="D1478">
        <v>2</v>
      </c>
      <c r="E1478">
        <v>30.2</v>
      </c>
      <c r="F1478">
        <v>10</v>
      </c>
      <c r="G1478">
        <v>2</v>
      </c>
      <c r="H1478">
        <v>41</v>
      </c>
      <c r="I1478">
        <v>2</v>
      </c>
      <c r="J1478">
        <v>2018</v>
      </c>
      <c r="K1478">
        <v>1</v>
      </c>
      <c r="L1478">
        <v>276</v>
      </c>
      <c r="M1478" t="s">
        <v>18</v>
      </c>
    </row>
    <row r="1479" spans="1:13" x14ac:dyDescent="0.3">
      <c r="A1479" s="1">
        <v>43118</v>
      </c>
      <c r="B1479">
        <v>4.33</v>
      </c>
      <c r="C1479">
        <v>3.726</v>
      </c>
      <c r="D1479">
        <v>4</v>
      </c>
      <c r="E1479">
        <v>58.4</v>
      </c>
      <c r="F1479">
        <v>9</v>
      </c>
      <c r="G1479">
        <v>0</v>
      </c>
      <c r="H1479">
        <v>2</v>
      </c>
      <c r="I1479">
        <v>1</v>
      </c>
      <c r="J1479">
        <v>2018</v>
      </c>
      <c r="K1479">
        <v>1</v>
      </c>
      <c r="L1479">
        <v>276</v>
      </c>
      <c r="M1479" t="s">
        <v>12</v>
      </c>
    </row>
    <row r="1480" spans="1:13" x14ac:dyDescent="0.3">
      <c r="A1480" s="1">
        <v>43119</v>
      </c>
      <c r="B1480">
        <v>6.33</v>
      </c>
      <c r="C1480">
        <v>2.528</v>
      </c>
      <c r="D1480">
        <v>3</v>
      </c>
      <c r="E1480">
        <v>23.4</v>
      </c>
      <c r="F1480">
        <v>12</v>
      </c>
      <c r="G1480">
        <v>0</v>
      </c>
      <c r="H1480">
        <v>3</v>
      </c>
      <c r="I1480">
        <v>1</v>
      </c>
      <c r="J1480">
        <v>2018</v>
      </c>
      <c r="K1480">
        <v>1</v>
      </c>
      <c r="L1480">
        <v>276</v>
      </c>
      <c r="M1480" t="s">
        <v>13</v>
      </c>
    </row>
    <row r="1481" spans="1:13" x14ac:dyDescent="0.3">
      <c r="A1481" s="1">
        <v>43120</v>
      </c>
      <c r="B1481">
        <v>2.66</v>
      </c>
      <c r="C1481">
        <v>2.3199999999999998</v>
      </c>
      <c r="D1481">
        <v>2</v>
      </c>
      <c r="E1481">
        <v>38</v>
      </c>
      <c r="F1481">
        <v>2</v>
      </c>
      <c r="G1481">
        <v>0</v>
      </c>
      <c r="H1481">
        <v>5</v>
      </c>
      <c r="I1481">
        <v>0</v>
      </c>
      <c r="J1481">
        <v>2018</v>
      </c>
      <c r="K1481">
        <v>1</v>
      </c>
      <c r="L1481">
        <v>276</v>
      </c>
      <c r="M1481" t="s">
        <v>14</v>
      </c>
    </row>
    <row r="1482" spans="1:13" x14ac:dyDescent="0.3">
      <c r="A1482" s="1">
        <v>43121</v>
      </c>
      <c r="B1482">
        <v>3.33</v>
      </c>
      <c r="C1482">
        <v>3.53</v>
      </c>
      <c r="D1482">
        <v>3.4</v>
      </c>
      <c r="E1482">
        <v>32.799999999999997</v>
      </c>
      <c r="F1482">
        <v>6</v>
      </c>
      <c r="G1482">
        <v>0</v>
      </c>
      <c r="H1482">
        <v>1</v>
      </c>
      <c r="I1482">
        <v>3.5</v>
      </c>
      <c r="J1482">
        <v>2018</v>
      </c>
      <c r="K1482">
        <v>1</v>
      </c>
      <c r="L1482">
        <v>276</v>
      </c>
      <c r="M1482" t="s">
        <v>15</v>
      </c>
    </row>
    <row r="1483" spans="1:13" x14ac:dyDescent="0.3">
      <c r="A1483" s="1">
        <v>43122</v>
      </c>
      <c r="B1483">
        <v>6</v>
      </c>
      <c r="C1483">
        <v>3.3959999999999999</v>
      </c>
      <c r="D1483">
        <v>6</v>
      </c>
      <c r="E1483">
        <v>29</v>
      </c>
      <c r="F1483">
        <v>5</v>
      </c>
      <c r="G1483">
        <v>0</v>
      </c>
      <c r="H1483">
        <v>6</v>
      </c>
      <c r="I1483">
        <v>1</v>
      </c>
      <c r="J1483">
        <v>2018</v>
      </c>
      <c r="K1483">
        <v>1</v>
      </c>
      <c r="L1483">
        <v>276</v>
      </c>
      <c r="M1483" t="s">
        <v>16</v>
      </c>
    </row>
    <row r="1484" spans="1:13" x14ac:dyDescent="0.3">
      <c r="A1484" s="1">
        <v>43123</v>
      </c>
      <c r="B1484">
        <v>1</v>
      </c>
      <c r="C1484">
        <v>1.0660000000000001</v>
      </c>
      <c r="D1484">
        <v>4.5999999999999996</v>
      </c>
      <c r="E1484">
        <v>38.6</v>
      </c>
      <c r="F1484">
        <v>4</v>
      </c>
      <c r="G1484">
        <v>0</v>
      </c>
      <c r="H1484">
        <v>5</v>
      </c>
      <c r="I1484">
        <v>1</v>
      </c>
      <c r="J1484">
        <v>2018</v>
      </c>
      <c r="K1484">
        <v>1</v>
      </c>
      <c r="L1484">
        <v>276</v>
      </c>
      <c r="M1484" t="s">
        <v>17</v>
      </c>
    </row>
    <row r="1485" spans="1:13" x14ac:dyDescent="0.3">
      <c r="A1485" s="1">
        <v>43124</v>
      </c>
      <c r="B1485">
        <v>7.33</v>
      </c>
      <c r="C1485">
        <v>6.67</v>
      </c>
      <c r="D1485">
        <v>4</v>
      </c>
      <c r="E1485">
        <v>32</v>
      </c>
      <c r="F1485">
        <v>13</v>
      </c>
      <c r="G1485">
        <v>0</v>
      </c>
      <c r="H1485">
        <v>4</v>
      </c>
      <c r="I1485">
        <v>1</v>
      </c>
      <c r="J1485">
        <v>2018</v>
      </c>
      <c r="K1485">
        <v>1</v>
      </c>
      <c r="L1485">
        <v>276</v>
      </c>
      <c r="M1485" t="s">
        <v>18</v>
      </c>
    </row>
    <row r="1486" spans="1:13" x14ac:dyDescent="0.3">
      <c r="A1486" s="1">
        <v>43125</v>
      </c>
      <c r="B1486">
        <v>3.66</v>
      </c>
      <c r="C1486">
        <v>5.1319999999999997</v>
      </c>
      <c r="D1486">
        <v>4.2</v>
      </c>
      <c r="E1486">
        <v>36.799999999999997</v>
      </c>
      <c r="F1486">
        <v>15</v>
      </c>
      <c r="G1486">
        <v>0</v>
      </c>
      <c r="H1486">
        <v>7</v>
      </c>
      <c r="I1486">
        <v>3</v>
      </c>
      <c r="J1486">
        <v>2018</v>
      </c>
      <c r="K1486">
        <v>1</v>
      </c>
      <c r="L1486">
        <v>276</v>
      </c>
      <c r="M1486" t="s">
        <v>12</v>
      </c>
    </row>
    <row r="1487" spans="1:13" x14ac:dyDescent="0.3">
      <c r="A1487" s="1">
        <v>43126</v>
      </c>
      <c r="B1487">
        <v>3</v>
      </c>
      <c r="C1487">
        <v>3.0230000000000001</v>
      </c>
      <c r="D1487">
        <v>0.4</v>
      </c>
      <c r="E1487">
        <v>62.2</v>
      </c>
      <c r="F1487">
        <v>9</v>
      </c>
      <c r="G1487">
        <v>0</v>
      </c>
      <c r="H1487">
        <v>12</v>
      </c>
      <c r="I1487">
        <v>1</v>
      </c>
      <c r="J1487">
        <v>2018</v>
      </c>
      <c r="K1487">
        <v>1</v>
      </c>
      <c r="L1487">
        <v>276</v>
      </c>
      <c r="M1487" t="s">
        <v>13</v>
      </c>
    </row>
    <row r="1488" spans="1:13" x14ac:dyDescent="0.3">
      <c r="A1488" s="1">
        <v>43127</v>
      </c>
      <c r="B1488">
        <v>3.34</v>
      </c>
      <c r="C1488">
        <v>7.33</v>
      </c>
      <c r="D1488">
        <v>3</v>
      </c>
      <c r="E1488">
        <v>52.9</v>
      </c>
      <c r="F1488">
        <v>7</v>
      </c>
      <c r="G1488">
        <v>0</v>
      </c>
      <c r="H1488">
        <v>3</v>
      </c>
      <c r="I1488">
        <v>4</v>
      </c>
      <c r="J1488">
        <v>2018</v>
      </c>
      <c r="K1488">
        <v>1</v>
      </c>
      <c r="L1488">
        <v>276</v>
      </c>
      <c r="M1488" t="s">
        <v>14</v>
      </c>
    </row>
    <row r="1489" spans="1:13" x14ac:dyDescent="0.3">
      <c r="A1489" s="1">
        <v>43128</v>
      </c>
      <c r="B1489">
        <v>1.5</v>
      </c>
      <c r="C1489">
        <v>2.35</v>
      </c>
      <c r="D1489">
        <v>5.65</v>
      </c>
      <c r="E1489">
        <v>55</v>
      </c>
      <c r="F1489">
        <v>11</v>
      </c>
      <c r="G1489">
        <v>0</v>
      </c>
      <c r="H1489">
        <v>10</v>
      </c>
      <c r="I1489">
        <v>2</v>
      </c>
      <c r="J1489">
        <v>2018</v>
      </c>
      <c r="K1489">
        <v>1</v>
      </c>
      <c r="L1489">
        <v>276</v>
      </c>
      <c r="M1489" t="s">
        <v>15</v>
      </c>
    </row>
    <row r="1490" spans="1:13" x14ac:dyDescent="0.3">
      <c r="A1490" s="1">
        <v>43129</v>
      </c>
      <c r="B1490">
        <v>2.33</v>
      </c>
      <c r="C1490">
        <v>4.3630000000000004</v>
      </c>
      <c r="D1490">
        <v>4.25</v>
      </c>
      <c r="E1490">
        <v>47.9</v>
      </c>
      <c r="F1490">
        <v>10</v>
      </c>
      <c r="G1490">
        <v>3</v>
      </c>
      <c r="H1490">
        <v>4</v>
      </c>
      <c r="I1490">
        <v>1</v>
      </c>
      <c r="J1490">
        <v>2018</v>
      </c>
      <c r="K1490">
        <v>1</v>
      </c>
      <c r="L1490">
        <v>276</v>
      </c>
      <c r="M1490" t="s">
        <v>16</v>
      </c>
    </row>
    <row r="1491" spans="1:13" x14ac:dyDescent="0.3">
      <c r="A1491" s="1">
        <v>43130</v>
      </c>
      <c r="B1491">
        <v>4.33</v>
      </c>
      <c r="C1491">
        <v>3.76</v>
      </c>
      <c r="D1491">
        <v>3</v>
      </c>
      <c r="E1491">
        <v>37</v>
      </c>
      <c r="F1491">
        <v>11</v>
      </c>
      <c r="G1491">
        <v>0</v>
      </c>
      <c r="H1491">
        <v>4</v>
      </c>
      <c r="I1491">
        <v>3</v>
      </c>
      <c r="J1491">
        <v>2018</v>
      </c>
      <c r="K1491">
        <v>1</v>
      </c>
      <c r="L1491">
        <v>276</v>
      </c>
      <c r="M1491" t="s">
        <v>17</v>
      </c>
    </row>
    <row r="1492" spans="1:13" x14ac:dyDescent="0.3">
      <c r="A1492" s="1">
        <v>43131</v>
      </c>
      <c r="B1492">
        <v>0.33</v>
      </c>
      <c r="C1492">
        <v>5.0759999999999996</v>
      </c>
      <c r="D1492">
        <v>4</v>
      </c>
      <c r="E1492">
        <v>30.4</v>
      </c>
      <c r="F1492">
        <v>12</v>
      </c>
      <c r="G1492">
        <v>0</v>
      </c>
      <c r="H1492">
        <v>6</v>
      </c>
      <c r="I1492">
        <v>1</v>
      </c>
      <c r="J1492">
        <v>2018</v>
      </c>
      <c r="K1492">
        <v>1</v>
      </c>
      <c r="L1492">
        <v>276</v>
      </c>
      <c r="M1492" t="s">
        <v>18</v>
      </c>
    </row>
    <row r="1493" spans="1:13" x14ac:dyDescent="0.3">
      <c r="A1493" s="1">
        <v>43132</v>
      </c>
      <c r="B1493">
        <v>5.34</v>
      </c>
      <c r="C1493">
        <v>4.33</v>
      </c>
      <c r="D1493">
        <v>6</v>
      </c>
      <c r="E1493">
        <v>30.5</v>
      </c>
      <c r="F1493">
        <v>7</v>
      </c>
      <c r="G1493">
        <v>0</v>
      </c>
      <c r="H1493">
        <v>6</v>
      </c>
      <c r="I1493">
        <v>3</v>
      </c>
      <c r="J1493">
        <v>2018</v>
      </c>
      <c r="K1493">
        <v>2</v>
      </c>
      <c r="L1493">
        <v>276</v>
      </c>
      <c r="M1493" t="s">
        <v>12</v>
      </c>
    </row>
    <row r="1494" spans="1:13" x14ac:dyDescent="0.3">
      <c r="A1494" s="1">
        <v>43133</v>
      </c>
      <c r="B1494">
        <v>2.33</v>
      </c>
      <c r="C1494">
        <v>4.99</v>
      </c>
      <c r="D1494">
        <v>4</v>
      </c>
      <c r="E1494">
        <v>54.6</v>
      </c>
      <c r="F1494">
        <v>6</v>
      </c>
      <c r="G1494">
        <v>0</v>
      </c>
      <c r="H1494">
        <v>6</v>
      </c>
      <c r="I1494">
        <v>4.4000000000000004</v>
      </c>
      <c r="J1494">
        <v>2018</v>
      </c>
      <c r="K1494">
        <v>2</v>
      </c>
      <c r="L1494">
        <v>276</v>
      </c>
      <c r="M1494" t="s">
        <v>13</v>
      </c>
    </row>
    <row r="1495" spans="1:13" x14ac:dyDescent="0.3">
      <c r="A1495" s="1">
        <v>43134</v>
      </c>
      <c r="B1495">
        <v>4.33</v>
      </c>
      <c r="C1495">
        <v>7.13</v>
      </c>
      <c r="D1495">
        <v>3.3</v>
      </c>
      <c r="E1495">
        <v>67.099999999999994</v>
      </c>
      <c r="F1495">
        <v>12</v>
      </c>
      <c r="G1495">
        <v>0</v>
      </c>
      <c r="H1495">
        <v>5</v>
      </c>
      <c r="I1495">
        <v>2</v>
      </c>
      <c r="J1495">
        <v>2018</v>
      </c>
      <c r="K1495">
        <v>2</v>
      </c>
      <c r="L1495">
        <v>276</v>
      </c>
      <c r="M1495" t="s">
        <v>14</v>
      </c>
    </row>
    <row r="1496" spans="1:13" x14ac:dyDescent="0.3">
      <c r="A1496" s="1">
        <v>43135</v>
      </c>
      <c r="B1496">
        <v>7.99</v>
      </c>
      <c r="C1496">
        <v>9.0660000000000007</v>
      </c>
      <c r="D1496">
        <v>2</v>
      </c>
      <c r="E1496">
        <v>50.6</v>
      </c>
      <c r="F1496">
        <v>6</v>
      </c>
      <c r="G1496">
        <v>0</v>
      </c>
      <c r="H1496">
        <v>3</v>
      </c>
      <c r="I1496">
        <v>3</v>
      </c>
      <c r="J1496">
        <v>2018</v>
      </c>
      <c r="K1496">
        <v>2</v>
      </c>
      <c r="L1496">
        <v>276</v>
      </c>
      <c r="M1496" t="s">
        <v>15</v>
      </c>
    </row>
    <row r="1497" spans="1:13" x14ac:dyDescent="0.3">
      <c r="A1497" s="1">
        <v>43136</v>
      </c>
      <c r="B1497">
        <v>7.33</v>
      </c>
      <c r="C1497">
        <v>3.0659999999999998</v>
      </c>
      <c r="D1497">
        <v>3</v>
      </c>
      <c r="E1497">
        <v>53</v>
      </c>
      <c r="F1497">
        <v>18</v>
      </c>
      <c r="G1497">
        <v>0</v>
      </c>
      <c r="H1497">
        <v>6</v>
      </c>
      <c r="I1497">
        <v>0.66</v>
      </c>
      <c r="J1497">
        <v>2018</v>
      </c>
      <c r="K1497">
        <v>2</v>
      </c>
      <c r="L1497">
        <v>276</v>
      </c>
      <c r="M1497" t="s">
        <v>16</v>
      </c>
    </row>
    <row r="1498" spans="1:13" x14ac:dyDescent="0.3">
      <c r="A1498" s="1">
        <v>43137</v>
      </c>
      <c r="B1498">
        <v>4.34</v>
      </c>
      <c r="C1498">
        <v>1.87</v>
      </c>
      <c r="D1498">
        <v>6.85</v>
      </c>
      <c r="E1498">
        <v>51.5</v>
      </c>
      <c r="F1498">
        <v>8</v>
      </c>
      <c r="G1498">
        <v>0</v>
      </c>
      <c r="H1498">
        <v>5</v>
      </c>
      <c r="I1498">
        <v>1</v>
      </c>
      <c r="J1498">
        <v>2018</v>
      </c>
      <c r="K1498">
        <v>2</v>
      </c>
      <c r="L1498">
        <v>276</v>
      </c>
      <c r="M1498" t="s">
        <v>17</v>
      </c>
    </row>
    <row r="1499" spans="1:13" x14ac:dyDescent="0.3">
      <c r="A1499" s="1">
        <v>43138</v>
      </c>
      <c r="B1499">
        <v>4.84</v>
      </c>
      <c r="C1499">
        <v>8.1319999999999997</v>
      </c>
      <c r="D1499">
        <v>3.2</v>
      </c>
      <c r="E1499">
        <v>44.8</v>
      </c>
      <c r="F1499">
        <v>8</v>
      </c>
      <c r="G1499">
        <v>0</v>
      </c>
      <c r="H1499">
        <v>23</v>
      </c>
      <c r="I1499">
        <v>0</v>
      </c>
      <c r="J1499">
        <v>2018</v>
      </c>
      <c r="K1499">
        <v>2</v>
      </c>
      <c r="L1499">
        <v>276</v>
      </c>
      <c r="M1499" t="s">
        <v>18</v>
      </c>
    </row>
    <row r="1500" spans="1:13" x14ac:dyDescent="0.3">
      <c r="A1500" s="1">
        <v>43139</v>
      </c>
      <c r="B1500">
        <v>6.33</v>
      </c>
      <c r="C1500">
        <v>1.34</v>
      </c>
      <c r="D1500">
        <v>3</v>
      </c>
      <c r="E1500">
        <v>47</v>
      </c>
      <c r="F1500">
        <v>7</v>
      </c>
      <c r="G1500">
        <v>0</v>
      </c>
      <c r="H1500">
        <v>1.25</v>
      </c>
      <c r="I1500">
        <v>0</v>
      </c>
      <c r="J1500">
        <v>2018</v>
      </c>
      <c r="K1500">
        <v>2</v>
      </c>
      <c r="L1500">
        <v>276</v>
      </c>
      <c r="M1500" t="s">
        <v>12</v>
      </c>
    </row>
    <row r="1501" spans="1:13" x14ac:dyDescent="0.3">
      <c r="A1501" s="1">
        <v>43140</v>
      </c>
      <c r="B1501">
        <v>3</v>
      </c>
      <c r="C1501">
        <v>3.69</v>
      </c>
      <c r="D1501">
        <v>4.25</v>
      </c>
      <c r="E1501">
        <v>47</v>
      </c>
      <c r="F1501">
        <v>17</v>
      </c>
      <c r="G1501">
        <v>0</v>
      </c>
      <c r="H1501">
        <v>11</v>
      </c>
      <c r="I1501">
        <v>0</v>
      </c>
      <c r="J1501">
        <v>2018</v>
      </c>
      <c r="K1501">
        <v>2</v>
      </c>
      <c r="L1501">
        <v>276</v>
      </c>
      <c r="M1501" t="s">
        <v>13</v>
      </c>
    </row>
    <row r="1502" spans="1:13" x14ac:dyDescent="0.3">
      <c r="A1502" s="1">
        <v>43141</v>
      </c>
      <c r="B1502">
        <v>10.01</v>
      </c>
      <c r="C1502">
        <v>5.2309999999999999</v>
      </c>
      <c r="D1502">
        <v>3.5</v>
      </c>
      <c r="E1502">
        <v>60.4</v>
      </c>
      <c r="F1502">
        <v>6</v>
      </c>
      <c r="G1502">
        <v>0</v>
      </c>
      <c r="H1502">
        <v>15</v>
      </c>
      <c r="I1502">
        <v>3</v>
      </c>
      <c r="J1502">
        <v>2018</v>
      </c>
      <c r="K1502">
        <v>2</v>
      </c>
      <c r="L1502">
        <v>276</v>
      </c>
      <c r="M1502" t="s">
        <v>14</v>
      </c>
    </row>
    <row r="1503" spans="1:13" x14ac:dyDescent="0.3">
      <c r="A1503" s="1">
        <v>43142</v>
      </c>
      <c r="B1503">
        <v>6.33</v>
      </c>
      <c r="C1503">
        <v>5.3959999999999999</v>
      </c>
      <c r="D1503">
        <v>7.8</v>
      </c>
      <c r="E1503">
        <v>63.25</v>
      </c>
      <c r="F1503">
        <v>12</v>
      </c>
      <c r="G1503">
        <v>0</v>
      </c>
      <c r="H1503">
        <v>10</v>
      </c>
      <c r="I1503">
        <v>2</v>
      </c>
      <c r="J1503">
        <v>2018</v>
      </c>
      <c r="K1503">
        <v>2</v>
      </c>
      <c r="L1503">
        <v>276</v>
      </c>
      <c r="M1503" t="s">
        <v>15</v>
      </c>
    </row>
    <row r="1504" spans="1:13" x14ac:dyDescent="0.3">
      <c r="A1504" s="1">
        <v>43143</v>
      </c>
      <c r="B1504">
        <v>8</v>
      </c>
      <c r="C1504">
        <v>4.7690000000000001</v>
      </c>
      <c r="D1504">
        <v>10</v>
      </c>
      <c r="E1504">
        <v>36.299999999999997</v>
      </c>
      <c r="F1504">
        <v>14</v>
      </c>
      <c r="G1504">
        <v>1</v>
      </c>
      <c r="H1504">
        <v>1</v>
      </c>
      <c r="I1504">
        <v>1</v>
      </c>
      <c r="J1504">
        <v>2018</v>
      </c>
      <c r="K1504">
        <v>2</v>
      </c>
      <c r="L1504">
        <v>276</v>
      </c>
      <c r="M1504" t="s">
        <v>16</v>
      </c>
    </row>
    <row r="1505" spans="1:13" x14ac:dyDescent="0.3">
      <c r="A1505" s="1">
        <v>43144</v>
      </c>
      <c r="B1505">
        <v>6</v>
      </c>
      <c r="C1505">
        <v>8.0329999999999995</v>
      </c>
      <c r="D1505">
        <v>5</v>
      </c>
      <c r="E1505">
        <v>17.8</v>
      </c>
      <c r="F1505">
        <v>10</v>
      </c>
      <c r="G1505">
        <v>0</v>
      </c>
      <c r="H1505">
        <v>10</v>
      </c>
      <c r="I1505">
        <v>3</v>
      </c>
      <c r="J1505">
        <v>2018</v>
      </c>
      <c r="K1505">
        <v>2</v>
      </c>
      <c r="L1505">
        <v>276</v>
      </c>
      <c r="M1505" t="s">
        <v>17</v>
      </c>
    </row>
    <row r="1506" spans="1:13" x14ac:dyDescent="0.3">
      <c r="A1506" s="1">
        <v>43145</v>
      </c>
      <c r="B1506">
        <v>1</v>
      </c>
      <c r="C1506">
        <v>6.33</v>
      </c>
      <c r="D1506">
        <v>2.1</v>
      </c>
      <c r="E1506">
        <v>50.3</v>
      </c>
      <c r="F1506">
        <v>15</v>
      </c>
      <c r="G1506">
        <v>0</v>
      </c>
      <c r="H1506">
        <v>14</v>
      </c>
      <c r="I1506">
        <v>0</v>
      </c>
      <c r="J1506">
        <v>2018</v>
      </c>
      <c r="K1506">
        <v>2</v>
      </c>
      <c r="L1506">
        <v>276</v>
      </c>
      <c r="M1506" t="s">
        <v>18</v>
      </c>
    </row>
    <row r="1507" spans="1:13" x14ac:dyDescent="0.3">
      <c r="A1507" s="1">
        <v>43146</v>
      </c>
      <c r="B1507">
        <v>1.5</v>
      </c>
      <c r="C1507">
        <v>6.9450000000000003</v>
      </c>
      <c r="D1507">
        <v>0.85</v>
      </c>
      <c r="E1507">
        <v>74.599999999999994</v>
      </c>
      <c r="F1507">
        <v>6</v>
      </c>
      <c r="G1507">
        <v>0</v>
      </c>
      <c r="H1507">
        <v>10</v>
      </c>
      <c r="I1507">
        <v>0</v>
      </c>
      <c r="J1507">
        <v>2018</v>
      </c>
      <c r="K1507">
        <v>2</v>
      </c>
      <c r="L1507">
        <v>276</v>
      </c>
      <c r="M1507" t="s">
        <v>12</v>
      </c>
    </row>
    <row r="1508" spans="1:13" x14ac:dyDescent="0.3">
      <c r="A1508" s="1">
        <v>43147</v>
      </c>
      <c r="B1508">
        <v>7.68</v>
      </c>
      <c r="C1508">
        <v>7.1749999999999998</v>
      </c>
      <c r="D1508">
        <v>1.2</v>
      </c>
      <c r="E1508">
        <v>65.162000000000006</v>
      </c>
      <c r="F1508">
        <v>10</v>
      </c>
      <c r="G1508">
        <v>0</v>
      </c>
      <c r="H1508">
        <v>0</v>
      </c>
      <c r="I1508">
        <v>1</v>
      </c>
      <c r="J1508">
        <v>2018</v>
      </c>
      <c r="K1508">
        <v>2</v>
      </c>
      <c r="L1508">
        <v>276</v>
      </c>
      <c r="M1508" t="s">
        <v>13</v>
      </c>
    </row>
    <row r="1509" spans="1:13" x14ac:dyDescent="0.3">
      <c r="A1509" s="1">
        <v>43148</v>
      </c>
      <c r="B1509">
        <v>1.33</v>
      </c>
      <c r="C1509">
        <v>3.64</v>
      </c>
      <c r="D1509">
        <v>2</v>
      </c>
      <c r="E1509">
        <v>50.4</v>
      </c>
      <c r="F1509">
        <v>5</v>
      </c>
      <c r="G1509">
        <v>0</v>
      </c>
      <c r="H1509">
        <v>9</v>
      </c>
      <c r="I1509">
        <v>0</v>
      </c>
      <c r="J1509">
        <v>2018</v>
      </c>
      <c r="K1509">
        <v>2</v>
      </c>
      <c r="L1509">
        <v>276</v>
      </c>
      <c r="M1509" t="s">
        <v>14</v>
      </c>
    </row>
    <row r="1510" spans="1:13" x14ac:dyDescent="0.3">
      <c r="A1510" s="1">
        <v>43149</v>
      </c>
      <c r="B1510">
        <v>6</v>
      </c>
      <c r="C1510">
        <v>6.726</v>
      </c>
      <c r="D1510">
        <v>7.55</v>
      </c>
      <c r="E1510">
        <v>44</v>
      </c>
      <c r="F1510">
        <v>2</v>
      </c>
      <c r="G1510">
        <v>0</v>
      </c>
      <c r="H1510">
        <v>4</v>
      </c>
      <c r="I1510">
        <v>1</v>
      </c>
      <c r="J1510">
        <v>2018</v>
      </c>
      <c r="K1510">
        <v>2</v>
      </c>
      <c r="L1510">
        <v>276</v>
      </c>
      <c r="M1510" t="s">
        <v>15</v>
      </c>
    </row>
    <row r="1511" spans="1:13" x14ac:dyDescent="0.3">
      <c r="A1511" s="1">
        <v>43150</v>
      </c>
      <c r="B1511">
        <v>1</v>
      </c>
      <c r="C1511">
        <v>3.34</v>
      </c>
      <c r="D1511">
        <v>1.7</v>
      </c>
      <c r="E1511">
        <v>27</v>
      </c>
      <c r="F1511">
        <v>6</v>
      </c>
      <c r="G1511">
        <v>0</v>
      </c>
      <c r="H1511">
        <v>12</v>
      </c>
      <c r="I1511">
        <v>2</v>
      </c>
      <c r="J1511">
        <v>2018</v>
      </c>
      <c r="K1511">
        <v>2</v>
      </c>
      <c r="L1511">
        <v>276</v>
      </c>
      <c r="M1511" t="s">
        <v>16</v>
      </c>
    </row>
    <row r="1512" spans="1:13" x14ac:dyDescent="0.3">
      <c r="A1512" s="1">
        <v>43151</v>
      </c>
      <c r="B1512">
        <v>4.18</v>
      </c>
      <c r="C1512">
        <v>2.286</v>
      </c>
      <c r="D1512">
        <v>4.2</v>
      </c>
      <c r="E1512">
        <v>30.2</v>
      </c>
      <c r="F1512">
        <v>6</v>
      </c>
      <c r="G1512">
        <v>0</v>
      </c>
      <c r="H1512">
        <v>2</v>
      </c>
      <c r="I1512">
        <v>3</v>
      </c>
      <c r="J1512">
        <v>2018</v>
      </c>
      <c r="K1512">
        <v>2</v>
      </c>
      <c r="L1512">
        <v>276</v>
      </c>
      <c r="M1512" t="s">
        <v>17</v>
      </c>
    </row>
    <row r="1513" spans="1:13" x14ac:dyDescent="0.3">
      <c r="A1513" s="1">
        <v>43152</v>
      </c>
      <c r="B1513">
        <v>1.34</v>
      </c>
      <c r="C1513">
        <v>7.01</v>
      </c>
      <c r="D1513">
        <v>9.5</v>
      </c>
      <c r="E1513">
        <v>27.4</v>
      </c>
      <c r="F1513">
        <v>5</v>
      </c>
      <c r="G1513">
        <v>0</v>
      </c>
      <c r="H1513">
        <v>6</v>
      </c>
      <c r="I1513">
        <v>1</v>
      </c>
      <c r="J1513">
        <v>2018</v>
      </c>
      <c r="K1513">
        <v>2</v>
      </c>
      <c r="L1513">
        <v>276</v>
      </c>
      <c r="M1513" t="s">
        <v>18</v>
      </c>
    </row>
    <row r="1514" spans="1:13" x14ac:dyDescent="0.3">
      <c r="A1514" s="1">
        <v>43153</v>
      </c>
      <c r="B1514">
        <v>5</v>
      </c>
      <c r="C1514">
        <v>6.33</v>
      </c>
      <c r="D1514">
        <v>3.15</v>
      </c>
      <c r="E1514">
        <v>30</v>
      </c>
      <c r="F1514">
        <v>6</v>
      </c>
      <c r="G1514">
        <v>0</v>
      </c>
      <c r="H1514">
        <v>20</v>
      </c>
      <c r="I1514">
        <v>0</v>
      </c>
      <c r="J1514">
        <v>2018</v>
      </c>
      <c r="K1514">
        <v>2</v>
      </c>
      <c r="L1514">
        <v>276</v>
      </c>
      <c r="M1514" t="s">
        <v>12</v>
      </c>
    </row>
    <row r="1515" spans="1:13" x14ac:dyDescent="0.3">
      <c r="A1515" s="1">
        <v>43154</v>
      </c>
      <c r="B1515">
        <v>5.83</v>
      </c>
      <c r="C1515">
        <v>2.9790000000000001</v>
      </c>
      <c r="D1515">
        <v>1</v>
      </c>
      <c r="E1515">
        <v>34.200000000000003</v>
      </c>
      <c r="F1515">
        <v>6</v>
      </c>
      <c r="G1515">
        <v>0</v>
      </c>
      <c r="H1515">
        <v>12</v>
      </c>
      <c r="I1515">
        <v>0</v>
      </c>
      <c r="J1515">
        <v>2018</v>
      </c>
      <c r="K1515">
        <v>2</v>
      </c>
      <c r="L1515">
        <v>276</v>
      </c>
      <c r="M1515" t="s">
        <v>13</v>
      </c>
    </row>
    <row r="1516" spans="1:13" x14ac:dyDescent="0.3">
      <c r="A1516" s="1">
        <v>43155</v>
      </c>
      <c r="B1516">
        <v>8</v>
      </c>
      <c r="C1516">
        <v>5.68</v>
      </c>
      <c r="D1516">
        <v>7</v>
      </c>
      <c r="E1516">
        <v>43.5</v>
      </c>
      <c r="F1516">
        <v>10</v>
      </c>
      <c r="G1516">
        <v>0</v>
      </c>
      <c r="H1516">
        <v>8</v>
      </c>
      <c r="I1516">
        <v>3</v>
      </c>
      <c r="J1516">
        <v>2018</v>
      </c>
      <c r="K1516">
        <v>2</v>
      </c>
      <c r="L1516">
        <v>276</v>
      </c>
      <c r="M1516" t="s">
        <v>14</v>
      </c>
    </row>
    <row r="1517" spans="1:13" x14ac:dyDescent="0.3">
      <c r="A1517" s="1">
        <v>43156</v>
      </c>
      <c r="B1517">
        <v>4</v>
      </c>
      <c r="C1517">
        <v>1.68</v>
      </c>
      <c r="D1517">
        <v>2</v>
      </c>
      <c r="E1517">
        <v>36.799999999999997</v>
      </c>
      <c r="F1517">
        <v>10</v>
      </c>
      <c r="G1517">
        <v>0</v>
      </c>
      <c r="H1517">
        <v>10</v>
      </c>
      <c r="I1517">
        <v>2</v>
      </c>
      <c r="J1517">
        <v>2018</v>
      </c>
      <c r="K1517">
        <v>2</v>
      </c>
      <c r="L1517">
        <v>276</v>
      </c>
      <c r="M1517" t="s">
        <v>15</v>
      </c>
    </row>
    <row r="1518" spans="1:13" x14ac:dyDescent="0.3">
      <c r="A1518" s="1">
        <v>43157</v>
      </c>
      <c r="B1518">
        <v>1</v>
      </c>
      <c r="C1518">
        <v>0.66</v>
      </c>
      <c r="D1518">
        <v>2</v>
      </c>
      <c r="E1518">
        <v>46.6</v>
      </c>
      <c r="F1518">
        <v>9</v>
      </c>
      <c r="G1518">
        <v>0</v>
      </c>
      <c r="H1518">
        <v>7</v>
      </c>
      <c r="I1518">
        <v>1</v>
      </c>
      <c r="J1518">
        <v>2018</v>
      </c>
      <c r="K1518">
        <v>2</v>
      </c>
      <c r="L1518">
        <v>276</v>
      </c>
      <c r="M1518" t="s">
        <v>16</v>
      </c>
    </row>
    <row r="1519" spans="1:13" x14ac:dyDescent="0.3">
      <c r="A1519" s="1">
        <v>43158</v>
      </c>
      <c r="B1519">
        <v>3.33</v>
      </c>
      <c r="C1519">
        <v>2.65</v>
      </c>
      <c r="D1519">
        <v>3.4</v>
      </c>
      <c r="E1519">
        <v>26.7</v>
      </c>
      <c r="F1519">
        <v>20</v>
      </c>
      <c r="G1519">
        <v>9</v>
      </c>
      <c r="H1519">
        <v>8</v>
      </c>
      <c r="I1519">
        <v>1</v>
      </c>
      <c r="J1519">
        <v>2018</v>
      </c>
      <c r="K1519">
        <v>2</v>
      </c>
      <c r="L1519">
        <v>276</v>
      </c>
      <c r="M1519" t="s">
        <v>17</v>
      </c>
    </row>
    <row r="1520" spans="1:13" x14ac:dyDescent="0.3">
      <c r="A1520" s="1">
        <v>43159</v>
      </c>
      <c r="B1520">
        <v>1</v>
      </c>
      <c r="C1520">
        <v>2.33</v>
      </c>
      <c r="D1520">
        <v>5.0999999999999996</v>
      </c>
      <c r="E1520">
        <v>44.661999999999999</v>
      </c>
      <c r="F1520">
        <v>21</v>
      </c>
      <c r="G1520">
        <v>2</v>
      </c>
      <c r="H1520">
        <v>0</v>
      </c>
      <c r="I1520">
        <v>1</v>
      </c>
      <c r="J1520">
        <v>2018</v>
      </c>
      <c r="K1520">
        <v>2</v>
      </c>
      <c r="L1520">
        <v>276</v>
      </c>
      <c r="M1520" t="s">
        <v>18</v>
      </c>
    </row>
    <row r="1521" spans="1:13" x14ac:dyDescent="0.3">
      <c r="A1521" s="1">
        <v>43160</v>
      </c>
      <c r="B1521">
        <v>1</v>
      </c>
      <c r="C1521">
        <v>6.0330000000000004</v>
      </c>
      <c r="D1521">
        <v>1.05</v>
      </c>
      <c r="E1521">
        <v>26.4</v>
      </c>
      <c r="F1521">
        <v>26</v>
      </c>
      <c r="G1521">
        <v>1</v>
      </c>
      <c r="H1521">
        <v>12</v>
      </c>
      <c r="I1521">
        <v>1</v>
      </c>
      <c r="J1521">
        <v>2018</v>
      </c>
      <c r="K1521">
        <v>3</v>
      </c>
      <c r="L1521">
        <v>276</v>
      </c>
      <c r="M1521" t="s">
        <v>12</v>
      </c>
    </row>
    <row r="1522" spans="1:13" x14ac:dyDescent="0.3">
      <c r="A1522" s="1">
        <v>43161</v>
      </c>
      <c r="B1522">
        <v>4</v>
      </c>
      <c r="C1522">
        <v>3</v>
      </c>
      <c r="D1522">
        <v>9.5</v>
      </c>
      <c r="E1522">
        <v>38.4</v>
      </c>
      <c r="F1522">
        <v>24</v>
      </c>
      <c r="G1522">
        <v>3</v>
      </c>
      <c r="H1522">
        <v>17</v>
      </c>
      <c r="I1522">
        <v>5.5</v>
      </c>
      <c r="J1522">
        <v>2018</v>
      </c>
      <c r="K1522">
        <v>3</v>
      </c>
      <c r="L1522">
        <v>276</v>
      </c>
      <c r="M1522" t="s">
        <v>13</v>
      </c>
    </row>
    <row r="1523" spans="1:13" x14ac:dyDescent="0.3">
      <c r="A1523" s="1">
        <v>43162</v>
      </c>
      <c r="B1523">
        <v>8</v>
      </c>
      <c r="C1523">
        <v>2.363</v>
      </c>
      <c r="D1523">
        <v>8.15</v>
      </c>
      <c r="E1523">
        <v>40.186999999999998</v>
      </c>
      <c r="F1523">
        <v>12</v>
      </c>
      <c r="G1523">
        <v>1</v>
      </c>
      <c r="H1523">
        <v>10</v>
      </c>
      <c r="I1523">
        <v>4</v>
      </c>
      <c r="J1523">
        <v>2018</v>
      </c>
      <c r="K1523">
        <v>3</v>
      </c>
      <c r="L1523">
        <v>276</v>
      </c>
      <c r="M1523" t="s">
        <v>14</v>
      </c>
    </row>
    <row r="1524" spans="1:13" x14ac:dyDescent="0.3">
      <c r="A1524" s="1">
        <v>43163</v>
      </c>
      <c r="B1524">
        <v>1</v>
      </c>
      <c r="C1524">
        <v>3.7360000000000002</v>
      </c>
      <c r="D1524">
        <v>4</v>
      </c>
      <c r="E1524">
        <v>33.6</v>
      </c>
      <c r="F1524">
        <v>3</v>
      </c>
      <c r="G1524">
        <v>0</v>
      </c>
      <c r="H1524">
        <v>14</v>
      </c>
      <c r="I1524">
        <v>1</v>
      </c>
      <c r="J1524">
        <v>2018</v>
      </c>
      <c r="K1524">
        <v>3</v>
      </c>
      <c r="L1524">
        <v>276</v>
      </c>
      <c r="M1524" t="s">
        <v>15</v>
      </c>
    </row>
    <row r="1525" spans="1:13" x14ac:dyDescent="0.3">
      <c r="A1525" s="1">
        <v>43164</v>
      </c>
      <c r="B1525">
        <v>4.33</v>
      </c>
      <c r="C1525">
        <v>5.33</v>
      </c>
      <c r="D1525">
        <v>6.1</v>
      </c>
      <c r="E1525">
        <v>25</v>
      </c>
      <c r="F1525">
        <v>6</v>
      </c>
      <c r="G1525">
        <v>0</v>
      </c>
      <c r="H1525">
        <v>17</v>
      </c>
      <c r="I1525">
        <v>1</v>
      </c>
      <c r="J1525">
        <v>2018</v>
      </c>
      <c r="K1525">
        <v>3</v>
      </c>
      <c r="L1525">
        <v>276</v>
      </c>
      <c r="M1525" t="s">
        <v>16</v>
      </c>
    </row>
    <row r="1526" spans="1:13" x14ac:dyDescent="0.3">
      <c r="A1526" s="1">
        <v>43165</v>
      </c>
      <c r="B1526">
        <v>9.5</v>
      </c>
      <c r="C1526">
        <v>6.33</v>
      </c>
      <c r="D1526">
        <v>5.85</v>
      </c>
      <c r="E1526">
        <v>22.2</v>
      </c>
      <c r="F1526">
        <v>22</v>
      </c>
      <c r="G1526">
        <v>8</v>
      </c>
      <c r="H1526">
        <v>2</v>
      </c>
      <c r="I1526">
        <v>1</v>
      </c>
      <c r="J1526">
        <v>2018</v>
      </c>
      <c r="K1526">
        <v>3</v>
      </c>
      <c r="L1526">
        <v>276</v>
      </c>
      <c r="M1526" t="s">
        <v>17</v>
      </c>
    </row>
    <row r="1527" spans="1:13" x14ac:dyDescent="0.3">
      <c r="A1527" s="1">
        <v>43166</v>
      </c>
      <c r="B1527">
        <v>4.5</v>
      </c>
      <c r="C1527">
        <v>1.67</v>
      </c>
      <c r="D1527">
        <v>4</v>
      </c>
      <c r="E1527">
        <v>20.2</v>
      </c>
      <c r="F1527">
        <v>31</v>
      </c>
      <c r="G1527">
        <v>5</v>
      </c>
      <c r="H1527">
        <v>11</v>
      </c>
      <c r="I1527">
        <v>1.4</v>
      </c>
      <c r="J1527">
        <v>2018</v>
      </c>
      <c r="K1527">
        <v>3</v>
      </c>
      <c r="L1527">
        <v>276</v>
      </c>
      <c r="M1527" t="s">
        <v>18</v>
      </c>
    </row>
    <row r="1528" spans="1:13" x14ac:dyDescent="0.3">
      <c r="A1528" s="1">
        <v>43167</v>
      </c>
      <c r="B1528">
        <v>1.33</v>
      </c>
      <c r="C1528">
        <v>2.7690000000000001</v>
      </c>
      <c r="D1528">
        <v>4</v>
      </c>
      <c r="E1528">
        <v>25.8</v>
      </c>
      <c r="F1528">
        <v>10</v>
      </c>
      <c r="G1528">
        <v>0</v>
      </c>
      <c r="H1528">
        <v>0</v>
      </c>
      <c r="I1528">
        <v>4</v>
      </c>
      <c r="J1528">
        <v>2018</v>
      </c>
      <c r="K1528">
        <v>3</v>
      </c>
      <c r="L1528">
        <v>276</v>
      </c>
      <c r="M1528" t="s">
        <v>12</v>
      </c>
    </row>
    <row r="1529" spans="1:13" x14ac:dyDescent="0.3">
      <c r="A1529" s="1">
        <v>43168</v>
      </c>
      <c r="B1529">
        <v>6.33</v>
      </c>
      <c r="C1529">
        <v>2.1800000000000002</v>
      </c>
      <c r="D1529">
        <v>4.2</v>
      </c>
      <c r="E1529">
        <v>41</v>
      </c>
      <c r="F1529">
        <v>11</v>
      </c>
      <c r="G1529">
        <v>1</v>
      </c>
      <c r="H1529">
        <v>10</v>
      </c>
      <c r="I1529">
        <v>0</v>
      </c>
      <c r="J1529">
        <v>2018</v>
      </c>
      <c r="K1529">
        <v>3</v>
      </c>
      <c r="L1529">
        <v>276</v>
      </c>
      <c r="M1529" t="s">
        <v>13</v>
      </c>
    </row>
    <row r="1530" spans="1:13" x14ac:dyDescent="0.3">
      <c r="A1530" s="1">
        <v>43169</v>
      </c>
      <c r="B1530">
        <v>6</v>
      </c>
      <c r="C1530">
        <v>4.109</v>
      </c>
      <c r="D1530">
        <v>4</v>
      </c>
      <c r="E1530">
        <v>21.7</v>
      </c>
      <c r="F1530">
        <v>11</v>
      </c>
      <c r="G1530">
        <v>3</v>
      </c>
      <c r="H1530">
        <v>17</v>
      </c>
      <c r="I1530">
        <v>6</v>
      </c>
      <c r="J1530">
        <v>2018</v>
      </c>
      <c r="K1530">
        <v>3</v>
      </c>
      <c r="L1530">
        <v>276</v>
      </c>
      <c r="M1530" t="s">
        <v>14</v>
      </c>
    </row>
    <row r="1531" spans="1:13" x14ac:dyDescent="0.3">
      <c r="A1531" s="1">
        <v>43170</v>
      </c>
      <c r="B1531">
        <v>4.66</v>
      </c>
      <c r="C1531">
        <v>7.54</v>
      </c>
      <c r="D1531">
        <v>5.6</v>
      </c>
      <c r="E1531">
        <v>68</v>
      </c>
      <c r="F1531">
        <v>0</v>
      </c>
      <c r="G1531">
        <v>0</v>
      </c>
      <c r="H1531">
        <v>11</v>
      </c>
      <c r="I1531">
        <v>3</v>
      </c>
      <c r="J1531">
        <v>2018</v>
      </c>
      <c r="K1531">
        <v>3</v>
      </c>
      <c r="L1531">
        <v>276</v>
      </c>
      <c r="M1531" t="s">
        <v>15</v>
      </c>
    </row>
    <row r="1532" spans="1:13" x14ac:dyDescent="0.3">
      <c r="A1532" s="1">
        <v>43171</v>
      </c>
      <c r="B1532">
        <v>9</v>
      </c>
      <c r="C1532">
        <v>4.3449999999999998</v>
      </c>
      <c r="D1532">
        <v>3</v>
      </c>
      <c r="E1532">
        <v>22.2</v>
      </c>
      <c r="F1532">
        <v>9</v>
      </c>
      <c r="G1532">
        <v>0</v>
      </c>
      <c r="H1532">
        <v>13</v>
      </c>
      <c r="I1532">
        <v>8</v>
      </c>
      <c r="J1532">
        <v>2018</v>
      </c>
      <c r="K1532">
        <v>3</v>
      </c>
      <c r="L1532">
        <v>276</v>
      </c>
      <c r="M1532" t="s">
        <v>16</v>
      </c>
    </row>
    <row r="1533" spans="1:13" x14ac:dyDescent="0.3">
      <c r="A1533" s="1">
        <v>43172</v>
      </c>
      <c r="B1533">
        <v>2</v>
      </c>
      <c r="C1533">
        <v>5.0659999999999998</v>
      </c>
      <c r="D1533">
        <v>5.2</v>
      </c>
      <c r="E1533">
        <v>15.2</v>
      </c>
      <c r="F1533">
        <v>18</v>
      </c>
      <c r="G1533">
        <v>0</v>
      </c>
      <c r="H1533">
        <v>21</v>
      </c>
      <c r="I1533">
        <v>5</v>
      </c>
      <c r="J1533">
        <v>2018</v>
      </c>
      <c r="K1533">
        <v>3</v>
      </c>
      <c r="L1533">
        <v>276</v>
      </c>
      <c r="M1533" t="s">
        <v>17</v>
      </c>
    </row>
    <row r="1534" spans="1:13" x14ac:dyDescent="0.3">
      <c r="A1534" s="1">
        <v>43173</v>
      </c>
      <c r="B1534">
        <v>2.34</v>
      </c>
      <c r="C1534">
        <v>2.34</v>
      </c>
      <c r="D1534">
        <v>0</v>
      </c>
      <c r="E1534">
        <v>31</v>
      </c>
      <c r="F1534">
        <v>14</v>
      </c>
      <c r="G1534">
        <v>2</v>
      </c>
      <c r="H1534">
        <v>8</v>
      </c>
      <c r="I1534">
        <v>4</v>
      </c>
      <c r="J1534">
        <v>2018</v>
      </c>
      <c r="K1534">
        <v>3</v>
      </c>
      <c r="L1534">
        <v>276</v>
      </c>
      <c r="M1534" t="s">
        <v>18</v>
      </c>
    </row>
    <row r="1535" spans="1:13" x14ac:dyDescent="0.3">
      <c r="A1535" s="1">
        <v>43174</v>
      </c>
      <c r="B1535">
        <v>3.34</v>
      </c>
      <c r="C1535">
        <v>2.1320000000000001</v>
      </c>
      <c r="D1535">
        <v>3</v>
      </c>
      <c r="E1535">
        <v>23.9</v>
      </c>
      <c r="F1535">
        <v>10</v>
      </c>
      <c r="G1535">
        <v>0</v>
      </c>
      <c r="H1535">
        <v>10</v>
      </c>
      <c r="I1535">
        <v>0</v>
      </c>
      <c r="J1535">
        <v>2018</v>
      </c>
      <c r="K1535">
        <v>3</v>
      </c>
      <c r="L1535">
        <v>276</v>
      </c>
      <c r="M1535" t="s">
        <v>12</v>
      </c>
    </row>
    <row r="1536" spans="1:13" x14ac:dyDescent="0.3">
      <c r="A1536" s="1">
        <v>43175</v>
      </c>
      <c r="B1536">
        <v>3.33</v>
      </c>
      <c r="C1536">
        <v>3.0659999999999998</v>
      </c>
      <c r="D1536">
        <v>1</v>
      </c>
      <c r="E1536">
        <v>29</v>
      </c>
      <c r="F1536">
        <v>7</v>
      </c>
      <c r="G1536">
        <v>0</v>
      </c>
      <c r="H1536">
        <v>2</v>
      </c>
      <c r="I1536">
        <v>1</v>
      </c>
      <c r="J1536">
        <v>2018</v>
      </c>
      <c r="K1536">
        <v>3</v>
      </c>
      <c r="L1536">
        <v>276</v>
      </c>
      <c r="M1536" t="s">
        <v>13</v>
      </c>
    </row>
    <row r="1537" spans="1:13" x14ac:dyDescent="0.3">
      <c r="A1537" s="1">
        <v>43176</v>
      </c>
      <c r="B1537">
        <v>3.99</v>
      </c>
      <c r="C1537">
        <v>1.66</v>
      </c>
      <c r="D1537">
        <v>3.15</v>
      </c>
      <c r="E1537">
        <v>65</v>
      </c>
      <c r="F1537">
        <v>11</v>
      </c>
      <c r="G1537">
        <v>0</v>
      </c>
      <c r="H1537">
        <v>5</v>
      </c>
      <c r="I1537">
        <v>4</v>
      </c>
      <c r="J1537">
        <v>2018</v>
      </c>
      <c r="K1537">
        <v>3</v>
      </c>
      <c r="L1537">
        <v>276</v>
      </c>
      <c r="M1537" t="s">
        <v>14</v>
      </c>
    </row>
    <row r="1538" spans="1:13" x14ac:dyDescent="0.3">
      <c r="A1538" s="1">
        <v>43177</v>
      </c>
      <c r="B1538">
        <v>7.33</v>
      </c>
      <c r="C1538">
        <v>2.9289999999999998</v>
      </c>
      <c r="D1538">
        <v>4.3</v>
      </c>
      <c r="E1538">
        <v>21.5</v>
      </c>
      <c r="F1538">
        <v>8</v>
      </c>
      <c r="G1538">
        <v>0</v>
      </c>
      <c r="H1538">
        <v>2</v>
      </c>
      <c r="I1538">
        <v>2</v>
      </c>
      <c r="J1538">
        <v>2018</v>
      </c>
      <c r="K1538">
        <v>3</v>
      </c>
      <c r="L1538">
        <v>276</v>
      </c>
      <c r="M1538" t="s">
        <v>15</v>
      </c>
    </row>
    <row r="1539" spans="1:13" x14ac:dyDescent="0.3">
      <c r="A1539" s="1">
        <v>43178</v>
      </c>
      <c r="B1539">
        <v>4.34</v>
      </c>
      <c r="C1539">
        <v>1</v>
      </c>
      <c r="D1539">
        <v>0</v>
      </c>
      <c r="E1539">
        <v>19.600000000000001</v>
      </c>
      <c r="F1539">
        <v>11</v>
      </c>
      <c r="G1539">
        <v>2</v>
      </c>
      <c r="H1539">
        <v>18</v>
      </c>
      <c r="I1539">
        <v>1</v>
      </c>
      <c r="J1539">
        <v>2018</v>
      </c>
      <c r="K1539">
        <v>3</v>
      </c>
      <c r="L1539">
        <v>276</v>
      </c>
      <c r="M1539" t="s">
        <v>16</v>
      </c>
    </row>
    <row r="1540" spans="1:13" x14ac:dyDescent="0.3">
      <c r="A1540" s="1">
        <v>43179</v>
      </c>
      <c r="B1540">
        <v>2.67</v>
      </c>
      <c r="C1540">
        <v>3.67</v>
      </c>
      <c r="D1540">
        <v>9</v>
      </c>
      <c r="E1540">
        <v>48.6</v>
      </c>
      <c r="F1540">
        <v>7</v>
      </c>
      <c r="G1540">
        <v>0</v>
      </c>
      <c r="H1540">
        <v>15</v>
      </c>
      <c r="I1540">
        <v>5</v>
      </c>
      <c r="J1540">
        <v>2018</v>
      </c>
      <c r="K1540">
        <v>3</v>
      </c>
      <c r="L1540">
        <v>276</v>
      </c>
      <c r="M1540" t="s">
        <v>17</v>
      </c>
    </row>
    <row r="1541" spans="1:13" x14ac:dyDescent="0.3">
      <c r="A1541" s="1">
        <v>43180</v>
      </c>
      <c r="B1541">
        <v>2</v>
      </c>
      <c r="C1541">
        <v>2</v>
      </c>
      <c r="D1541">
        <v>2</v>
      </c>
      <c r="E1541">
        <v>27</v>
      </c>
      <c r="F1541">
        <v>4</v>
      </c>
      <c r="G1541">
        <v>0</v>
      </c>
      <c r="H1541">
        <v>9</v>
      </c>
      <c r="I1541">
        <v>0</v>
      </c>
      <c r="J1541">
        <v>2018</v>
      </c>
      <c r="K1541">
        <v>3</v>
      </c>
      <c r="L1541">
        <v>276</v>
      </c>
      <c r="M1541" t="s">
        <v>18</v>
      </c>
    </row>
    <row r="1542" spans="1:13" x14ac:dyDescent="0.3">
      <c r="A1542" s="1">
        <v>43181</v>
      </c>
      <c r="B1542">
        <v>3</v>
      </c>
      <c r="C1542">
        <v>3.67</v>
      </c>
      <c r="D1542">
        <v>1.55</v>
      </c>
      <c r="E1542">
        <v>24.6</v>
      </c>
      <c r="F1542">
        <v>4</v>
      </c>
      <c r="G1542">
        <v>0</v>
      </c>
      <c r="H1542">
        <v>0</v>
      </c>
      <c r="I1542">
        <v>1</v>
      </c>
      <c r="J1542">
        <v>2018</v>
      </c>
      <c r="K1542">
        <v>3</v>
      </c>
      <c r="L1542">
        <v>276</v>
      </c>
      <c r="M1542" t="s">
        <v>12</v>
      </c>
    </row>
    <row r="1543" spans="1:13" x14ac:dyDescent="0.3">
      <c r="A1543" s="1">
        <v>43182</v>
      </c>
      <c r="B1543">
        <v>5</v>
      </c>
      <c r="C1543">
        <v>5.3959999999999999</v>
      </c>
      <c r="D1543">
        <v>5.15</v>
      </c>
      <c r="E1543">
        <v>34</v>
      </c>
      <c r="F1543">
        <v>8</v>
      </c>
      <c r="G1543">
        <v>0</v>
      </c>
      <c r="H1543">
        <v>11</v>
      </c>
      <c r="I1543">
        <v>8.5</v>
      </c>
      <c r="J1543">
        <v>2018</v>
      </c>
      <c r="K1543">
        <v>3</v>
      </c>
      <c r="L1543">
        <v>276</v>
      </c>
      <c r="M1543" t="s">
        <v>13</v>
      </c>
    </row>
    <row r="1544" spans="1:13" x14ac:dyDescent="0.3">
      <c r="A1544" s="1">
        <v>43183</v>
      </c>
      <c r="B1544">
        <v>7</v>
      </c>
      <c r="C1544">
        <v>2.34</v>
      </c>
      <c r="D1544">
        <v>5</v>
      </c>
      <c r="E1544">
        <v>40</v>
      </c>
      <c r="F1544">
        <v>7</v>
      </c>
      <c r="G1544">
        <v>1</v>
      </c>
      <c r="H1544">
        <v>2</v>
      </c>
      <c r="I1544">
        <v>0</v>
      </c>
      <c r="J1544">
        <v>2018</v>
      </c>
      <c r="K1544">
        <v>3</v>
      </c>
      <c r="L1544">
        <v>276</v>
      </c>
      <c r="M1544" t="s">
        <v>14</v>
      </c>
    </row>
    <row r="1545" spans="1:13" x14ac:dyDescent="0.3">
      <c r="A1545" s="1">
        <v>43184</v>
      </c>
      <c r="B1545">
        <v>4</v>
      </c>
      <c r="C1545">
        <v>2.66</v>
      </c>
      <c r="D1545">
        <v>3.2</v>
      </c>
      <c r="E1545">
        <v>47.311999999999998</v>
      </c>
      <c r="F1545">
        <v>9</v>
      </c>
      <c r="G1545">
        <v>0</v>
      </c>
      <c r="H1545">
        <v>3</v>
      </c>
      <c r="I1545">
        <v>2</v>
      </c>
      <c r="J1545">
        <v>2018</v>
      </c>
      <c r="K1545">
        <v>3</v>
      </c>
      <c r="L1545">
        <v>276</v>
      </c>
      <c r="M1545" t="s">
        <v>15</v>
      </c>
    </row>
    <row r="1546" spans="1:13" x14ac:dyDescent="0.3">
      <c r="A1546" s="1">
        <v>43185</v>
      </c>
      <c r="B1546">
        <v>5</v>
      </c>
      <c r="C1546">
        <v>9.66</v>
      </c>
      <c r="D1546">
        <v>0.2</v>
      </c>
      <c r="E1546">
        <v>27.6</v>
      </c>
      <c r="F1546">
        <v>15</v>
      </c>
      <c r="G1546">
        <v>4</v>
      </c>
      <c r="H1546">
        <v>5</v>
      </c>
      <c r="I1546">
        <v>3.3</v>
      </c>
      <c r="J1546">
        <v>2018</v>
      </c>
      <c r="K1546">
        <v>3</v>
      </c>
      <c r="L1546">
        <v>276</v>
      </c>
      <c r="M1546" t="s">
        <v>16</v>
      </c>
    </row>
    <row r="1547" spans="1:13" x14ac:dyDescent="0.3">
      <c r="A1547" s="1">
        <v>43186</v>
      </c>
      <c r="B1547">
        <v>4.34</v>
      </c>
      <c r="C1547">
        <v>3.33</v>
      </c>
      <c r="D1547">
        <v>5.0999999999999996</v>
      </c>
      <c r="E1547">
        <v>28</v>
      </c>
      <c r="F1547">
        <v>14</v>
      </c>
      <c r="G1547">
        <v>1</v>
      </c>
      <c r="H1547">
        <v>5</v>
      </c>
      <c r="I1547">
        <v>2</v>
      </c>
      <c r="J1547">
        <v>2018</v>
      </c>
      <c r="K1547">
        <v>3</v>
      </c>
      <c r="L1547">
        <v>276</v>
      </c>
      <c r="M1547" t="s">
        <v>17</v>
      </c>
    </row>
    <row r="1548" spans="1:13" x14ac:dyDescent="0.3">
      <c r="A1548" s="1">
        <v>43187</v>
      </c>
      <c r="B1548">
        <v>5.5</v>
      </c>
      <c r="C1548">
        <v>1.66</v>
      </c>
      <c r="D1548">
        <v>1</v>
      </c>
      <c r="E1548">
        <v>11.923999999999999</v>
      </c>
      <c r="F1548">
        <v>23</v>
      </c>
      <c r="G1548">
        <v>2</v>
      </c>
      <c r="H1548">
        <v>6</v>
      </c>
      <c r="I1548">
        <v>1.5</v>
      </c>
      <c r="J1548">
        <v>2018</v>
      </c>
      <c r="K1548">
        <v>3</v>
      </c>
      <c r="L1548">
        <v>276</v>
      </c>
      <c r="M1548" t="s">
        <v>18</v>
      </c>
    </row>
    <row r="1549" spans="1:13" x14ac:dyDescent="0.3">
      <c r="A1549" s="1">
        <v>43188</v>
      </c>
      <c r="B1549">
        <v>7</v>
      </c>
      <c r="C1549">
        <v>2.33</v>
      </c>
      <c r="D1549">
        <v>3</v>
      </c>
      <c r="E1549">
        <v>28.2</v>
      </c>
      <c r="F1549">
        <v>5</v>
      </c>
      <c r="G1549">
        <v>0</v>
      </c>
      <c r="H1549">
        <v>7</v>
      </c>
      <c r="I1549">
        <v>3.3</v>
      </c>
      <c r="J1549">
        <v>2018</v>
      </c>
      <c r="K1549">
        <v>3</v>
      </c>
      <c r="L1549">
        <v>276</v>
      </c>
      <c r="M1549" t="s">
        <v>12</v>
      </c>
    </row>
    <row r="1550" spans="1:13" x14ac:dyDescent="0.3">
      <c r="A1550" s="1">
        <v>43189</v>
      </c>
      <c r="B1550">
        <v>5.33</v>
      </c>
      <c r="C1550">
        <v>4.46</v>
      </c>
      <c r="D1550">
        <v>9</v>
      </c>
      <c r="E1550">
        <v>42</v>
      </c>
      <c r="F1550">
        <v>33</v>
      </c>
      <c r="G1550">
        <v>8</v>
      </c>
      <c r="H1550">
        <v>3</v>
      </c>
      <c r="I1550">
        <v>2</v>
      </c>
      <c r="J1550">
        <v>2018</v>
      </c>
      <c r="K1550">
        <v>3</v>
      </c>
      <c r="L1550">
        <v>276</v>
      </c>
      <c r="M1550" t="s">
        <v>13</v>
      </c>
    </row>
    <row r="1551" spans="1:13" x14ac:dyDescent="0.3">
      <c r="A1551" s="1">
        <v>43190</v>
      </c>
      <c r="B1551">
        <v>9</v>
      </c>
      <c r="C1551">
        <v>2.99</v>
      </c>
      <c r="D1551">
        <v>2</v>
      </c>
      <c r="E1551">
        <v>50</v>
      </c>
      <c r="F1551">
        <v>8</v>
      </c>
      <c r="G1551">
        <v>0</v>
      </c>
      <c r="H1551">
        <v>3</v>
      </c>
      <c r="I1551">
        <v>4</v>
      </c>
      <c r="J1551">
        <v>2018</v>
      </c>
      <c r="K1551">
        <v>3</v>
      </c>
      <c r="L1551">
        <v>276</v>
      </c>
      <c r="M1551" t="s">
        <v>14</v>
      </c>
    </row>
    <row r="1552" spans="1:13" x14ac:dyDescent="0.3">
      <c r="A1552" s="1">
        <v>43191</v>
      </c>
      <c r="B1552">
        <v>6.83</v>
      </c>
      <c r="C1552">
        <v>3.34</v>
      </c>
      <c r="D1552">
        <v>0</v>
      </c>
      <c r="E1552">
        <v>37</v>
      </c>
      <c r="F1552">
        <v>19</v>
      </c>
      <c r="G1552">
        <v>1</v>
      </c>
      <c r="H1552">
        <v>22</v>
      </c>
      <c r="I1552">
        <v>5</v>
      </c>
      <c r="J1552">
        <v>2018</v>
      </c>
      <c r="K1552">
        <v>4</v>
      </c>
      <c r="L1552">
        <v>276</v>
      </c>
      <c r="M1552" t="s">
        <v>15</v>
      </c>
    </row>
    <row r="1553" spans="1:13" x14ac:dyDescent="0.3">
      <c r="A1553" s="1">
        <v>43192</v>
      </c>
      <c r="B1553">
        <v>5.66</v>
      </c>
      <c r="C1553">
        <v>4.3959999999999999</v>
      </c>
      <c r="D1553">
        <v>6.3</v>
      </c>
      <c r="E1553">
        <v>30</v>
      </c>
      <c r="F1553">
        <v>31</v>
      </c>
      <c r="G1553">
        <v>0</v>
      </c>
      <c r="H1553">
        <v>10</v>
      </c>
      <c r="I1553">
        <v>10</v>
      </c>
      <c r="J1553">
        <v>2018</v>
      </c>
      <c r="K1553">
        <v>4</v>
      </c>
      <c r="L1553">
        <v>276</v>
      </c>
      <c r="M1553" t="s">
        <v>16</v>
      </c>
    </row>
    <row r="1554" spans="1:13" x14ac:dyDescent="0.3">
      <c r="A1554" s="1">
        <v>43193</v>
      </c>
      <c r="B1554">
        <v>1</v>
      </c>
      <c r="C1554">
        <v>2.5289999999999999</v>
      </c>
      <c r="D1554">
        <v>2</v>
      </c>
      <c r="E1554">
        <v>38</v>
      </c>
      <c r="F1554">
        <v>10</v>
      </c>
      <c r="G1554">
        <v>6</v>
      </c>
      <c r="H1554">
        <v>5</v>
      </c>
      <c r="I1554">
        <v>3.5</v>
      </c>
      <c r="J1554">
        <v>2018</v>
      </c>
      <c r="K1554">
        <v>4</v>
      </c>
      <c r="L1554">
        <v>276</v>
      </c>
      <c r="M1554" t="s">
        <v>17</v>
      </c>
    </row>
    <row r="1555" spans="1:13" x14ac:dyDescent="0.3">
      <c r="A1555" s="1">
        <v>43194</v>
      </c>
      <c r="B1555">
        <v>6.01</v>
      </c>
      <c r="C1555">
        <v>5.2</v>
      </c>
      <c r="D1555">
        <v>3</v>
      </c>
      <c r="E1555">
        <v>29</v>
      </c>
      <c r="F1555">
        <v>9</v>
      </c>
      <c r="G1555">
        <v>0</v>
      </c>
      <c r="H1555">
        <v>1</v>
      </c>
      <c r="I1555">
        <v>8</v>
      </c>
      <c r="J1555">
        <v>2018</v>
      </c>
      <c r="K1555">
        <v>4</v>
      </c>
      <c r="L1555">
        <v>276</v>
      </c>
      <c r="M1555" t="s">
        <v>18</v>
      </c>
    </row>
    <row r="1556" spans="1:13" x14ac:dyDescent="0.3">
      <c r="A1556" s="1">
        <v>43195</v>
      </c>
      <c r="B1556">
        <v>6.33</v>
      </c>
      <c r="C1556">
        <v>3.67</v>
      </c>
      <c r="D1556">
        <v>5.4</v>
      </c>
      <c r="E1556">
        <v>39</v>
      </c>
      <c r="F1556">
        <v>16</v>
      </c>
      <c r="G1556">
        <v>1</v>
      </c>
      <c r="H1556">
        <v>16</v>
      </c>
      <c r="I1556">
        <v>3</v>
      </c>
      <c r="J1556">
        <v>2018</v>
      </c>
      <c r="K1556">
        <v>4</v>
      </c>
      <c r="L1556">
        <v>276</v>
      </c>
      <c r="M1556" t="s">
        <v>12</v>
      </c>
    </row>
    <row r="1557" spans="1:13" x14ac:dyDescent="0.3">
      <c r="A1557" s="1">
        <v>43196</v>
      </c>
      <c r="B1557">
        <v>3.67</v>
      </c>
      <c r="C1557">
        <v>3</v>
      </c>
      <c r="D1557">
        <v>4.2</v>
      </c>
      <c r="E1557">
        <v>33.524999999999999</v>
      </c>
      <c r="F1557">
        <v>13</v>
      </c>
      <c r="G1557">
        <v>0</v>
      </c>
      <c r="H1557">
        <v>23</v>
      </c>
      <c r="I1557">
        <v>5</v>
      </c>
      <c r="J1557">
        <v>2018</v>
      </c>
      <c r="K1557">
        <v>4</v>
      </c>
      <c r="L1557">
        <v>276</v>
      </c>
      <c r="M1557" t="s">
        <v>13</v>
      </c>
    </row>
    <row r="1558" spans="1:13" x14ac:dyDescent="0.3">
      <c r="A1558" s="1">
        <v>43197</v>
      </c>
      <c r="B1558">
        <v>16.18</v>
      </c>
      <c r="C1558">
        <v>4.5060000000000002</v>
      </c>
      <c r="D1558">
        <v>2</v>
      </c>
      <c r="E1558">
        <v>40</v>
      </c>
      <c r="F1558">
        <v>4</v>
      </c>
      <c r="G1558">
        <v>0</v>
      </c>
      <c r="H1558">
        <v>5</v>
      </c>
      <c r="I1558">
        <v>7</v>
      </c>
      <c r="J1558">
        <v>2018</v>
      </c>
      <c r="K1558">
        <v>4</v>
      </c>
      <c r="L1558">
        <v>276</v>
      </c>
      <c r="M1558" t="s">
        <v>14</v>
      </c>
    </row>
    <row r="1559" spans="1:13" x14ac:dyDescent="0.3">
      <c r="A1559" s="1">
        <v>43198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2018</v>
      </c>
      <c r="K1559">
        <v>4</v>
      </c>
      <c r="L1559">
        <v>276</v>
      </c>
      <c r="M1559" t="s">
        <v>15</v>
      </c>
    </row>
    <row r="1560" spans="1:13" x14ac:dyDescent="0.3">
      <c r="A1560" s="1">
        <v>43199</v>
      </c>
      <c r="B1560">
        <v>5</v>
      </c>
      <c r="C1560">
        <v>3</v>
      </c>
      <c r="D1560">
        <v>6</v>
      </c>
      <c r="E1560">
        <v>25</v>
      </c>
      <c r="F1560">
        <v>6</v>
      </c>
      <c r="G1560">
        <v>0</v>
      </c>
      <c r="H1560">
        <v>10</v>
      </c>
      <c r="I1560">
        <v>6</v>
      </c>
      <c r="J1560">
        <v>2018</v>
      </c>
      <c r="K1560">
        <v>4</v>
      </c>
      <c r="L1560">
        <v>276</v>
      </c>
      <c r="M1560" t="s">
        <v>16</v>
      </c>
    </row>
    <row r="1561" spans="1:13" x14ac:dyDescent="0.3">
      <c r="A1561" s="1">
        <v>43200</v>
      </c>
      <c r="B1561">
        <v>2</v>
      </c>
      <c r="C1561">
        <v>3.0670000000000002</v>
      </c>
      <c r="D1561">
        <v>2</v>
      </c>
      <c r="E1561">
        <v>38.299999999999997</v>
      </c>
      <c r="F1561">
        <v>18</v>
      </c>
      <c r="G1561">
        <v>3</v>
      </c>
      <c r="H1561">
        <v>7</v>
      </c>
      <c r="I1561">
        <v>10</v>
      </c>
      <c r="J1561">
        <v>2018</v>
      </c>
      <c r="K1561">
        <v>4</v>
      </c>
      <c r="L1561">
        <v>276</v>
      </c>
      <c r="M1561" t="s">
        <v>17</v>
      </c>
    </row>
    <row r="1562" spans="1:13" x14ac:dyDescent="0.3">
      <c r="A1562" s="1">
        <v>43201</v>
      </c>
      <c r="B1562">
        <v>6.67</v>
      </c>
      <c r="C1562">
        <v>3.01</v>
      </c>
      <c r="D1562">
        <v>2</v>
      </c>
      <c r="E1562">
        <v>28</v>
      </c>
      <c r="F1562">
        <v>12</v>
      </c>
      <c r="G1562">
        <v>0</v>
      </c>
      <c r="H1562">
        <v>3</v>
      </c>
      <c r="I1562">
        <v>11</v>
      </c>
      <c r="J1562">
        <v>2018</v>
      </c>
      <c r="K1562">
        <v>4</v>
      </c>
      <c r="L1562">
        <v>276</v>
      </c>
      <c r="M1562" t="s">
        <v>18</v>
      </c>
    </row>
    <row r="1563" spans="1:13" x14ac:dyDescent="0.3">
      <c r="A1563" s="1">
        <v>43202</v>
      </c>
      <c r="B1563">
        <v>5</v>
      </c>
      <c r="C1563">
        <v>4.7590000000000003</v>
      </c>
      <c r="D1563">
        <v>3.5</v>
      </c>
      <c r="E1563">
        <v>17.399999999999999</v>
      </c>
      <c r="F1563">
        <v>9</v>
      </c>
      <c r="G1563">
        <v>0</v>
      </c>
      <c r="H1563">
        <v>6</v>
      </c>
      <c r="I1563">
        <v>4.5</v>
      </c>
      <c r="J1563">
        <v>2018</v>
      </c>
      <c r="K1563">
        <v>4</v>
      </c>
      <c r="L1563">
        <v>276</v>
      </c>
      <c r="M1563" t="s">
        <v>12</v>
      </c>
    </row>
    <row r="1564" spans="1:13" x14ac:dyDescent="0.3">
      <c r="A1564" s="1">
        <v>43203</v>
      </c>
      <c r="B1564">
        <v>4.5</v>
      </c>
      <c r="C1564">
        <v>2.0329999999999999</v>
      </c>
      <c r="D1564">
        <v>5</v>
      </c>
      <c r="E1564">
        <v>23</v>
      </c>
      <c r="F1564">
        <v>12</v>
      </c>
      <c r="G1564">
        <v>0</v>
      </c>
      <c r="H1564">
        <v>23</v>
      </c>
      <c r="I1564">
        <v>4</v>
      </c>
      <c r="J1564">
        <v>2018</v>
      </c>
      <c r="K1564">
        <v>4</v>
      </c>
      <c r="L1564">
        <v>276</v>
      </c>
      <c r="M1564" t="s">
        <v>13</v>
      </c>
    </row>
    <row r="1565" spans="1:13" x14ac:dyDescent="0.3">
      <c r="A1565" s="1">
        <v>43204</v>
      </c>
      <c r="B1565">
        <v>8</v>
      </c>
      <c r="C1565">
        <v>3.68</v>
      </c>
      <c r="D1565">
        <v>2</v>
      </c>
      <c r="E1565">
        <v>24</v>
      </c>
      <c r="F1565">
        <v>2</v>
      </c>
      <c r="G1565">
        <v>0</v>
      </c>
      <c r="H1565">
        <v>3</v>
      </c>
      <c r="I1565">
        <v>12</v>
      </c>
      <c r="J1565">
        <v>2018</v>
      </c>
      <c r="K1565">
        <v>4</v>
      </c>
      <c r="L1565">
        <v>276</v>
      </c>
      <c r="M1565" t="s">
        <v>14</v>
      </c>
    </row>
    <row r="1566" spans="1:13" x14ac:dyDescent="0.3">
      <c r="A1566" s="1">
        <v>43205</v>
      </c>
      <c r="B1566">
        <v>7.66</v>
      </c>
      <c r="C1566">
        <v>2.7589999999999999</v>
      </c>
      <c r="D1566">
        <v>3</v>
      </c>
      <c r="E1566">
        <v>20</v>
      </c>
      <c r="F1566">
        <v>5</v>
      </c>
      <c r="G1566">
        <v>0</v>
      </c>
      <c r="H1566">
        <v>0</v>
      </c>
      <c r="I1566">
        <v>6</v>
      </c>
      <c r="J1566">
        <v>2018</v>
      </c>
      <c r="K1566">
        <v>4</v>
      </c>
      <c r="L1566">
        <v>276</v>
      </c>
      <c r="M1566" t="s">
        <v>15</v>
      </c>
    </row>
    <row r="1567" spans="1:13" x14ac:dyDescent="0.3">
      <c r="A1567" s="1">
        <v>43206</v>
      </c>
      <c r="B1567">
        <v>2</v>
      </c>
      <c r="C1567">
        <v>6.02</v>
      </c>
      <c r="D1567">
        <v>0.25</v>
      </c>
      <c r="E1567">
        <v>40.5</v>
      </c>
      <c r="F1567">
        <v>9</v>
      </c>
      <c r="G1567">
        <v>0</v>
      </c>
      <c r="H1567">
        <v>4</v>
      </c>
      <c r="I1567">
        <v>3</v>
      </c>
      <c r="J1567">
        <v>2018</v>
      </c>
      <c r="K1567">
        <v>4</v>
      </c>
      <c r="L1567">
        <v>276</v>
      </c>
      <c r="M1567" t="s">
        <v>16</v>
      </c>
    </row>
    <row r="1568" spans="1:13" x14ac:dyDescent="0.3">
      <c r="A1568" s="1">
        <v>43207</v>
      </c>
      <c r="B1568">
        <v>3.34</v>
      </c>
      <c r="C1568">
        <v>1.4059999999999999</v>
      </c>
      <c r="D1568">
        <v>0.15</v>
      </c>
      <c r="E1568">
        <v>16</v>
      </c>
      <c r="F1568">
        <v>10</v>
      </c>
      <c r="G1568">
        <v>0</v>
      </c>
      <c r="H1568">
        <v>6</v>
      </c>
      <c r="I1568">
        <v>6</v>
      </c>
      <c r="J1568">
        <v>2018</v>
      </c>
      <c r="K1568">
        <v>4</v>
      </c>
      <c r="L1568">
        <v>276</v>
      </c>
      <c r="M1568" t="s">
        <v>17</v>
      </c>
    </row>
    <row r="1569" spans="1:13" x14ac:dyDescent="0.3">
      <c r="A1569" s="1">
        <v>43208</v>
      </c>
      <c r="B1569">
        <v>5</v>
      </c>
      <c r="C1569">
        <v>0.54</v>
      </c>
      <c r="D1569">
        <v>3.25</v>
      </c>
      <c r="E1569">
        <v>25.25</v>
      </c>
      <c r="F1569">
        <v>5</v>
      </c>
      <c r="G1569">
        <v>0</v>
      </c>
      <c r="H1569">
        <v>7</v>
      </c>
      <c r="I1569">
        <v>1</v>
      </c>
      <c r="J1569">
        <v>2018</v>
      </c>
      <c r="K1569">
        <v>4</v>
      </c>
      <c r="L1569">
        <v>276</v>
      </c>
      <c r="M1569" t="s">
        <v>18</v>
      </c>
    </row>
    <row r="1570" spans="1:13" x14ac:dyDescent="0.3">
      <c r="A1570" s="1">
        <v>43209</v>
      </c>
      <c r="B1570">
        <v>5</v>
      </c>
      <c r="C1570">
        <v>5.67</v>
      </c>
      <c r="D1570">
        <v>1</v>
      </c>
      <c r="E1570">
        <v>31.375</v>
      </c>
      <c r="F1570">
        <v>3</v>
      </c>
      <c r="G1570">
        <v>0</v>
      </c>
      <c r="H1570">
        <v>1</v>
      </c>
      <c r="I1570">
        <v>7</v>
      </c>
      <c r="J1570">
        <v>2018</v>
      </c>
      <c r="K1570">
        <v>4</v>
      </c>
      <c r="L1570">
        <v>276</v>
      </c>
      <c r="M1570" t="s">
        <v>12</v>
      </c>
    </row>
    <row r="1571" spans="1:13" x14ac:dyDescent="0.3">
      <c r="A1571" s="1">
        <v>43210</v>
      </c>
      <c r="B1571">
        <v>5</v>
      </c>
      <c r="C1571">
        <v>4.5060000000000002</v>
      </c>
      <c r="D1571">
        <v>0</v>
      </c>
      <c r="E1571">
        <v>15</v>
      </c>
      <c r="F1571">
        <v>10</v>
      </c>
      <c r="G1571">
        <v>0</v>
      </c>
      <c r="H1571">
        <v>6</v>
      </c>
      <c r="I1571">
        <v>9</v>
      </c>
      <c r="J1571">
        <v>2018</v>
      </c>
      <c r="K1571">
        <v>4</v>
      </c>
      <c r="L1571">
        <v>276</v>
      </c>
      <c r="M1571" t="s">
        <v>13</v>
      </c>
    </row>
    <row r="1572" spans="1:13" x14ac:dyDescent="0.3">
      <c r="A1572" s="1">
        <v>43211</v>
      </c>
      <c r="B1572">
        <v>3.5</v>
      </c>
      <c r="C1572">
        <v>3.4390000000000001</v>
      </c>
      <c r="D1572">
        <v>2</v>
      </c>
      <c r="E1572">
        <v>40.4</v>
      </c>
      <c r="F1572">
        <v>7</v>
      </c>
      <c r="G1572">
        <v>0</v>
      </c>
      <c r="H1572">
        <v>4</v>
      </c>
      <c r="I1572">
        <v>6.2</v>
      </c>
      <c r="J1572">
        <v>2018</v>
      </c>
      <c r="K1572">
        <v>4</v>
      </c>
      <c r="L1572">
        <v>276</v>
      </c>
      <c r="M1572" t="s">
        <v>14</v>
      </c>
    </row>
    <row r="1573" spans="1:13" x14ac:dyDescent="0.3">
      <c r="A1573" s="1">
        <v>43212</v>
      </c>
      <c r="B1573">
        <v>6</v>
      </c>
      <c r="C1573">
        <v>5.09</v>
      </c>
      <c r="D1573">
        <v>3.5</v>
      </c>
      <c r="E1573">
        <v>42.5</v>
      </c>
      <c r="F1573">
        <v>7</v>
      </c>
      <c r="G1573">
        <v>0</v>
      </c>
      <c r="H1573">
        <v>0</v>
      </c>
      <c r="I1573">
        <v>6.5</v>
      </c>
      <c r="J1573">
        <v>2018</v>
      </c>
      <c r="K1573">
        <v>4</v>
      </c>
      <c r="L1573">
        <v>276</v>
      </c>
      <c r="M1573" t="s">
        <v>15</v>
      </c>
    </row>
    <row r="1574" spans="1:13" x14ac:dyDescent="0.3">
      <c r="A1574" s="1">
        <v>43213</v>
      </c>
      <c r="B1574">
        <v>7</v>
      </c>
      <c r="C1574">
        <v>0.69299999999999995</v>
      </c>
      <c r="D1574">
        <v>1</v>
      </c>
      <c r="E1574">
        <v>15.561999999999999</v>
      </c>
      <c r="F1574">
        <v>7</v>
      </c>
      <c r="G1574">
        <v>0</v>
      </c>
      <c r="H1574">
        <v>2</v>
      </c>
      <c r="I1574">
        <v>9</v>
      </c>
      <c r="J1574">
        <v>2018</v>
      </c>
      <c r="K1574">
        <v>4</v>
      </c>
      <c r="L1574">
        <v>276</v>
      </c>
      <c r="M1574" t="s">
        <v>16</v>
      </c>
    </row>
    <row r="1575" spans="1:13" x14ac:dyDescent="0.3">
      <c r="A1575" s="1">
        <v>43214</v>
      </c>
      <c r="B1575">
        <v>6</v>
      </c>
      <c r="C1575">
        <v>4.4619999999999997</v>
      </c>
      <c r="D1575">
        <v>6</v>
      </c>
      <c r="E1575">
        <v>20</v>
      </c>
      <c r="F1575">
        <v>9</v>
      </c>
      <c r="G1575">
        <v>0</v>
      </c>
      <c r="H1575">
        <v>1</v>
      </c>
      <c r="I1575">
        <v>12</v>
      </c>
      <c r="J1575">
        <v>2018</v>
      </c>
      <c r="K1575">
        <v>4</v>
      </c>
      <c r="L1575">
        <v>276</v>
      </c>
      <c r="M1575" t="s">
        <v>17</v>
      </c>
    </row>
    <row r="1576" spans="1:13" x14ac:dyDescent="0.3">
      <c r="A1576" s="1">
        <v>43215</v>
      </c>
      <c r="B1576">
        <v>9</v>
      </c>
      <c r="C1576">
        <v>7.66</v>
      </c>
      <c r="D1576">
        <v>5</v>
      </c>
      <c r="E1576">
        <v>18.100000000000001</v>
      </c>
      <c r="F1576">
        <v>8</v>
      </c>
      <c r="G1576">
        <v>2</v>
      </c>
      <c r="H1576">
        <v>30</v>
      </c>
      <c r="I1576">
        <v>9</v>
      </c>
      <c r="J1576">
        <v>2018</v>
      </c>
      <c r="K1576">
        <v>4</v>
      </c>
      <c r="L1576">
        <v>276</v>
      </c>
      <c r="M1576" t="s">
        <v>18</v>
      </c>
    </row>
    <row r="1577" spans="1:13" x14ac:dyDescent="0.3">
      <c r="A1577" s="1">
        <v>43216</v>
      </c>
      <c r="B1577">
        <v>5.33</v>
      </c>
      <c r="C1577">
        <v>1.099</v>
      </c>
      <c r="D1577">
        <v>2</v>
      </c>
      <c r="E1577">
        <v>18</v>
      </c>
      <c r="F1577">
        <v>8</v>
      </c>
      <c r="G1577">
        <v>0</v>
      </c>
      <c r="H1577">
        <v>7</v>
      </c>
      <c r="I1577">
        <v>5</v>
      </c>
      <c r="J1577">
        <v>2018</v>
      </c>
      <c r="K1577">
        <v>4</v>
      </c>
      <c r="L1577">
        <v>276</v>
      </c>
      <c r="M1577" t="s">
        <v>12</v>
      </c>
    </row>
    <row r="1578" spans="1:13" x14ac:dyDescent="0.3">
      <c r="A1578" s="1">
        <v>43217</v>
      </c>
      <c r="B1578">
        <v>6.68</v>
      </c>
      <c r="C1578">
        <v>3.5289999999999999</v>
      </c>
      <c r="D1578">
        <v>3</v>
      </c>
      <c r="E1578">
        <v>43</v>
      </c>
      <c r="F1578">
        <v>12</v>
      </c>
      <c r="G1578">
        <v>0</v>
      </c>
      <c r="H1578">
        <v>6</v>
      </c>
      <c r="I1578">
        <v>4</v>
      </c>
      <c r="J1578">
        <v>2018</v>
      </c>
      <c r="K1578">
        <v>4</v>
      </c>
      <c r="L1578">
        <v>276</v>
      </c>
      <c r="M1578" t="s">
        <v>13</v>
      </c>
    </row>
    <row r="1579" spans="1:13" x14ac:dyDescent="0.3">
      <c r="A1579" s="1">
        <v>43218</v>
      </c>
      <c r="B1579">
        <v>9.33</v>
      </c>
      <c r="C1579">
        <v>2</v>
      </c>
      <c r="D1579">
        <v>2.0499999999999998</v>
      </c>
      <c r="E1579">
        <v>27.25</v>
      </c>
      <c r="F1579">
        <v>11</v>
      </c>
      <c r="G1579">
        <v>1</v>
      </c>
      <c r="H1579">
        <v>6</v>
      </c>
      <c r="I1579">
        <v>7</v>
      </c>
      <c r="J1579">
        <v>2018</v>
      </c>
      <c r="K1579">
        <v>4</v>
      </c>
      <c r="L1579">
        <v>276</v>
      </c>
      <c r="M1579" t="s">
        <v>14</v>
      </c>
    </row>
    <row r="1580" spans="1:13" x14ac:dyDescent="0.3">
      <c r="A1580" s="1">
        <v>43219</v>
      </c>
      <c r="B1580">
        <v>7.33</v>
      </c>
      <c r="C1580">
        <v>6</v>
      </c>
      <c r="D1580">
        <v>6</v>
      </c>
      <c r="E1580">
        <v>14</v>
      </c>
      <c r="F1580">
        <v>5</v>
      </c>
      <c r="G1580">
        <v>0</v>
      </c>
      <c r="H1580">
        <v>14</v>
      </c>
      <c r="I1580">
        <v>10.4</v>
      </c>
      <c r="J1580">
        <v>2018</v>
      </c>
      <c r="K1580">
        <v>4</v>
      </c>
      <c r="L1580">
        <v>276</v>
      </c>
      <c r="M1580" t="s">
        <v>15</v>
      </c>
    </row>
    <row r="1581" spans="1:13" x14ac:dyDescent="0.3">
      <c r="A1581" s="1">
        <v>43220</v>
      </c>
      <c r="B1581">
        <v>5</v>
      </c>
      <c r="C1581">
        <v>6.66</v>
      </c>
      <c r="D1581">
        <v>3</v>
      </c>
      <c r="E1581">
        <v>14.125</v>
      </c>
      <c r="F1581">
        <v>12</v>
      </c>
      <c r="G1581">
        <v>0</v>
      </c>
      <c r="H1581">
        <v>1</v>
      </c>
      <c r="I1581">
        <v>7</v>
      </c>
      <c r="J1581">
        <v>2018</v>
      </c>
      <c r="K1581">
        <v>4</v>
      </c>
      <c r="L1581">
        <v>276</v>
      </c>
      <c r="M1581" t="s">
        <v>16</v>
      </c>
    </row>
    <row r="1582" spans="1:13" x14ac:dyDescent="0.3">
      <c r="A1582" s="1">
        <v>43221</v>
      </c>
      <c r="B1582">
        <v>2.34</v>
      </c>
      <c r="C1582">
        <v>0</v>
      </c>
      <c r="D1582">
        <v>1</v>
      </c>
      <c r="E1582">
        <v>6.2</v>
      </c>
      <c r="F1582">
        <v>0</v>
      </c>
      <c r="G1582">
        <v>0</v>
      </c>
      <c r="H1582">
        <v>1</v>
      </c>
      <c r="I1582">
        <v>8</v>
      </c>
      <c r="J1582">
        <v>2018</v>
      </c>
      <c r="K1582">
        <v>5</v>
      </c>
      <c r="L1582">
        <v>276</v>
      </c>
      <c r="M1582" t="s">
        <v>17</v>
      </c>
    </row>
    <row r="1583" spans="1:13" x14ac:dyDescent="0.3">
      <c r="A1583" s="1">
        <v>43222</v>
      </c>
      <c r="B1583">
        <v>6</v>
      </c>
      <c r="C1583">
        <v>3.5259999999999998</v>
      </c>
      <c r="D1583">
        <v>2</v>
      </c>
      <c r="E1583">
        <v>38.200000000000003</v>
      </c>
      <c r="F1583">
        <v>7</v>
      </c>
      <c r="G1583">
        <v>0</v>
      </c>
      <c r="H1583">
        <v>3</v>
      </c>
      <c r="I1583">
        <v>9</v>
      </c>
      <c r="J1583">
        <v>2018</v>
      </c>
      <c r="K1583">
        <v>5</v>
      </c>
      <c r="L1583">
        <v>276</v>
      </c>
      <c r="M1583" t="s">
        <v>18</v>
      </c>
    </row>
    <row r="1584" spans="1:13" x14ac:dyDescent="0.3">
      <c r="A1584" s="1">
        <v>43223</v>
      </c>
      <c r="B1584">
        <v>2.33</v>
      </c>
      <c r="C1584">
        <v>1.7789999999999999</v>
      </c>
      <c r="D1584">
        <v>2</v>
      </c>
      <c r="E1584">
        <v>27.262</v>
      </c>
      <c r="F1584">
        <v>10</v>
      </c>
      <c r="G1584">
        <v>0</v>
      </c>
      <c r="H1584">
        <v>16</v>
      </c>
      <c r="I1584">
        <v>10</v>
      </c>
      <c r="J1584">
        <v>2018</v>
      </c>
      <c r="K1584">
        <v>5</v>
      </c>
      <c r="L1584">
        <v>276</v>
      </c>
      <c r="M1584" t="s">
        <v>12</v>
      </c>
    </row>
    <row r="1585" spans="1:13" x14ac:dyDescent="0.3">
      <c r="A1585" s="1">
        <v>43224</v>
      </c>
      <c r="B1585">
        <v>1</v>
      </c>
      <c r="C1585">
        <v>2.93</v>
      </c>
      <c r="D1585">
        <v>5</v>
      </c>
      <c r="E1585">
        <v>8.75</v>
      </c>
      <c r="F1585">
        <v>6</v>
      </c>
      <c r="G1585">
        <v>0</v>
      </c>
      <c r="H1585">
        <v>2</v>
      </c>
      <c r="I1585">
        <v>10.5</v>
      </c>
      <c r="J1585">
        <v>2018</v>
      </c>
      <c r="K1585">
        <v>5</v>
      </c>
      <c r="L1585">
        <v>276</v>
      </c>
      <c r="M1585" t="s">
        <v>13</v>
      </c>
    </row>
    <row r="1586" spans="1:13" x14ac:dyDescent="0.3">
      <c r="A1586" s="1">
        <v>43225</v>
      </c>
      <c r="B1586">
        <v>9</v>
      </c>
      <c r="C1586">
        <v>3.34</v>
      </c>
      <c r="D1586">
        <v>5</v>
      </c>
      <c r="E1586">
        <v>24</v>
      </c>
      <c r="F1586">
        <v>9</v>
      </c>
      <c r="G1586">
        <v>0</v>
      </c>
      <c r="H1586">
        <v>0</v>
      </c>
      <c r="I1586">
        <v>7</v>
      </c>
      <c r="J1586">
        <v>2018</v>
      </c>
      <c r="K1586">
        <v>5</v>
      </c>
      <c r="L1586">
        <v>276</v>
      </c>
      <c r="M1586" t="s">
        <v>14</v>
      </c>
    </row>
    <row r="1587" spans="1:13" x14ac:dyDescent="0.3">
      <c r="A1587" s="1">
        <v>43226</v>
      </c>
      <c r="B1587">
        <v>3.34</v>
      </c>
      <c r="C1587">
        <v>10.66</v>
      </c>
      <c r="D1587">
        <v>0.25</v>
      </c>
      <c r="E1587">
        <v>18.2</v>
      </c>
      <c r="F1587">
        <v>9</v>
      </c>
      <c r="G1587">
        <v>0</v>
      </c>
      <c r="H1587">
        <v>3</v>
      </c>
      <c r="I1587">
        <v>13.5</v>
      </c>
      <c r="J1587">
        <v>2018</v>
      </c>
      <c r="K1587">
        <v>5</v>
      </c>
      <c r="L1587">
        <v>276</v>
      </c>
      <c r="M1587" t="s">
        <v>15</v>
      </c>
    </row>
    <row r="1588" spans="1:13" x14ac:dyDescent="0.3">
      <c r="A1588" s="1">
        <v>43227</v>
      </c>
      <c r="B1588">
        <v>9.66</v>
      </c>
      <c r="C1588">
        <v>3.3000000000000002E-2</v>
      </c>
      <c r="D1588">
        <v>0</v>
      </c>
      <c r="E1588">
        <v>22</v>
      </c>
      <c r="F1588">
        <v>13</v>
      </c>
      <c r="G1588">
        <v>0</v>
      </c>
      <c r="H1588">
        <v>7</v>
      </c>
      <c r="I1588">
        <v>3</v>
      </c>
      <c r="J1588">
        <v>2018</v>
      </c>
      <c r="K1588">
        <v>5</v>
      </c>
      <c r="L1588">
        <v>276</v>
      </c>
      <c r="M1588" t="s">
        <v>16</v>
      </c>
    </row>
    <row r="1589" spans="1:13" x14ac:dyDescent="0.3">
      <c r="A1589" s="1">
        <v>43228</v>
      </c>
      <c r="B1589">
        <v>10.5</v>
      </c>
      <c r="C1589">
        <v>5.84</v>
      </c>
      <c r="D1589">
        <v>1</v>
      </c>
      <c r="E1589">
        <v>15</v>
      </c>
      <c r="F1589">
        <v>14</v>
      </c>
      <c r="G1589">
        <v>2</v>
      </c>
      <c r="H1589">
        <v>1</v>
      </c>
      <c r="I1589">
        <v>9</v>
      </c>
      <c r="J1589">
        <v>2018</v>
      </c>
      <c r="K1589">
        <v>5</v>
      </c>
      <c r="L1589">
        <v>276</v>
      </c>
      <c r="M1589" t="s">
        <v>17</v>
      </c>
    </row>
    <row r="1590" spans="1:13" x14ac:dyDescent="0.3">
      <c r="A1590" s="1">
        <v>43229</v>
      </c>
      <c r="B1590">
        <v>9.34</v>
      </c>
      <c r="C1590">
        <v>2.33</v>
      </c>
      <c r="D1590">
        <v>7</v>
      </c>
      <c r="E1590">
        <v>24.4</v>
      </c>
      <c r="F1590">
        <v>8</v>
      </c>
      <c r="G1590">
        <v>2</v>
      </c>
      <c r="H1590">
        <v>2</v>
      </c>
      <c r="I1590">
        <v>5</v>
      </c>
      <c r="J1590">
        <v>2018</v>
      </c>
      <c r="K1590">
        <v>5</v>
      </c>
      <c r="L1590">
        <v>276</v>
      </c>
      <c r="M1590" t="s">
        <v>18</v>
      </c>
    </row>
    <row r="1591" spans="1:13" x14ac:dyDescent="0.3">
      <c r="A1591" s="1">
        <v>43230</v>
      </c>
      <c r="B1591">
        <v>8.5</v>
      </c>
      <c r="C1591">
        <v>5.32</v>
      </c>
      <c r="D1591">
        <v>6</v>
      </c>
      <c r="E1591">
        <v>39</v>
      </c>
      <c r="F1591">
        <v>12</v>
      </c>
      <c r="G1591">
        <v>0</v>
      </c>
      <c r="H1591">
        <v>1</v>
      </c>
      <c r="I1591">
        <v>6</v>
      </c>
      <c r="J1591">
        <v>2018</v>
      </c>
      <c r="K1591">
        <v>5</v>
      </c>
      <c r="L1591">
        <v>276</v>
      </c>
      <c r="M1591" t="s">
        <v>12</v>
      </c>
    </row>
    <row r="1592" spans="1:13" x14ac:dyDescent="0.3">
      <c r="A1592" s="1">
        <v>43231</v>
      </c>
      <c r="B1592">
        <v>9.33</v>
      </c>
      <c r="C1592">
        <v>1.34</v>
      </c>
      <c r="D1592">
        <v>3</v>
      </c>
      <c r="E1592">
        <v>19</v>
      </c>
      <c r="F1592">
        <v>6</v>
      </c>
      <c r="G1592">
        <v>0</v>
      </c>
      <c r="H1592">
        <v>2</v>
      </c>
      <c r="I1592">
        <v>10</v>
      </c>
      <c r="J1592">
        <v>2018</v>
      </c>
      <c r="K1592">
        <v>5</v>
      </c>
      <c r="L1592">
        <v>276</v>
      </c>
      <c r="M1592" t="s">
        <v>13</v>
      </c>
    </row>
    <row r="1593" spans="1:13" x14ac:dyDescent="0.3">
      <c r="A1593" s="1">
        <v>43232</v>
      </c>
      <c r="B1593">
        <v>1.33</v>
      </c>
      <c r="C1593">
        <v>3.66</v>
      </c>
      <c r="D1593">
        <v>5.15</v>
      </c>
      <c r="E1593">
        <v>27</v>
      </c>
      <c r="F1593">
        <v>10</v>
      </c>
      <c r="G1593">
        <v>0</v>
      </c>
      <c r="H1593">
        <v>11</v>
      </c>
      <c r="I1593">
        <v>8</v>
      </c>
      <c r="J1593">
        <v>2018</v>
      </c>
      <c r="K1593">
        <v>5</v>
      </c>
      <c r="L1593">
        <v>276</v>
      </c>
      <c r="M1593" t="s">
        <v>14</v>
      </c>
    </row>
    <row r="1594" spans="1:13" x14ac:dyDescent="0.3">
      <c r="A1594" s="1">
        <v>43233</v>
      </c>
      <c r="B1594">
        <v>5.16</v>
      </c>
      <c r="C1594">
        <v>5.7590000000000003</v>
      </c>
      <c r="D1594">
        <v>3</v>
      </c>
      <c r="E1594">
        <v>14.4</v>
      </c>
      <c r="F1594">
        <v>3</v>
      </c>
      <c r="G1594">
        <v>0</v>
      </c>
      <c r="H1594">
        <v>7</v>
      </c>
      <c r="I1594">
        <v>10</v>
      </c>
      <c r="J1594">
        <v>2018</v>
      </c>
      <c r="K1594">
        <v>5</v>
      </c>
      <c r="L1594">
        <v>276</v>
      </c>
      <c r="M1594" t="s">
        <v>15</v>
      </c>
    </row>
    <row r="1595" spans="1:13" x14ac:dyDescent="0.3">
      <c r="A1595" s="1">
        <v>43234</v>
      </c>
      <c r="B1595">
        <v>6</v>
      </c>
      <c r="C1595">
        <v>6.5389999999999997</v>
      </c>
      <c r="D1595">
        <v>1</v>
      </c>
      <c r="E1595">
        <v>20</v>
      </c>
      <c r="F1595">
        <v>4</v>
      </c>
      <c r="G1595">
        <v>1</v>
      </c>
      <c r="H1595">
        <v>37</v>
      </c>
      <c r="I1595">
        <v>3</v>
      </c>
      <c r="J1595">
        <v>2018</v>
      </c>
      <c r="K1595">
        <v>5</v>
      </c>
      <c r="L1595">
        <v>276</v>
      </c>
      <c r="M1595" t="s">
        <v>16</v>
      </c>
    </row>
    <row r="1596" spans="1:13" x14ac:dyDescent="0.3">
      <c r="A1596" s="1">
        <v>43235</v>
      </c>
      <c r="B1596">
        <v>4</v>
      </c>
      <c r="C1596">
        <v>0.67</v>
      </c>
      <c r="D1596">
        <v>2</v>
      </c>
      <c r="E1596">
        <v>14</v>
      </c>
      <c r="F1596">
        <v>11</v>
      </c>
      <c r="G1596">
        <v>0</v>
      </c>
      <c r="H1596">
        <v>5</v>
      </c>
      <c r="I1596">
        <v>7</v>
      </c>
      <c r="J1596">
        <v>2018</v>
      </c>
      <c r="K1596">
        <v>5</v>
      </c>
      <c r="L1596">
        <v>276</v>
      </c>
      <c r="M1596" t="s">
        <v>17</v>
      </c>
    </row>
    <row r="1597" spans="1:13" x14ac:dyDescent="0.3">
      <c r="A1597" s="1">
        <v>43236</v>
      </c>
      <c r="B1597">
        <v>4.01</v>
      </c>
      <c r="C1597">
        <v>2.33</v>
      </c>
      <c r="D1597">
        <v>2.5</v>
      </c>
      <c r="E1597">
        <v>13.4</v>
      </c>
      <c r="F1597">
        <v>9</v>
      </c>
      <c r="G1597">
        <v>0</v>
      </c>
      <c r="H1597">
        <v>2</v>
      </c>
      <c r="I1597">
        <v>8</v>
      </c>
      <c r="J1597">
        <v>2018</v>
      </c>
      <c r="K1597">
        <v>5</v>
      </c>
      <c r="L1597">
        <v>276</v>
      </c>
      <c r="M1597" t="s">
        <v>18</v>
      </c>
    </row>
    <row r="1598" spans="1:13" x14ac:dyDescent="0.3">
      <c r="A1598" s="1">
        <v>43237</v>
      </c>
      <c r="B1598">
        <v>2</v>
      </c>
      <c r="C1598">
        <v>2.78</v>
      </c>
      <c r="D1598">
        <v>3.5</v>
      </c>
      <c r="E1598">
        <v>16</v>
      </c>
      <c r="F1598">
        <v>11</v>
      </c>
      <c r="G1598">
        <v>0</v>
      </c>
      <c r="H1598">
        <v>1</v>
      </c>
      <c r="I1598">
        <v>4</v>
      </c>
      <c r="J1598">
        <v>2018</v>
      </c>
      <c r="K1598">
        <v>5</v>
      </c>
      <c r="L1598">
        <v>276</v>
      </c>
      <c r="M1598" t="s">
        <v>12</v>
      </c>
    </row>
    <row r="1599" spans="1:13" x14ac:dyDescent="0.3">
      <c r="A1599" s="1">
        <v>43238</v>
      </c>
      <c r="B1599">
        <v>2.34</v>
      </c>
      <c r="C1599">
        <v>1.3959999999999999</v>
      </c>
      <c r="D1599">
        <v>6</v>
      </c>
      <c r="E1599">
        <v>30</v>
      </c>
      <c r="F1599">
        <v>11</v>
      </c>
      <c r="G1599">
        <v>0</v>
      </c>
      <c r="H1599">
        <v>2</v>
      </c>
      <c r="I1599">
        <v>2.4</v>
      </c>
      <c r="J1599">
        <v>2018</v>
      </c>
      <c r="K1599">
        <v>5</v>
      </c>
      <c r="L1599">
        <v>276</v>
      </c>
      <c r="M1599" t="s">
        <v>13</v>
      </c>
    </row>
    <row r="1600" spans="1:13" x14ac:dyDescent="0.3">
      <c r="A1600" s="1">
        <v>43239</v>
      </c>
      <c r="B1600">
        <v>2.34</v>
      </c>
      <c r="C1600">
        <v>2.5609999999999999</v>
      </c>
      <c r="D1600">
        <v>1</v>
      </c>
      <c r="E1600">
        <v>18.399999999999999</v>
      </c>
      <c r="F1600">
        <v>7</v>
      </c>
      <c r="G1600">
        <v>5</v>
      </c>
      <c r="H1600">
        <v>0</v>
      </c>
      <c r="I1600">
        <v>5</v>
      </c>
      <c r="J1600">
        <v>2018</v>
      </c>
      <c r="K1600">
        <v>5</v>
      </c>
      <c r="L1600">
        <v>276</v>
      </c>
      <c r="M1600" t="s">
        <v>14</v>
      </c>
    </row>
    <row r="1601" spans="1:13" x14ac:dyDescent="0.3">
      <c r="A1601" s="1">
        <v>43240</v>
      </c>
      <c r="B1601">
        <v>7</v>
      </c>
      <c r="C1601">
        <v>8.01</v>
      </c>
      <c r="D1601">
        <v>1</v>
      </c>
      <c r="E1601">
        <v>45</v>
      </c>
      <c r="F1601">
        <v>6</v>
      </c>
      <c r="G1601">
        <v>1</v>
      </c>
      <c r="H1601">
        <v>0</v>
      </c>
      <c r="I1601">
        <v>10</v>
      </c>
      <c r="J1601">
        <v>2018</v>
      </c>
      <c r="K1601">
        <v>5</v>
      </c>
      <c r="L1601">
        <v>276</v>
      </c>
      <c r="M1601" t="s">
        <v>15</v>
      </c>
    </row>
    <row r="1602" spans="1:13" x14ac:dyDescent="0.3">
      <c r="A1602" s="1">
        <v>43241</v>
      </c>
      <c r="B1602">
        <v>12</v>
      </c>
      <c r="C1602">
        <v>2.7589999999999999</v>
      </c>
      <c r="D1602">
        <v>2.15</v>
      </c>
      <c r="E1602">
        <v>14.6</v>
      </c>
      <c r="F1602">
        <v>18</v>
      </c>
      <c r="G1602">
        <v>0</v>
      </c>
      <c r="H1602">
        <v>11</v>
      </c>
      <c r="I1602">
        <v>5</v>
      </c>
      <c r="J1602">
        <v>2018</v>
      </c>
      <c r="K1602">
        <v>5</v>
      </c>
      <c r="L1602">
        <v>276</v>
      </c>
      <c r="M1602" t="s">
        <v>16</v>
      </c>
    </row>
    <row r="1603" spans="1:13" x14ac:dyDescent="0.3">
      <c r="A1603" s="1">
        <v>43242</v>
      </c>
      <c r="B1603">
        <v>3.67</v>
      </c>
      <c r="C1603">
        <v>2.33</v>
      </c>
      <c r="D1603">
        <v>3</v>
      </c>
      <c r="E1603">
        <v>8.0619999999999994</v>
      </c>
      <c r="F1603">
        <v>7</v>
      </c>
      <c r="G1603">
        <v>0</v>
      </c>
      <c r="H1603">
        <v>6</v>
      </c>
      <c r="I1603">
        <v>6</v>
      </c>
      <c r="J1603">
        <v>2018</v>
      </c>
      <c r="K1603">
        <v>5</v>
      </c>
      <c r="L1603">
        <v>276</v>
      </c>
      <c r="M1603" t="s">
        <v>17</v>
      </c>
    </row>
    <row r="1604" spans="1:13" x14ac:dyDescent="0.3">
      <c r="A1604" s="1">
        <v>43243</v>
      </c>
      <c r="B1604">
        <v>1.5</v>
      </c>
      <c r="C1604">
        <v>3.66</v>
      </c>
      <c r="D1604">
        <v>0</v>
      </c>
      <c r="E1604">
        <v>11</v>
      </c>
      <c r="F1604">
        <v>7</v>
      </c>
      <c r="G1604">
        <v>0</v>
      </c>
      <c r="H1604">
        <v>0</v>
      </c>
      <c r="I1604">
        <v>7</v>
      </c>
      <c r="J1604">
        <v>2018</v>
      </c>
      <c r="K1604">
        <v>5</v>
      </c>
      <c r="L1604">
        <v>276</v>
      </c>
      <c r="M1604" t="s">
        <v>18</v>
      </c>
    </row>
    <row r="1605" spans="1:13" x14ac:dyDescent="0.3">
      <c r="A1605" s="1">
        <v>43244</v>
      </c>
      <c r="B1605">
        <v>2</v>
      </c>
      <c r="C1605">
        <v>1.99</v>
      </c>
      <c r="D1605">
        <v>5</v>
      </c>
      <c r="E1605">
        <v>20.2</v>
      </c>
      <c r="F1605">
        <v>6</v>
      </c>
      <c r="G1605">
        <v>1</v>
      </c>
      <c r="H1605">
        <v>10</v>
      </c>
      <c r="I1605">
        <v>1</v>
      </c>
      <c r="J1605">
        <v>2018</v>
      </c>
      <c r="K1605">
        <v>5</v>
      </c>
      <c r="L1605">
        <v>276</v>
      </c>
      <c r="M1605" t="s">
        <v>12</v>
      </c>
    </row>
    <row r="1606" spans="1:13" x14ac:dyDescent="0.3">
      <c r="A1606" s="1">
        <v>43245</v>
      </c>
      <c r="B1606">
        <v>2.33</v>
      </c>
      <c r="C1606">
        <v>2.33</v>
      </c>
      <c r="D1606">
        <v>2</v>
      </c>
      <c r="E1606">
        <v>16.399999999999999</v>
      </c>
      <c r="F1606">
        <v>9</v>
      </c>
      <c r="G1606">
        <v>0</v>
      </c>
      <c r="H1606">
        <v>1</v>
      </c>
      <c r="I1606">
        <v>2</v>
      </c>
      <c r="J1606">
        <v>2018</v>
      </c>
      <c r="K1606">
        <v>5</v>
      </c>
      <c r="L1606">
        <v>276</v>
      </c>
      <c r="M1606" t="s">
        <v>13</v>
      </c>
    </row>
    <row r="1607" spans="1:13" x14ac:dyDescent="0.3">
      <c r="A1607" s="1">
        <v>43246</v>
      </c>
      <c r="B1607">
        <v>3.33</v>
      </c>
      <c r="C1607">
        <v>2.7589999999999999</v>
      </c>
      <c r="D1607">
        <v>7</v>
      </c>
      <c r="E1607">
        <v>16.262</v>
      </c>
      <c r="F1607">
        <v>7</v>
      </c>
      <c r="G1607">
        <v>0</v>
      </c>
      <c r="H1607">
        <v>3</v>
      </c>
      <c r="I1607">
        <v>5</v>
      </c>
      <c r="J1607">
        <v>2018</v>
      </c>
      <c r="K1607">
        <v>5</v>
      </c>
      <c r="L1607">
        <v>276</v>
      </c>
      <c r="M1607" t="s">
        <v>14</v>
      </c>
    </row>
    <row r="1608" spans="1:13" x14ac:dyDescent="0.3">
      <c r="A1608" s="1">
        <v>43247</v>
      </c>
      <c r="B1608">
        <v>6.33</v>
      </c>
      <c r="C1608">
        <v>4.5179999999999998</v>
      </c>
      <c r="D1608">
        <v>5</v>
      </c>
      <c r="E1608">
        <v>49.262</v>
      </c>
      <c r="F1608">
        <v>6</v>
      </c>
      <c r="G1608">
        <v>1</v>
      </c>
      <c r="H1608">
        <v>0</v>
      </c>
      <c r="I1608">
        <v>11</v>
      </c>
      <c r="J1608">
        <v>2018</v>
      </c>
      <c r="K1608">
        <v>5</v>
      </c>
      <c r="L1608">
        <v>276</v>
      </c>
      <c r="M1608" t="s">
        <v>15</v>
      </c>
    </row>
    <row r="1609" spans="1:13" x14ac:dyDescent="0.3">
      <c r="A1609" s="1">
        <v>43248</v>
      </c>
      <c r="B1609">
        <v>7</v>
      </c>
      <c r="C1609">
        <v>3.01</v>
      </c>
      <c r="D1609">
        <v>1.2</v>
      </c>
      <c r="E1609">
        <v>19.600000000000001</v>
      </c>
      <c r="F1609">
        <v>7</v>
      </c>
      <c r="G1609">
        <v>0</v>
      </c>
      <c r="H1609">
        <v>7</v>
      </c>
      <c r="I1609">
        <v>6</v>
      </c>
      <c r="J1609">
        <v>2018</v>
      </c>
      <c r="K1609">
        <v>5</v>
      </c>
      <c r="L1609">
        <v>276</v>
      </c>
      <c r="M1609" t="s">
        <v>16</v>
      </c>
    </row>
    <row r="1610" spans="1:13" x14ac:dyDescent="0.3">
      <c r="A1610" s="1">
        <v>43249</v>
      </c>
      <c r="B1610">
        <v>9</v>
      </c>
      <c r="C1610">
        <v>4.0330000000000004</v>
      </c>
      <c r="D1610">
        <v>3.3</v>
      </c>
      <c r="E1610">
        <v>21.25</v>
      </c>
      <c r="F1610">
        <v>7</v>
      </c>
      <c r="G1610">
        <v>0</v>
      </c>
      <c r="H1610">
        <v>4</v>
      </c>
      <c r="I1610">
        <v>6</v>
      </c>
      <c r="J1610">
        <v>2018</v>
      </c>
      <c r="K1610">
        <v>5</v>
      </c>
      <c r="L1610">
        <v>276</v>
      </c>
      <c r="M1610" t="s">
        <v>17</v>
      </c>
    </row>
    <row r="1611" spans="1:13" x14ac:dyDescent="0.3">
      <c r="A1611" s="1">
        <v>43250</v>
      </c>
      <c r="B1611">
        <v>4.34</v>
      </c>
      <c r="C1611">
        <v>1.67</v>
      </c>
      <c r="D1611">
        <v>2</v>
      </c>
      <c r="E1611">
        <v>16.399999999999999</v>
      </c>
      <c r="F1611">
        <v>9</v>
      </c>
      <c r="G1611">
        <v>0</v>
      </c>
      <c r="H1611">
        <v>14</v>
      </c>
      <c r="I1611">
        <v>10</v>
      </c>
      <c r="J1611">
        <v>2018</v>
      </c>
      <c r="K1611">
        <v>5</v>
      </c>
      <c r="L1611">
        <v>276</v>
      </c>
      <c r="M1611" t="s">
        <v>18</v>
      </c>
    </row>
    <row r="1612" spans="1:13" x14ac:dyDescent="0.3">
      <c r="A1612" s="1">
        <v>43251</v>
      </c>
      <c r="B1612">
        <v>3.5</v>
      </c>
      <c r="C1612">
        <v>3.66</v>
      </c>
      <c r="D1612">
        <v>1.35</v>
      </c>
      <c r="E1612">
        <v>11.4</v>
      </c>
      <c r="F1612">
        <v>10</v>
      </c>
      <c r="G1612">
        <v>0</v>
      </c>
      <c r="H1612">
        <v>8</v>
      </c>
      <c r="I1612">
        <v>5.64</v>
      </c>
      <c r="J1612">
        <v>2018</v>
      </c>
      <c r="K1612">
        <v>5</v>
      </c>
      <c r="L1612">
        <v>276</v>
      </c>
      <c r="M1612" t="s">
        <v>12</v>
      </c>
    </row>
    <row r="1613" spans="1:13" x14ac:dyDescent="0.3">
      <c r="A1613" s="1">
        <v>43252</v>
      </c>
      <c r="B1613">
        <v>12.33</v>
      </c>
      <c r="C1613">
        <v>2.1800000000000002</v>
      </c>
      <c r="D1613">
        <v>4</v>
      </c>
      <c r="E1613">
        <v>29</v>
      </c>
      <c r="F1613">
        <v>9</v>
      </c>
      <c r="G1613">
        <v>0</v>
      </c>
      <c r="H1613">
        <v>5</v>
      </c>
      <c r="I1613">
        <v>3</v>
      </c>
      <c r="J1613">
        <v>2018</v>
      </c>
      <c r="K1613">
        <v>6</v>
      </c>
      <c r="L1613">
        <v>276</v>
      </c>
      <c r="M1613" t="s">
        <v>13</v>
      </c>
    </row>
    <row r="1614" spans="1:13" x14ac:dyDescent="0.3">
      <c r="A1614" s="1">
        <v>43253</v>
      </c>
      <c r="B1614">
        <v>8</v>
      </c>
      <c r="C1614">
        <v>3.0859999999999999</v>
      </c>
      <c r="D1614">
        <v>4</v>
      </c>
      <c r="E1614">
        <v>23</v>
      </c>
      <c r="F1614">
        <v>9</v>
      </c>
      <c r="G1614">
        <v>3</v>
      </c>
      <c r="H1614">
        <v>7</v>
      </c>
      <c r="I1614">
        <v>9</v>
      </c>
      <c r="J1614">
        <v>2018</v>
      </c>
      <c r="K1614">
        <v>6</v>
      </c>
      <c r="L1614">
        <v>276</v>
      </c>
      <c r="M1614" t="s">
        <v>14</v>
      </c>
    </row>
    <row r="1615" spans="1:13" x14ac:dyDescent="0.3">
      <c r="A1615" s="1">
        <v>43254</v>
      </c>
      <c r="B1615">
        <v>5</v>
      </c>
      <c r="C1615">
        <v>2.746</v>
      </c>
      <c r="D1615">
        <v>1</v>
      </c>
      <c r="E1615">
        <v>22.4</v>
      </c>
      <c r="F1615">
        <v>8</v>
      </c>
      <c r="G1615">
        <v>1</v>
      </c>
      <c r="H1615">
        <v>0</v>
      </c>
      <c r="I1615">
        <v>2</v>
      </c>
      <c r="J1615">
        <v>2018</v>
      </c>
      <c r="K1615">
        <v>6</v>
      </c>
      <c r="L1615">
        <v>276</v>
      </c>
      <c r="M1615" t="s">
        <v>15</v>
      </c>
    </row>
    <row r="1616" spans="1:13" x14ac:dyDescent="0.3">
      <c r="A1616" s="1">
        <v>43255</v>
      </c>
      <c r="B1616">
        <v>3.33</v>
      </c>
      <c r="C1616">
        <v>3</v>
      </c>
      <c r="D1616">
        <v>6</v>
      </c>
      <c r="E1616">
        <v>19</v>
      </c>
      <c r="F1616">
        <v>3</v>
      </c>
      <c r="G1616">
        <v>0</v>
      </c>
      <c r="H1616">
        <v>6</v>
      </c>
      <c r="I1616">
        <v>6</v>
      </c>
      <c r="J1616">
        <v>2018</v>
      </c>
      <c r="K1616">
        <v>6</v>
      </c>
      <c r="L1616">
        <v>276</v>
      </c>
      <c r="M1616" t="s">
        <v>16</v>
      </c>
    </row>
    <row r="1617" spans="1:13" x14ac:dyDescent="0.3">
      <c r="A1617" s="1">
        <v>43256</v>
      </c>
      <c r="B1617">
        <v>4.33</v>
      </c>
      <c r="C1617">
        <v>3.67</v>
      </c>
      <c r="D1617">
        <v>1.05</v>
      </c>
      <c r="E1617">
        <v>20</v>
      </c>
      <c r="F1617">
        <v>7</v>
      </c>
      <c r="G1617">
        <v>2</v>
      </c>
      <c r="H1617">
        <v>0</v>
      </c>
      <c r="I1617">
        <v>7</v>
      </c>
      <c r="J1617">
        <v>2018</v>
      </c>
      <c r="K1617">
        <v>6</v>
      </c>
      <c r="L1617">
        <v>276</v>
      </c>
      <c r="M1617" t="s">
        <v>17</v>
      </c>
    </row>
    <row r="1618" spans="1:13" x14ac:dyDescent="0.3">
      <c r="A1618" s="1">
        <v>43257</v>
      </c>
      <c r="B1618">
        <v>6</v>
      </c>
      <c r="C1618">
        <v>2.34</v>
      </c>
      <c r="D1618">
        <v>0.15</v>
      </c>
      <c r="E1618">
        <v>17.25</v>
      </c>
      <c r="F1618">
        <v>16</v>
      </c>
      <c r="G1618">
        <v>3</v>
      </c>
      <c r="H1618">
        <v>0</v>
      </c>
      <c r="I1618">
        <v>2</v>
      </c>
      <c r="J1618">
        <v>2018</v>
      </c>
      <c r="K1618">
        <v>6</v>
      </c>
      <c r="L1618">
        <v>276</v>
      </c>
      <c r="M1618" t="s">
        <v>18</v>
      </c>
    </row>
    <row r="1619" spans="1:13" x14ac:dyDescent="0.3">
      <c r="A1619" s="1">
        <v>43258</v>
      </c>
      <c r="B1619">
        <v>2</v>
      </c>
      <c r="C1619">
        <v>4.5279999999999996</v>
      </c>
      <c r="D1619">
        <v>0.25</v>
      </c>
      <c r="E1619">
        <v>19</v>
      </c>
      <c r="F1619">
        <v>11</v>
      </c>
      <c r="G1619">
        <v>1</v>
      </c>
      <c r="H1619">
        <v>10</v>
      </c>
      <c r="I1619">
        <v>2</v>
      </c>
      <c r="J1619">
        <v>2018</v>
      </c>
      <c r="K1619">
        <v>6</v>
      </c>
      <c r="L1619">
        <v>276</v>
      </c>
      <c r="M1619" t="s">
        <v>12</v>
      </c>
    </row>
    <row r="1620" spans="1:13" x14ac:dyDescent="0.3">
      <c r="A1620" s="1">
        <v>43259</v>
      </c>
      <c r="B1620">
        <v>4</v>
      </c>
      <c r="C1620">
        <v>1.33</v>
      </c>
      <c r="D1620">
        <v>2</v>
      </c>
      <c r="E1620">
        <v>9</v>
      </c>
      <c r="F1620">
        <v>6</v>
      </c>
      <c r="G1620">
        <v>0</v>
      </c>
      <c r="H1620">
        <v>2</v>
      </c>
      <c r="I1620">
        <v>4.4000000000000004</v>
      </c>
      <c r="J1620">
        <v>2018</v>
      </c>
      <c r="K1620">
        <v>6</v>
      </c>
      <c r="L1620">
        <v>276</v>
      </c>
      <c r="M1620" t="s">
        <v>13</v>
      </c>
    </row>
    <row r="1621" spans="1:13" x14ac:dyDescent="0.3">
      <c r="A1621" s="1">
        <v>43260</v>
      </c>
      <c r="B1621">
        <v>8</v>
      </c>
      <c r="C1621">
        <v>6.4619999999999997</v>
      </c>
      <c r="D1621">
        <v>3</v>
      </c>
      <c r="E1621">
        <v>21</v>
      </c>
      <c r="F1621">
        <v>11</v>
      </c>
      <c r="G1621">
        <v>0</v>
      </c>
      <c r="H1621">
        <v>5</v>
      </c>
      <c r="I1621">
        <v>0</v>
      </c>
      <c r="J1621">
        <v>2018</v>
      </c>
      <c r="K1621">
        <v>6</v>
      </c>
      <c r="L1621">
        <v>276</v>
      </c>
      <c r="M1621" t="s">
        <v>14</v>
      </c>
    </row>
    <row r="1622" spans="1:13" x14ac:dyDescent="0.3">
      <c r="A1622" s="1">
        <v>43261</v>
      </c>
      <c r="B1622">
        <v>2.66</v>
      </c>
      <c r="C1622">
        <v>4.6929999999999996</v>
      </c>
      <c r="D1622">
        <v>5</v>
      </c>
      <c r="E1622">
        <v>33.200000000000003</v>
      </c>
      <c r="F1622">
        <v>7</v>
      </c>
      <c r="G1622">
        <v>0</v>
      </c>
      <c r="H1622">
        <v>0</v>
      </c>
      <c r="I1622">
        <v>3</v>
      </c>
      <c r="J1622">
        <v>2018</v>
      </c>
      <c r="K1622">
        <v>6</v>
      </c>
      <c r="L1622">
        <v>276</v>
      </c>
      <c r="M1622" t="s">
        <v>15</v>
      </c>
    </row>
    <row r="1623" spans="1:13" x14ac:dyDescent="0.3">
      <c r="A1623" s="1">
        <v>43262</v>
      </c>
      <c r="B1623">
        <v>8</v>
      </c>
      <c r="C1623">
        <v>8.33</v>
      </c>
      <c r="D1623">
        <v>3.1</v>
      </c>
      <c r="E1623">
        <v>17</v>
      </c>
      <c r="F1623">
        <v>17</v>
      </c>
      <c r="G1623">
        <v>0</v>
      </c>
      <c r="H1623">
        <v>0</v>
      </c>
      <c r="I1623">
        <v>6</v>
      </c>
      <c r="J1623">
        <v>2018</v>
      </c>
      <c r="K1623">
        <v>6</v>
      </c>
      <c r="L1623">
        <v>276</v>
      </c>
      <c r="M1623" t="s">
        <v>16</v>
      </c>
    </row>
    <row r="1624" spans="1:13" x14ac:dyDescent="0.3">
      <c r="A1624" s="1">
        <v>43263</v>
      </c>
      <c r="B1624">
        <v>2.34</v>
      </c>
      <c r="C1624">
        <v>4.5</v>
      </c>
      <c r="D1624">
        <v>4</v>
      </c>
      <c r="E1624">
        <v>18.186</v>
      </c>
      <c r="F1624">
        <v>3</v>
      </c>
      <c r="G1624">
        <v>0</v>
      </c>
      <c r="H1624">
        <v>1</v>
      </c>
      <c r="I1624">
        <v>7.4</v>
      </c>
      <c r="J1624">
        <v>2018</v>
      </c>
      <c r="K1624">
        <v>6</v>
      </c>
      <c r="L1624">
        <v>276</v>
      </c>
      <c r="M1624" t="s">
        <v>17</v>
      </c>
    </row>
    <row r="1625" spans="1:13" x14ac:dyDescent="0.3">
      <c r="A1625" s="1">
        <v>43264</v>
      </c>
      <c r="B1625">
        <v>12</v>
      </c>
      <c r="C1625">
        <v>4.33</v>
      </c>
      <c r="D1625">
        <v>1.2</v>
      </c>
      <c r="E1625">
        <v>22.25</v>
      </c>
      <c r="F1625">
        <v>1</v>
      </c>
      <c r="G1625">
        <v>0</v>
      </c>
      <c r="H1625">
        <v>0</v>
      </c>
      <c r="I1625">
        <v>2</v>
      </c>
      <c r="J1625">
        <v>2018</v>
      </c>
      <c r="K1625">
        <v>6</v>
      </c>
      <c r="L1625">
        <v>276</v>
      </c>
      <c r="M1625" t="s">
        <v>18</v>
      </c>
    </row>
    <row r="1626" spans="1:13" x14ac:dyDescent="0.3">
      <c r="A1626" s="1">
        <v>43265</v>
      </c>
      <c r="B1626">
        <v>0</v>
      </c>
      <c r="C1626">
        <v>1</v>
      </c>
      <c r="D1626">
        <v>1</v>
      </c>
      <c r="E1626">
        <v>22</v>
      </c>
      <c r="F1626">
        <v>11</v>
      </c>
      <c r="G1626">
        <v>0</v>
      </c>
      <c r="H1626">
        <v>0</v>
      </c>
      <c r="I1626">
        <v>2</v>
      </c>
      <c r="J1626">
        <v>2018</v>
      </c>
      <c r="K1626">
        <v>6</v>
      </c>
      <c r="L1626">
        <v>276</v>
      </c>
      <c r="M1626" t="s">
        <v>12</v>
      </c>
    </row>
    <row r="1627" spans="1:13" x14ac:dyDescent="0.3">
      <c r="A1627" s="1">
        <v>43266</v>
      </c>
      <c r="B1627">
        <v>1</v>
      </c>
      <c r="C1627">
        <v>6.6000000000000003E-2</v>
      </c>
      <c r="D1627">
        <v>0.3</v>
      </c>
      <c r="E1627">
        <v>11.132999999999999</v>
      </c>
      <c r="F1627">
        <v>10</v>
      </c>
      <c r="G1627">
        <v>0</v>
      </c>
      <c r="H1627">
        <v>8</v>
      </c>
      <c r="I1627">
        <v>2</v>
      </c>
      <c r="J1627">
        <v>2018</v>
      </c>
      <c r="K1627">
        <v>6</v>
      </c>
      <c r="L1627">
        <v>276</v>
      </c>
      <c r="M1627" t="s">
        <v>13</v>
      </c>
    </row>
    <row r="1628" spans="1:13" x14ac:dyDescent="0.3">
      <c r="A1628" s="1">
        <v>43267</v>
      </c>
      <c r="B1628">
        <v>3.34</v>
      </c>
      <c r="C1628">
        <v>6.383</v>
      </c>
      <c r="D1628">
        <v>5</v>
      </c>
      <c r="E1628">
        <v>10</v>
      </c>
      <c r="F1628">
        <v>5</v>
      </c>
      <c r="G1628">
        <v>0</v>
      </c>
      <c r="H1628">
        <v>2</v>
      </c>
      <c r="I1628">
        <v>7</v>
      </c>
      <c r="J1628">
        <v>2018</v>
      </c>
      <c r="K1628">
        <v>6</v>
      </c>
      <c r="L1628">
        <v>276</v>
      </c>
      <c r="M1628" t="s">
        <v>14</v>
      </c>
    </row>
    <row r="1629" spans="1:13" x14ac:dyDescent="0.3">
      <c r="A1629" s="1">
        <v>43268</v>
      </c>
      <c r="B1629">
        <v>4.84</v>
      </c>
      <c r="C1629">
        <v>6.5860000000000003</v>
      </c>
      <c r="D1629">
        <v>6</v>
      </c>
      <c r="E1629">
        <v>24</v>
      </c>
      <c r="F1629">
        <v>10</v>
      </c>
      <c r="G1629">
        <v>0</v>
      </c>
      <c r="H1629">
        <v>5</v>
      </c>
      <c r="I1629">
        <v>4</v>
      </c>
      <c r="J1629">
        <v>2018</v>
      </c>
      <c r="K1629">
        <v>6</v>
      </c>
      <c r="L1629">
        <v>276</v>
      </c>
      <c r="M1629" t="s">
        <v>15</v>
      </c>
    </row>
    <row r="1630" spans="1:13" x14ac:dyDescent="0.3">
      <c r="A1630" s="1">
        <v>43269</v>
      </c>
      <c r="B1630">
        <v>4.5</v>
      </c>
      <c r="C1630">
        <v>1.33</v>
      </c>
      <c r="D1630">
        <v>2.1</v>
      </c>
      <c r="E1630">
        <v>14</v>
      </c>
      <c r="F1630">
        <v>4</v>
      </c>
      <c r="G1630">
        <v>0</v>
      </c>
      <c r="H1630">
        <v>1</v>
      </c>
      <c r="I1630">
        <v>6</v>
      </c>
      <c r="J1630">
        <v>2018</v>
      </c>
      <c r="K1630">
        <v>6</v>
      </c>
      <c r="L1630">
        <v>276</v>
      </c>
      <c r="M1630" t="s">
        <v>16</v>
      </c>
    </row>
    <row r="1631" spans="1:13" x14ac:dyDescent="0.3">
      <c r="A1631" s="1">
        <v>43270</v>
      </c>
      <c r="B1631">
        <v>4</v>
      </c>
      <c r="C1631">
        <v>3.34</v>
      </c>
      <c r="D1631">
        <v>4</v>
      </c>
      <c r="E1631">
        <v>23</v>
      </c>
      <c r="F1631">
        <v>8</v>
      </c>
      <c r="G1631">
        <v>0</v>
      </c>
      <c r="H1631">
        <v>5</v>
      </c>
      <c r="I1631">
        <v>3</v>
      </c>
      <c r="J1631">
        <v>2018</v>
      </c>
      <c r="K1631">
        <v>6</v>
      </c>
      <c r="L1631">
        <v>276</v>
      </c>
      <c r="M1631" t="s">
        <v>17</v>
      </c>
    </row>
    <row r="1632" spans="1:13" x14ac:dyDescent="0.3">
      <c r="A1632" s="1">
        <v>43271</v>
      </c>
      <c r="B1632">
        <v>3.66</v>
      </c>
      <c r="C1632">
        <v>4.5279999999999996</v>
      </c>
      <c r="D1632">
        <v>2.5</v>
      </c>
      <c r="E1632">
        <v>15.061999999999999</v>
      </c>
      <c r="F1632">
        <v>8</v>
      </c>
      <c r="G1632">
        <v>3</v>
      </c>
      <c r="H1632">
        <v>11</v>
      </c>
      <c r="I1632">
        <v>2.6</v>
      </c>
      <c r="J1632">
        <v>2018</v>
      </c>
      <c r="K1632">
        <v>6</v>
      </c>
      <c r="L1632">
        <v>276</v>
      </c>
      <c r="M1632" t="s">
        <v>18</v>
      </c>
    </row>
    <row r="1633" spans="1:13" x14ac:dyDescent="0.3">
      <c r="A1633" s="1">
        <v>43272</v>
      </c>
      <c r="B1633">
        <v>3.35</v>
      </c>
      <c r="C1633">
        <v>2.9129999999999998</v>
      </c>
      <c r="D1633">
        <v>4</v>
      </c>
      <c r="E1633">
        <v>36</v>
      </c>
      <c r="F1633">
        <v>5</v>
      </c>
      <c r="G1633">
        <v>0</v>
      </c>
      <c r="H1633">
        <v>5</v>
      </c>
      <c r="I1633">
        <v>10.5</v>
      </c>
      <c r="J1633">
        <v>2018</v>
      </c>
      <c r="K1633">
        <v>6</v>
      </c>
      <c r="L1633">
        <v>276</v>
      </c>
      <c r="M1633" t="s">
        <v>12</v>
      </c>
    </row>
    <row r="1634" spans="1:13" x14ac:dyDescent="0.3">
      <c r="A1634" s="1">
        <v>43273</v>
      </c>
      <c r="B1634">
        <v>5</v>
      </c>
      <c r="C1634">
        <v>5.0990000000000002</v>
      </c>
      <c r="D1634">
        <v>4.1500000000000004</v>
      </c>
      <c r="E1634">
        <v>12</v>
      </c>
      <c r="F1634">
        <v>3</v>
      </c>
      <c r="G1634">
        <v>0</v>
      </c>
      <c r="H1634">
        <v>6</v>
      </c>
      <c r="I1634">
        <v>5.5</v>
      </c>
      <c r="J1634">
        <v>2018</v>
      </c>
      <c r="K1634">
        <v>6</v>
      </c>
      <c r="L1634">
        <v>276</v>
      </c>
      <c r="M1634" t="s">
        <v>13</v>
      </c>
    </row>
    <row r="1635" spans="1:13" x14ac:dyDescent="0.3">
      <c r="A1635" s="1">
        <v>43274</v>
      </c>
      <c r="B1635">
        <v>5.33</v>
      </c>
      <c r="C1635">
        <v>7.343</v>
      </c>
      <c r="D1635">
        <v>2</v>
      </c>
      <c r="E1635">
        <v>14</v>
      </c>
      <c r="F1635">
        <v>7</v>
      </c>
      <c r="G1635">
        <v>0</v>
      </c>
      <c r="H1635">
        <v>1</v>
      </c>
      <c r="I1635">
        <v>2</v>
      </c>
      <c r="J1635">
        <v>2018</v>
      </c>
      <c r="K1635">
        <v>6</v>
      </c>
      <c r="L1635">
        <v>276</v>
      </c>
      <c r="M1635" t="s">
        <v>14</v>
      </c>
    </row>
    <row r="1636" spans="1:13" x14ac:dyDescent="0.3">
      <c r="A1636" s="1">
        <v>43275</v>
      </c>
      <c r="B1636">
        <v>1.67</v>
      </c>
      <c r="C1636">
        <v>4.7460000000000004</v>
      </c>
      <c r="D1636">
        <v>2</v>
      </c>
      <c r="E1636">
        <v>29</v>
      </c>
      <c r="F1636">
        <v>10</v>
      </c>
      <c r="G1636">
        <v>0</v>
      </c>
      <c r="H1636">
        <v>0</v>
      </c>
      <c r="I1636">
        <v>3</v>
      </c>
      <c r="J1636">
        <v>2018</v>
      </c>
      <c r="K1636">
        <v>6</v>
      </c>
      <c r="L1636">
        <v>276</v>
      </c>
      <c r="M1636" t="s">
        <v>15</v>
      </c>
    </row>
    <row r="1637" spans="1:13" x14ac:dyDescent="0.3">
      <c r="A1637" s="1">
        <v>43276</v>
      </c>
      <c r="B1637">
        <v>3.33</v>
      </c>
      <c r="C1637">
        <v>3.0990000000000002</v>
      </c>
      <c r="D1637">
        <v>0</v>
      </c>
      <c r="E1637">
        <v>31.062000000000001</v>
      </c>
      <c r="F1637">
        <v>12</v>
      </c>
      <c r="G1637">
        <v>3</v>
      </c>
      <c r="H1637">
        <v>5</v>
      </c>
      <c r="I1637">
        <v>2</v>
      </c>
      <c r="J1637">
        <v>2018</v>
      </c>
      <c r="K1637">
        <v>6</v>
      </c>
      <c r="L1637">
        <v>276</v>
      </c>
      <c r="M1637" t="s">
        <v>16</v>
      </c>
    </row>
    <row r="1638" spans="1:13" x14ac:dyDescent="0.3">
      <c r="A1638" s="1">
        <v>43277</v>
      </c>
      <c r="B1638">
        <v>10.33</v>
      </c>
      <c r="C1638">
        <v>5.67</v>
      </c>
      <c r="D1638">
        <v>3</v>
      </c>
      <c r="E1638">
        <v>15</v>
      </c>
      <c r="F1638">
        <v>6</v>
      </c>
      <c r="G1638">
        <v>0</v>
      </c>
      <c r="H1638">
        <v>9</v>
      </c>
      <c r="I1638">
        <v>4.4000000000000004</v>
      </c>
      <c r="J1638">
        <v>2018</v>
      </c>
      <c r="K1638">
        <v>6</v>
      </c>
      <c r="L1638">
        <v>276</v>
      </c>
      <c r="M1638" t="s">
        <v>17</v>
      </c>
    </row>
    <row r="1639" spans="1:13" x14ac:dyDescent="0.3">
      <c r="A1639" s="1">
        <v>43278</v>
      </c>
      <c r="B1639">
        <v>2</v>
      </c>
      <c r="C1639">
        <v>2.3959999999999999</v>
      </c>
      <c r="D1639">
        <v>3</v>
      </c>
      <c r="E1639">
        <v>11</v>
      </c>
      <c r="F1639">
        <v>10</v>
      </c>
      <c r="G1639">
        <v>0</v>
      </c>
      <c r="H1639">
        <v>2</v>
      </c>
      <c r="I1639">
        <v>3</v>
      </c>
      <c r="J1639">
        <v>2018</v>
      </c>
      <c r="K1639">
        <v>6</v>
      </c>
      <c r="L1639">
        <v>276</v>
      </c>
      <c r="M1639" t="s">
        <v>18</v>
      </c>
    </row>
    <row r="1640" spans="1:13" x14ac:dyDescent="0.3">
      <c r="A1640" s="1">
        <v>43279</v>
      </c>
      <c r="B1640">
        <v>3</v>
      </c>
      <c r="C1640">
        <v>2.1920000000000002</v>
      </c>
      <c r="D1640">
        <v>4</v>
      </c>
      <c r="E1640">
        <v>10</v>
      </c>
      <c r="F1640">
        <v>13</v>
      </c>
      <c r="G1640">
        <v>0</v>
      </c>
      <c r="H1640">
        <v>5</v>
      </c>
      <c r="I1640">
        <v>2</v>
      </c>
      <c r="J1640">
        <v>2018</v>
      </c>
      <c r="K1640">
        <v>6</v>
      </c>
      <c r="L1640">
        <v>276</v>
      </c>
      <c r="M1640" t="s">
        <v>12</v>
      </c>
    </row>
    <row r="1641" spans="1:13" x14ac:dyDescent="0.3">
      <c r="A1641" s="1">
        <v>43280</v>
      </c>
      <c r="B1641">
        <v>1</v>
      </c>
      <c r="C1641">
        <v>3</v>
      </c>
      <c r="D1641">
        <v>2</v>
      </c>
      <c r="E1641">
        <v>10</v>
      </c>
      <c r="F1641">
        <v>8</v>
      </c>
      <c r="G1641">
        <v>0</v>
      </c>
      <c r="H1641">
        <v>0</v>
      </c>
      <c r="I1641">
        <v>4</v>
      </c>
      <c r="J1641">
        <v>2018</v>
      </c>
      <c r="K1641">
        <v>6</v>
      </c>
      <c r="L1641">
        <v>276</v>
      </c>
      <c r="M1641" t="s">
        <v>13</v>
      </c>
    </row>
    <row r="1642" spans="1:13" x14ac:dyDescent="0.3">
      <c r="A1642" s="1">
        <v>43281</v>
      </c>
      <c r="B1642">
        <v>6.84</v>
      </c>
      <c r="C1642">
        <v>3.34</v>
      </c>
      <c r="D1642">
        <v>7</v>
      </c>
      <c r="E1642">
        <v>26.8</v>
      </c>
      <c r="F1642">
        <v>10</v>
      </c>
      <c r="G1642">
        <v>2</v>
      </c>
      <c r="H1642">
        <v>0</v>
      </c>
      <c r="I1642">
        <v>4</v>
      </c>
      <c r="J1642">
        <v>2018</v>
      </c>
      <c r="K1642">
        <v>6</v>
      </c>
      <c r="L1642">
        <v>276</v>
      </c>
      <c r="M1642" t="s">
        <v>14</v>
      </c>
    </row>
    <row r="1643" spans="1:13" x14ac:dyDescent="0.3">
      <c r="A1643" s="1">
        <v>43282</v>
      </c>
      <c r="B1643">
        <v>2</v>
      </c>
      <c r="C1643">
        <v>3.6930000000000001</v>
      </c>
      <c r="D1643">
        <v>1</v>
      </c>
      <c r="E1643">
        <v>22</v>
      </c>
      <c r="F1643">
        <v>7</v>
      </c>
      <c r="G1643">
        <v>0</v>
      </c>
      <c r="H1643">
        <v>10</v>
      </c>
      <c r="I1643">
        <v>4</v>
      </c>
      <c r="J1643">
        <v>2018</v>
      </c>
      <c r="K1643">
        <v>7</v>
      </c>
      <c r="L1643">
        <v>276</v>
      </c>
      <c r="M1643" t="s">
        <v>15</v>
      </c>
    </row>
    <row r="1644" spans="1:13" x14ac:dyDescent="0.3">
      <c r="A1644" s="1">
        <v>43283</v>
      </c>
      <c r="B1644">
        <v>3.33</v>
      </c>
      <c r="C1644">
        <v>6.33</v>
      </c>
      <c r="D1644">
        <v>3</v>
      </c>
      <c r="E1644">
        <v>24.6</v>
      </c>
      <c r="F1644">
        <v>18</v>
      </c>
      <c r="G1644">
        <v>0</v>
      </c>
      <c r="H1644">
        <v>3</v>
      </c>
      <c r="I1644">
        <v>7</v>
      </c>
      <c r="J1644">
        <v>2018</v>
      </c>
      <c r="K1644">
        <v>7</v>
      </c>
      <c r="L1644">
        <v>276</v>
      </c>
      <c r="M1644" t="s">
        <v>16</v>
      </c>
    </row>
    <row r="1645" spans="1:13" x14ac:dyDescent="0.3">
      <c r="A1645" s="1">
        <v>43284</v>
      </c>
      <c r="B1645">
        <v>6.34</v>
      </c>
      <c r="C1645">
        <v>2.33</v>
      </c>
      <c r="D1645">
        <v>1</v>
      </c>
      <c r="E1645">
        <v>13.6</v>
      </c>
      <c r="F1645">
        <v>9</v>
      </c>
      <c r="G1645">
        <v>0</v>
      </c>
      <c r="H1645">
        <v>8</v>
      </c>
      <c r="I1645">
        <v>3</v>
      </c>
      <c r="J1645">
        <v>2018</v>
      </c>
      <c r="K1645">
        <v>7</v>
      </c>
      <c r="L1645">
        <v>276</v>
      </c>
      <c r="M1645" t="s">
        <v>17</v>
      </c>
    </row>
    <row r="1646" spans="1:13" x14ac:dyDescent="0.3">
      <c r="A1646" s="1">
        <v>43285</v>
      </c>
      <c r="B1646">
        <v>1</v>
      </c>
      <c r="C1646">
        <v>2.83</v>
      </c>
      <c r="D1646">
        <v>3.5</v>
      </c>
      <c r="E1646">
        <v>16.25</v>
      </c>
      <c r="F1646">
        <v>6</v>
      </c>
      <c r="G1646">
        <v>0</v>
      </c>
      <c r="H1646">
        <v>22</v>
      </c>
      <c r="I1646">
        <v>7</v>
      </c>
      <c r="J1646">
        <v>2018</v>
      </c>
      <c r="K1646">
        <v>7</v>
      </c>
      <c r="L1646">
        <v>276</v>
      </c>
      <c r="M1646" t="s">
        <v>18</v>
      </c>
    </row>
    <row r="1647" spans="1:13" x14ac:dyDescent="0.3">
      <c r="A1647" s="1">
        <v>43286</v>
      </c>
      <c r="B1647">
        <v>4.33</v>
      </c>
      <c r="C1647">
        <v>2.7589999999999999</v>
      </c>
      <c r="D1647">
        <v>4</v>
      </c>
      <c r="E1647">
        <v>15</v>
      </c>
      <c r="F1647">
        <v>6</v>
      </c>
      <c r="G1647">
        <v>3</v>
      </c>
      <c r="H1647">
        <v>3</v>
      </c>
      <c r="I1647">
        <v>1</v>
      </c>
      <c r="J1647">
        <v>2018</v>
      </c>
      <c r="K1647">
        <v>7</v>
      </c>
      <c r="L1647">
        <v>276</v>
      </c>
      <c r="M1647" t="s">
        <v>12</v>
      </c>
    </row>
    <row r="1648" spans="1:13" x14ac:dyDescent="0.3">
      <c r="A1648" s="1">
        <v>43287</v>
      </c>
      <c r="B1648">
        <v>2.33</v>
      </c>
      <c r="C1648">
        <v>5.33</v>
      </c>
      <c r="D1648">
        <v>1.25</v>
      </c>
      <c r="E1648">
        <v>20</v>
      </c>
      <c r="F1648">
        <v>15</v>
      </c>
      <c r="G1648">
        <v>0</v>
      </c>
      <c r="H1648">
        <v>0</v>
      </c>
      <c r="I1648">
        <v>6</v>
      </c>
      <c r="J1648">
        <v>2018</v>
      </c>
      <c r="K1648">
        <v>7</v>
      </c>
      <c r="L1648">
        <v>276</v>
      </c>
      <c r="M1648" t="s">
        <v>13</v>
      </c>
    </row>
    <row r="1649" spans="1:13" x14ac:dyDescent="0.3">
      <c r="A1649" s="1">
        <v>43288</v>
      </c>
      <c r="B1649">
        <v>6.33</v>
      </c>
      <c r="C1649">
        <v>8.52</v>
      </c>
      <c r="D1649">
        <v>7</v>
      </c>
      <c r="E1649">
        <v>19</v>
      </c>
      <c r="F1649">
        <v>14</v>
      </c>
      <c r="G1649">
        <v>0</v>
      </c>
      <c r="H1649">
        <v>0</v>
      </c>
      <c r="I1649">
        <v>5.5</v>
      </c>
      <c r="J1649">
        <v>2018</v>
      </c>
      <c r="K1649">
        <v>7</v>
      </c>
      <c r="L1649">
        <v>276</v>
      </c>
      <c r="M1649" t="s">
        <v>14</v>
      </c>
    </row>
    <row r="1650" spans="1:13" x14ac:dyDescent="0.3">
      <c r="A1650" s="1">
        <v>43289</v>
      </c>
      <c r="B1650">
        <v>7.33</v>
      </c>
      <c r="C1650">
        <v>5.2110000000000003</v>
      </c>
      <c r="D1650">
        <v>2</v>
      </c>
      <c r="E1650">
        <v>28</v>
      </c>
      <c r="F1650">
        <v>10</v>
      </c>
      <c r="G1650">
        <v>0</v>
      </c>
      <c r="H1650">
        <v>5</v>
      </c>
      <c r="I1650">
        <v>4</v>
      </c>
      <c r="J1650">
        <v>2018</v>
      </c>
      <c r="K1650">
        <v>7</v>
      </c>
      <c r="L1650">
        <v>276</v>
      </c>
      <c r="M1650" t="s">
        <v>15</v>
      </c>
    </row>
    <row r="1651" spans="1:13" x14ac:dyDescent="0.3">
      <c r="A1651" s="1">
        <v>43290</v>
      </c>
      <c r="B1651">
        <v>3.33</v>
      </c>
      <c r="C1651">
        <v>2</v>
      </c>
      <c r="D1651">
        <v>4</v>
      </c>
      <c r="E1651">
        <v>31</v>
      </c>
      <c r="F1651">
        <v>12</v>
      </c>
      <c r="G1651">
        <v>3</v>
      </c>
      <c r="H1651">
        <v>0</v>
      </c>
      <c r="I1651">
        <v>3</v>
      </c>
      <c r="J1651">
        <v>2018</v>
      </c>
      <c r="K1651">
        <v>7</v>
      </c>
      <c r="L1651">
        <v>276</v>
      </c>
      <c r="M1651" t="s">
        <v>16</v>
      </c>
    </row>
    <row r="1652" spans="1:13" x14ac:dyDescent="0.3">
      <c r="A1652" s="1">
        <v>43291</v>
      </c>
      <c r="B1652">
        <v>6</v>
      </c>
      <c r="C1652">
        <v>6.36</v>
      </c>
      <c r="D1652">
        <v>4</v>
      </c>
      <c r="E1652">
        <v>34</v>
      </c>
      <c r="F1652">
        <v>9</v>
      </c>
      <c r="G1652">
        <v>2</v>
      </c>
      <c r="H1652">
        <v>2</v>
      </c>
      <c r="I1652">
        <v>4</v>
      </c>
      <c r="J1652">
        <v>2018</v>
      </c>
      <c r="K1652">
        <v>7</v>
      </c>
      <c r="L1652">
        <v>276</v>
      </c>
      <c r="M1652" t="s">
        <v>17</v>
      </c>
    </row>
    <row r="1653" spans="1:13" x14ac:dyDescent="0.3">
      <c r="A1653" s="1">
        <v>43292</v>
      </c>
      <c r="B1653">
        <v>10</v>
      </c>
      <c r="C1653">
        <v>3.363</v>
      </c>
      <c r="D1653">
        <v>3</v>
      </c>
      <c r="E1653">
        <v>29.4</v>
      </c>
      <c r="F1653">
        <v>13</v>
      </c>
      <c r="G1653">
        <v>0</v>
      </c>
      <c r="H1653">
        <v>6</v>
      </c>
      <c r="I1653">
        <v>2</v>
      </c>
      <c r="J1653">
        <v>2018</v>
      </c>
      <c r="K1653">
        <v>7</v>
      </c>
      <c r="L1653">
        <v>276</v>
      </c>
      <c r="M1653" t="s">
        <v>18</v>
      </c>
    </row>
    <row r="1654" spans="1:13" x14ac:dyDescent="0.3">
      <c r="A1654" s="1">
        <v>43293</v>
      </c>
      <c r="B1654">
        <v>3</v>
      </c>
      <c r="C1654">
        <v>4.34</v>
      </c>
      <c r="D1654">
        <v>7</v>
      </c>
      <c r="E1654">
        <v>24</v>
      </c>
      <c r="F1654">
        <v>11</v>
      </c>
      <c r="G1654">
        <v>4</v>
      </c>
      <c r="H1654">
        <v>0</v>
      </c>
      <c r="I1654">
        <v>3</v>
      </c>
      <c r="J1654">
        <v>2018</v>
      </c>
      <c r="K1654">
        <v>7</v>
      </c>
      <c r="L1654">
        <v>276</v>
      </c>
      <c r="M1654" t="s">
        <v>12</v>
      </c>
    </row>
    <row r="1655" spans="1:13" x14ac:dyDescent="0.3">
      <c r="A1655" s="1">
        <v>43294</v>
      </c>
      <c r="B1655">
        <v>1.34</v>
      </c>
      <c r="C1655">
        <v>2.67</v>
      </c>
      <c r="D1655">
        <v>1.1499999999999999</v>
      </c>
      <c r="E1655">
        <v>22</v>
      </c>
      <c r="F1655">
        <v>5</v>
      </c>
      <c r="G1655">
        <v>0</v>
      </c>
      <c r="H1655">
        <v>2</v>
      </c>
      <c r="I1655">
        <v>3</v>
      </c>
      <c r="J1655">
        <v>2018</v>
      </c>
      <c r="K1655">
        <v>7</v>
      </c>
      <c r="L1655">
        <v>276</v>
      </c>
      <c r="M1655" t="s">
        <v>13</v>
      </c>
    </row>
    <row r="1656" spans="1:13" x14ac:dyDescent="0.3">
      <c r="A1656" s="1">
        <v>43295</v>
      </c>
      <c r="B1656">
        <v>0</v>
      </c>
      <c r="C1656">
        <v>3.2</v>
      </c>
      <c r="D1656">
        <v>0</v>
      </c>
      <c r="E1656">
        <v>26</v>
      </c>
      <c r="F1656">
        <v>8</v>
      </c>
      <c r="G1656">
        <v>0</v>
      </c>
      <c r="H1656">
        <v>0</v>
      </c>
      <c r="I1656">
        <v>1.4</v>
      </c>
      <c r="J1656">
        <v>2018</v>
      </c>
      <c r="K1656">
        <v>7</v>
      </c>
      <c r="L1656">
        <v>276</v>
      </c>
      <c r="M1656" t="s">
        <v>14</v>
      </c>
    </row>
    <row r="1657" spans="1:13" x14ac:dyDescent="0.3">
      <c r="A1657" s="1">
        <v>43296</v>
      </c>
      <c r="B1657">
        <v>10</v>
      </c>
      <c r="C1657">
        <v>9.42</v>
      </c>
      <c r="D1657">
        <v>3.5</v>
      </c>
      <c r="E1657">
        <v>23</v>
      </c>
      <c r="F1657">
        <v>4</v>
      </c>
      <c r="G1657">
        <v>0</v>
      </c>
      <c r="H1657">
        <v>1</v>
      </c>
      <c r="I1657">
        <v>7</v>
      </c>
      <c r="J1657">
        <v>2018</v>
      </c>
      <c r="K1657">
        <v>7</v>
      </c>
      <c r="L1657">
        <v>276</v>
      </c>
      <c r="M1657" t="s">
        <v>15</v>
      </c>
    </row>
    <row r="1658" spans="1:13" x14ac:dyDescent="0.3">
      <c r="A1658" s="1">
        <v>43297</v>
      </c>
      <c r="B1658">
        <v>9.33</v>
      </c>
      <c r="C1658">
        <v>5.0229999999999997</v>
      </c>
      <c r="D1658">
        <v>1</v>
      </c>
      <c r="E1658">
        <v>22</v>
      </c>
      <c r="F1658">
        <v>8</v>
      </c>
      <c r="G1658">
        <v>0</v>
      </c>
      <c r="H1658">
        <v>0</v>
      </c>
      <c r="I1658">
        <v>3</v>
      </c>
      <c r="J1658">
        <v>2018</v>
      </c>
      <c r="K1658">
        <v>7</v>
      </c>
      <c r="L1658">
        <v>276</v>
      </c>
      <c r="M1658" t="s">
        <v>16</v>
      </c>
    </row>
    <row r="1659" spans="1:13" x14ac:dyDescent="0.3">
      <c r="A1659" s="1">
        <v>43298</v>
      </c>
      <c r="B1659">
        <v>2.33</v>
      </c>
      <c r="C1659">
        <v>3.66</v>
      </c>
      <c r="D1659">
        <v>2</v>
      </c>
      <c r="E1659">
        <v>29.4</v>
      </c>
      <c r="F1659">
        <v>13</v>
      </c>
      <c r="G1659">
        <v>0</v>
      </c>
      <c r="H1659">
        <v>0</v>
      </c>
      <c r="I1659">
        <v>6</v>
      </c>
      <c r="J1659">
        <v>2018</v>
      </c>
      <c r="K1659">
        <v>7</v>
      </c>
      <c r="L1659">
        <v>276</v>
      </c>
      <c r="M1659" t="s">
        <v>17</v>
      </c>
    </row>
    <row r="1660" spans="1:13" x14ac:dyDescent="0.3">
      <c r="A1660" s="1">
        <v>43299</v>
      </c>
      <c r="B1660">
        <v>2.5</v>
      </c>
      <c r="C1660">
        <v>2.8370000000000002</v>
      </c>
      <c r="D1660">
        <v>5</v>
      </c>
      <c r="E1660">
        <v>10</v>
      </c>
      <c r="F1660">
        <v>17</v>
      </c>
      <c r="G1660">
        <v>0</v>
      </c>
      <c r="H1660">
        <v>12</v>
      </c>
      <c r="I1660">
        <v>6</v>
      </c>
      <c r="J1660">
        <v>2018</v>
      </c>
      <c r="K1660">
        <v>7</v>
      </c>
      <c r="L1660">
        <v>276</v>
      </c>
      <c r="M1660" t="s">
        <v>18</v>
      </c>
    </row>
    <row r="1661" spans="1:13" x14ac:dyDescent="0.3">
      <c r="A1661" s="1">
        <v>43300</v>
      </c>
      <c r="B1661">
        <v>6.84</v>
      </c>
      <c r="C1661">
        <v>4</v>
      </c>
      <c r="D1661">
        <v>3</v>
      </c>
      <c r="E1661">
        <v>16</v>
      </c>
      <c r="F1661">
        <v>14</v>
      </c>
      <c r="G1661">
        <v>1</v>
      </c>
      <c r="H1661">
        <v>0</v>
      </c>
      <c r="I1661">
        <v>3</v>
      </c>
      <c r="J1661">
        <v>2018</v>
      </c>
      <c r="K1661">
        <v>7</v>
      </c>
      <c r="L1661">
        <v>276</v>
      </c>
      <c r="M1661" t="s">
        <v>12</v>
      </c>
    </row>
    <row r="1662" spans="1:13" x14ac:dyDescent="0.3">
      <c r="A1662" s="1">
        <v>43301</v>
      </c>
      <c r="B1662">
        <v>5</v>
      </c>
      <c r="C1662">
        <v>7.1769999999999996</v>
      </c>
      <c r="D1662">
        <v>5</v>
      </c>
      <c r="E1662">
        <v>35.200000000000003</v>
      </c>
      <c r="F1662">
        <v>2</v>
      </c>
      <c r="G1662">
        <v>1</v>
      </c>
      <c r="H1662">
        <v>2</v>
      </c>
      <c r="I1662">
        <v>4</v>
      </c>
      <c r="J1662">
        <v>2018</v>
      </c>
      <c r="K1662">
        <v>7</v>
      </c>
      <c r="L1662">
        <v>276</v>
      </c>
      <c r="M1662" t="s">
        <v>13</v>
      </c>
    </row>
    <row r="1663" spans="1:13" x14ac:dyDescent="0.3">
      <c r="A1663" s="1">
        <v>43302</v>
      </c>
      <c r="B1663">
        <v>4</v>
      </c>
      <c r="C1663">
        <v>5.0199999999999996</v>
      </c>
      <c r="D1663">
        <v>0.3</v>
      </c>
      <c r="E1663">
        <v>22</v>
      </c>
      <c r="F1663">
        <v>7</v>
      </c>
      <c r="G1663">
        <v>0</v>
      </c>
      <c r="H1663">
        <v>5</v>
      </c>
      <c r="I1663">
        <v>1</v>
      </c>
      <c r="J1663">
        <v>2018</v>
      </c>
      <c r="K1663">
        <v>7</v>
      </c>
      <c r="L1663">
        <v>276</v>
      </c>
      <c r="M1663" t="s">
        <v>14</v>
      </c>
    </row>
    <row r="1664" spans="1:13" x14ac:dyDescent="0.3">
      <c r="A1664" s="1">
        <v>43303</v>
      </c>
      <c r="B1664">
        <v>3.66</v>
      </c>
      <c r="C1664">
        <v>4.34</v>
      </c>
      <c r="D1664">
        <v>0</v>
      </c>
      <c r="E1664">
        <v>31</v>
      </c>
      <c r="F1664">
        <v>4</v>
      </c>
      <c r="G1664">
        <v>0</v>
      </c>
      <c r="H1664">
        <v>5</v>
      </c>
      <c r="I1664">
        <v>6</v>
      </c>
      <c r="J1664">
        <v>2018</v>
      </c>
      <c r="K1664">
        <v>7</v>
      </c>
      <c r="L1664">
        <v>276</v>
      </c>
      <c r="M1664" t="s">
        <v>15</v>
      </c>
    </row>
    <row r="1665" spans="1:13" x14ac:dyDescent="0.3">
      <c r="A1665" s="1">
        <v>43304</v>
      </c>
      <c r="B1665">
        <v>8.68</v>
      </c>
      <c r="C1665">
        <v>1.863</v>
      </c>
      <c r="D1665">
        <v>2.1</v>
      </c>
      <c r="E1665">
        <v>12</v>
      </c>
      <c r="F1665">
        <v>15</v>
      </c>
      <c r="G1665">
        <v>1</v>
      </c>
      <c r="H1665">
        <v>0</v>
      </c>
      <c r="I1665">
        <v>5.3</v>
      </c>
      <c r="J1665">
        <v>2018</v>
      </c>
      <c r="K1665">
        <v>7</v>
      </c>
      <c r="L1665">
        <v>276</v>
      </c>
      <c r="M1665" t="s">
        <v>16</v>
      </c>
    </row>
    <row r="1666" spans="1:13" x14ac:dyDescent="0.3">
      <c r="A1666" s="1">
        <v>43305</v>
      </c>
      <c r="B1666">
        <v>9.68</v>
      </c>
      <c r="C1666">
        <v>4</v>
      </c>
      <c r="D1666">
        <v>2</v>
      </c>
      <c r="E1666">
        <v>22</v>
      </c>
      <c r="F1666">
        <v>4</v>
      </c>
      <c r="G1666">
        <v>1</v>
      </c>
      <c r="H1666">
        <v>2</v>
      </c>
      <c r="I1666">
        <v>2</v>
      </c>
      <c r="J1666">
        <v>2018</v>
      </c>
      <c r="K1666">
        <v>7</v>
      </c>
      <c r="L1666">
        <v>276</v>
      </c>
      <c r="M1666" t="s">
        <v>17</v>
      </c>
    </row>
    <row r="1667" spans="1:13" x14ac:dyDescent="0.3">
      <c r="A1667" s="1">
        <v>43306</v>
      </c>
      <c r="B1667">
        <v>5</v>
      </c>
      <c r="C1667">
        <v>2.68</v>
      </c>
      <c r="D1667">
        <v>2</v>
      </c>
      <c r="E1667">
        <v>16</v>
      </c>
      <c r="F1667">
        <v>7</v>
      </c>
      <c r="G1667">
        <v>0</v>
      </c>
      <c r="H1667">
        <v>0</v>
      </c>
      <c r="I1667">
        <v>2</v>
      </c>
      <c r="J1667">
        <v>2018</v>
      </c>
      <c r="K1667">
        <v>7</v>
      </c>
      <c r="L1667">
        <v>276</v>
      </c>
      <c r="M1667" t="s">
        <v>18</v>
      </c>
    </row>
    <row r="1668" spans="1:13" x14ac:dyDescent="0.3">
      <c r="A1668" s="1">
        <v>43307</v>
      </c>
      <c r="B1668">
        <v>4.33</v>
      </c>
      <c r="C1668">
        <v>1.827</v>
      </c>
      <c r="D1668">
        <v>5</v>
      </c>
      <c r="E1668">
        <v>24</v>
      </c>
      <c r="F1668">
        <v>4</v>
      </c>
      <c r="G1668">
        <v>0</v>
      </c>
      <c r="H1668">
        <v>1</v>
      </c>
      <c r="I1668">
        <v>4</v>
      </c>
      <c r="J1668">
        <v>2018</v>
      </c>
      <c r="K1668">
        <v>7</v>
      </c>
      <c r="L1668">
        <v>276</v>
      </c>
      <c r="M1668" t="s">
        <v>12</v>
      </c>
    </row>
    <row r="1669" spans="1:13" x14ac:dyDescent="0.3">
      <c r="A1669" s="1">
        <v>43308</v>
      </c>
      <c r="B1669">
        <v>2.34</v>
      </c>
      <c r="C1669">
        <v>3.34</v>
      </c>
      <c r="D1669">
        <v>3</v>
      </c>
      <c r="E1669">
        <v>19.399999999999999</v>
      </c>
      <c r="F1669">
        <v>11</v>
      </c>
      <c r="G1669">
        <v>0</v>
      </c>
      <c r="H1669">
        <v>1</v>
      </c>
      <c r="I1669">
        <v>6</v>
      </c>
      <c r="J1669">
        <v>2018</v>
      </c>
      <c r="K1669">
        <v>7</v>
      </c>
      <c r="L1669">
        <v>276</v>
      </c>
      <c r="M1669" t="s">
        <v>13</v>
      </c>
    </row>
    <row r="1670" spans="1:13" x14ac:dyDescent="0.3">
      <c r="A1670" s="1">
        <v>43309</v>
      </c>
      <c r="B1670">
        <v>6</v>
      </c>
      <c r="C1670">
        <v>4.01</v>
      </c>
      <c r="D1670">
        <v>1</v>
      </c>
      <c r="E1670">
        <v>24.5</v>
      </c>
      <c r="F1670">
        <v>9</v>
      </c>
      <c r="G1670">
        <v>0</v>
      </c>
      <c r="H1670">
        <v>0</v>
      </c>
      <c r="I1670">
        <v>3</v>
      </c>
      <c r="J1670">
        <v>2018</v>
      </c>
      <c r="K1670">
        <v>7</v>
      </c>
      <c r="L1670">
        <v>276</v>
      </c>
      <c r="M1670" t="s">
        <v>14</v>
      </c>
    </row>
    <row r="1671" spans="1:13" x14ac:dyDescent="0.3">
      <c r="A1671" s="1">
        <v>43310</v>
      </c>
      <c r="B1671">
        <v>3.5</v>
      </c>
      <c r="C1671">
        <v>4.3499999999999996</v>
      </c>
      <c r="D1671">
        <v>2.1</v>
      </c>
      <c r="E1671">
        <v>9</v>
      </c>
      <c r="F1671">
        <v>7</v>
      </c>
      <c r="G1671">
        <v>1</v>
      </c>
      <c r="H1671">
        <v>0</v>
      </c>
      <c r="I1671">
        <v>3</v>
      </c>
      <c r="J1671">
        <v>2018</v>
      </c>
      <c r="K1671">
        <v>7</v>
      </c>
      <c r="L1671">
        <v>276</v>
      </c>
      <c r="M1671" t="s">
        <v>15</v>
      </c>
    </row>
    <row r="1672" spans="1:13" x14ac:dyDescent="0.3">
      <c r="A1672" s="1">
        <v>43311</v>
      </c>
      <c r="B1672">
        <v>3</v>
      </c>
      <c r="C1672">
        <v>6.33</v>
      </c>
      <c r="D1672">
        <v>5.3</v>
      </c>
      <c r="E1672">
        <v>26</v>
      </c>
      <c r="F1672">
        <v>9</v>
      </c>
      <c r="G1672">
        <v>2</v>
      </c>
      <c r="H1672">
        <v>0</v>
      </c>
      <c r="I1672">
        <v>4</v>
      </c>
      <c r="J1672">
        <v>2018</v>
      </c>
      <c r="K1672">
        <v>7</v>
      </c>
      <c r="L1672">
        <v>276</v>
      </c>
      <c r="M1672" t="s">
        <v>16</v>
      </c>
    </row>
    <row r="1673" spans="1:13" x14ac:dyDescent="0.3">
      <c r="A1673" s="1">
        <v>43312</v>
      </c>
      <c r="B1673">
        <v>7.33</v>
      </c>
      <c r="C1673">
        <v>3.7360000000000002</v>
      </c>
      <c r="D1673">
        <v>3</v>
      </c>
      <c r="E1673">
        <v>13</v>
      </c>
      <c r="F1673">
        <v>5</v>
      </c>
      <c r="G1673">
        <v>0</v>
      </c>
      <c r="H1673">
        <v>0</v>
      </c>
      <c r="I1673">
        <v>3</v>
      </c>
      <c r="J1673">
        <v>2018</v>
      </c>
      <c r="K1673">
        <v>7</v>
      </c>
      <c r="L1673">
        <v>276</v>
      </c>
      <c r="M1673" t="s">
        <v>17</v>
      </c>
    </row>
    <row r="1674" spans="1:13" x14ac:dyDescent="0.3">
      <c r="A1674" s="1">
        <v>43313</v>
      </c>
      <c r="B1674">
        <v>1</v>
      </c>
      <c r="C1674">
        <v>2.34</v>
      </c>
      <c r="D1674">
        <v>1</v>
      </c>
      <c r="E1674">
        <v>14</v>
      </c>
      <c r="F1674">
        <v>9</v>
      </c>
      <c r="G1674">
        <v>1</v>
      </c>
      <c r="H1674">
        <v>1</v>
      </c>
      <c r="I1674">
        <v>7</v>
      </c>
      <c r="J1674">
        <v>2018</v>
      </c>
      <c r="K1674">
        <v>8</v>
      </c>
      <c r="L1674">
        <v>276</v>
      </c>
      <c r="M1674" t="s">
        <v>18</v>
      </c>
    </row>
    <row r="1675" spans="1:13" x14ac:dyDescent="0.3">
      <c r="A1675" s="1">
        <v>43314</v>
      </c>
      <c r="B1675">
        <v>0</v>
      </c>
      <c r="C1675">
        <v>1</v>
      </c>
      <c r="D1675">
        <v>0</v>
      </c>
      <c r="E1675">
        <v>11</v>
      </c>
      <c r="F1675">
        <v>11</v>
      </c>
      <c r="G1675">
        <v>0</v>
      </c>
      <c r="H1675">
        <v>2</v>
      </c>
      <c r="I1675">
        <v>5</v>
      </c>
      <c r="J1675">
        <v>2018</v>
      </c>
      <c r="K1675">
        <v>8</v>
      </c>
      <c r="L1675">
        <v>276</v>
      </c>
      <c r="M1675" t="s">
        <v>12</v>
      </c>
    </row>
    <row r="1676" spans="1:13" x14ac:dyDescent="0.3">
      <c r="A1676" s="1">
        <v>43315</v>
      </c>
      <c r="B1676">
        <v>4.01</v>
      </c>
      <c r="C1676">
        <v>2.67</v>
      </c>
      <c r="D1676">
        <v>2</v>
      </c>
      <c r="E1676">
        <v>21</v>
      </c>
      <c r="F1676">
        <v>9</v>
      </c>
      <c r="G1676">
        <v>0</v>
      </c>
      <c r="H1676">
        <v>0</v>
      </c>
      <c r="I1676">
        <v>1</v>
      </c>
      <c r="J1676">
        <v>2018</v>
      </c>
      <c r="K1676">
        <v>8</v>
      </c>
      <c r="L1676">
        <v>276</v>
      </c>
      <c r="M1676" t="s">
        <v>13</v>
      </c>
    </row>
    <row r="1677" spans="1:13" x14ac:dyDescent="0.3">
      <c r="A1677" s="1">
        <v>43316</v>
      </c>
      <c r="B1677">
        <v>5</v>
      </c>
      <c r="C1677">
        <v>3.87</v>
      </c>
      <c r="D1677">
        <v>2</v>
      </c>
      <c r="E1677">
        <v>8</v>
      </c>
      <c r="F1677">
        <v>11</v>
      </c>
      <c r="G1677">
        <v>3</v>
      </c>
      <c r="H1677">
        <v>0</v>
      </c>
      <c r="I1677">
        <v>8</v>
      </c>
      <c r="J1677">
        <v>2018</v>
      </c>
      <c r="K1677">
        <v>8</v>
      </c>
      <c r="L1677">
        <v>276</v>
      </c>
      <c r="M1677" t="s">
        <v>14</v>
      </c>
    </row>
    <row r="1678" spans="1:13" x14ac:dyDescent="0.3">
      <c r="A1678" s="1">
        <v>43317</v>
      </c>
      <c r="B1678">
        <v>6</v>
      </c>
      <c r="C1678">
        <v>0.99</v>
      </c>
      <c r="D1678">
        <v>5</v>
      </c>
      <c r="E1678">
        <v>13</v>
      </c>
      <c r="F1678">
        <v>4</v>
      </c>
      <c r="G1678">
        <v>2</v>
      </c>
      <c r="H1678">
        <v>6</v>
      </c>
      <c r="I1678">
        <v>1.3</v>
      </c>
      <c r="J1678">
        <v>2018</v>
      </c>
      <c r="K1678">
        <v>8</v>
      </c>
      <c r="L1678">
        <v>276</v>
      </c>
      <c r="M1678" t="s">
        <v>15</v>
      </c>
    </row>
    <row r="1679" spans="1:13" x14ac:dyDescent="0.3">
      <c r="A1679" s="1">
        <v>43318</v>
      </c>
      <c r="B1679">
        <v>8.33</v>
      </c>
      <c r="C1679">
        <v>6.165</v>
      </c>
      <c r="D1679">
        <v>2</v>
      </c>
      <c r="E1679">
        <v>21.388000000000002</v>
      </c>
      <c r="F1679">
        <v>7</v>
      </c>
      <c r="G1679">
        <v>0</v>
      </c>
      <c r="H1679">
        <v>6</v>
      </c>
      <c r="I1679">
        <v>2</v>
      </c>
      <c r="J1679">
        <v>2018</v>
      </c>
      <c r="K1679">
        <v>8</v>
      </c>
      <c r="L1679">
        <v>276</v>
      </c>
      <c r="M1679" t="s">
        <v>16</v>
      </c>
    </row>
    <row r="1680" spans="1:13" x14ac:dyDescent="0.3">
      <c r="A1680" s="1">
        <v>43319</v>
      </c>
      <c r="B1680">
        <v>2.33</v>
      </c>
      <c r="C1680">
        <v>2.67</v>
      </c>
      <c r="D1680">
        <v>8</v>
      </c>
      <c r="E1680">
        <v>15</v>
      </c>
      <c r="F1680">
        <v>7</v>
      </c>
      <c r="G1680">
        <v>1</v>
      </c>
      <c r="H1680">
        <v>1</v>
      </c>
      <c r="I1680">
        <v>3</v>
      </c>
      <c r="J1680">
        <v>2018</v>
      </c>
      <c r="K1680">
        <v>8</v>
      </c>
      <c r="L1680">
        <v>276</v>
      </c>
      <c r="M1680" t="s">
        <v>17</v>
      </c>
    </row>
    <row r="1681" spans="1:13" x14ac:dyDescent="0.3">
      <c r="A1681" s="1">
        <v>43320</v>
      </c>
      <c r="B1681">
        <v>4.33</v>
      </c>
      <c r="C1681">
        <v>2.7930000000000001</v>
      </c>
      <c r="D1681">
        <v>2</v>
      </c>
      <c r="E1681">
        <v>10</v>
      </c>
      <c r="F1681">
        <v>13</v>
      </c>
      <c r="G1681">
        <v>0</v>
      </c>
      <c r="H1681">
        <v>0</v>
      </c>
      <c r="I1681">
        <v>2</v>
      </c>
      <c r="J1681">
        <v>2018</v>
      </c>
      <c r="K1681">
        <v>8</v>
      </c>
      <c r="L1681">
        <v>276</v>
      </c>
      <c r="M1681" t="s">
        <v>18</v>
      </c>
    </row>
    <row r="1682" spans="1:13" x14ac:dyDescent="0.3">
      <c r="A1682" s="1">
        <v>43321</v>
      </c>
      <c r="B1682">
        <v>2.67</v>
      </c>
      <c r="C1682">
        <v>3.0659999999999998</v>
      </c>
      <c r="D1682">
        <v>1</v>
      </c>
      <c r="E1682">
        <v>29.4</v>
      </c>
      <c r="F1682">
        <v>13</v>
      </c>
      <c r="G1682">
        <v>0</v>
      </c>
      <c r="H1682">
        <v>0</v>
      </c>
      <c r="I1682">
        <v>2</v>
      </c>
      <c r="J1682">
        <v>2018</v>
      </c>
      <c r="K1682">
        <v>8</v>
      </c>
      <c r="L1682">
        <v>276</v>
      </c>
      <c r="M1682" t="s">
        <v>12</v>
      </c>
    </row>
    <row r="1683" spans="1:13" x14ac:dyDescent="0.3">
      <c r="A1683" s="1">
        <v>43322</v>
      </c>
      <c r="B1683">
        <v>6</v>
      </c>
      <c r="C1683">
        <v>4</v>
      </c>
      <c r="D1683">
        <v>4</v>
      </c>
      <c r="E1683">
        <v>19</v>
      </c>
      <c r="F1683">
        <v>4</v>
      </c>
      <c r="G1683">
        <v>0</v>
      </c>
      <c r="H1683">
        <v>0</v>
      </c>
      <c r="I1683">
        <v>2</v>
      </c>
      <c r="J1683">
        <v>2018</v>
      </c>
      <c r="K1683">
        <v>8</v>
      </c>
      <c r="L1683">
        <v>276</v>
      </c>
      <c r="M1683" t="s">
        <v>13</v>
      </c>
    </row>
    <row r="1684" spans="1:13" x14ac:dyDescent="0.3">
      <c r="A1684" s="1">
        <v>43323</v>
      </c>
      <c r="B1684">
        <v>4</v>
      </c>
      <c r="C1684">
        <v>4.133</v>
      </c>
      <c r="D1684">
        <v>6</v>
      </c>
      <c r="E1684">
        <v>37</v>
      </c>
      <c r="F1684">
        <v>16</v>
      </c>
      <c r="G1684">
        <v>1</v>
      </c>
      <c r="H1684">
        <v>5</v>
      </c>
      <c r="I1684">
        <v>10</v>
      </c>
      <c r="J1684">
        <v>2018</v>
      </c>
      <c r="K1684">
        <v>8</v>
      </c>
      <c r="L1684">
        <v>276</v>
      </c>
      <c r="M1684" t="s">
        <v>14</v>
      </c>
    </row>
    <row r="1685" spans="1:13" x14ac:dyDescent="0.3">
      <c r="A1685" s="1">
        <v>43324</v>
      </c>
      <c r="B1685">
        <v>10.99</v>
      </c>
      <c r="C1685">
        <v>4.99</v>
      </c>
      <c r="D1685">
        <v>6</v>
      </c>
      <c r="E1685">
        <v>16</v>
      </c>
      <c r="F1685">
        <v>6</v>
      </c>
      <c r="G1685">
        <v>0</v>
      </c>
      <c r="H1685">
        <v>1</v>
      </c>
      <c r="I1685">
        <v>2</v>
      </c>
      <c r="J1685">
        <v>2018</v>
      </c>
      <c r="K1685">
        <v>8</v>
      </c>
      <c r="L1685">
        <v>276</v>
      </c>
      <c r="M1685" t="s">
        <v>15</v>
      </c>
    </row>
    <row r="1686" spans="1:13" x14ac:dyDescent="0.3">
      <c r="A1686" s="1">
        <v>43325</v>
      </c>
      <c r="B1686">
        <v>3.33</v>
      </c>
      <c r="C1686">
        <v>5.0199999999999996</v>
      </c>
      <c r="D1686">
        <v>2</v>
      </c>
      <c r="E1686">
        <v>23.25</v>
      </c>
      <c r="F1686">
        <v>15</v>
      </c>
      <c r="G1686">
        <v>0</v>
      </c>
      <c r="H1686">
        <v>3</v>
      </c>
      <c r="I1686">
        <v>2</v>
      </c>
      <c r="J1686">
        <v>2018</v>
      </c>
      <c r="K1686">
        <v>8</v>
      </c>
      <c r="L1686">
        <v>276</v>
      </c>
      <c r="M1686" t="s">
        <v>16</v>
      </c>
    </row>
    <row r="1687" spans="1:13" x14ac:dyDescent="0.3">
      <c r="A1687" s="1">
        <v>43326</v>
      </c>
      <c r="B1687">
        <v>1.33</v>
      </c>
      <c r="C1687">
        <v>2.7360000000000002</v>
      </c>
      <c r="D1687">
        <v>5</v>
      </c>
      <c r="E1687">
        <v>12</v>
      </c>
      <c r="F1687">
        <v>9</v>
      </c>
      <c r="G1687">
        <v>0</v>
      </c>
      <c r="H1687">
        <v>4</v>
      </c>
      <c r="I1687">
        <v>5</v>
      </c>
      <c r="J1687">
        <v>2018</v>
      </c>
      <c r="K1687">
        <v>8</v>
      </c>
      <c r="L1687">
        <v>276</v>
      </c>
      <c r="M1687" t="s">
        <v>17</v>
      </c>
    </row>
    <row r="1688" spans="1:13" x14ac:dyDescent="0.3">
      <c r="A1688" s="1">
        <v>43327</v>
      </c>
      <c r="B1688">
        <v>8.34</v>
      </c>
      <c r="C1688">
        <v>4.1989999999999998</v>
      </c>
      <c r="D1688">
        <v>2</v>
      </c>
      <c r="E1688">
        <v>32.200000000000003</v>
      </c>
      <c r="F1688">
        <v>13</v>
      </c>
      <c r="G1688">
        <v>2</v>
      </c>
      <c r="H1688">
        <v>0</v>
      </c>
      <c r="I1688">
        <v>1</v>
      </c>
      <c r="J1688">
        <v>2018</v>
      </c>
      <c r="K1688">
        <v>8</v>
      </c>
      <c r="L1688">
        <v>276</v>
      </c>
      <c r="M1688" t="s">
        <v>18</v>
      </c>
    </row>
    <row r="1689" spans="1:13" x14ac:dyDescent="0.3">
      <c r="A1689" s="1">
        <v>43328</v>
      </c>
      <c r="B1689">
        <v>3.33</v>
      </c>
      <c r="C1689">
        <v>8.7289999999999992</v>
      </c>
      <c r="D1689">
        <v>4</v>
      </c>
      <c r="E1689">
        <v>27.4</v>
      </c>
      <c r="F1689">
        <v>6</v>
      </c>
      <c r="G1689">
        <v>3</v>
      </c>
      <c r="H1689">
        <v>5</v>
      </c>
      <c r="I1689">
        <v>5</v>
      </c>
      <c r="J1689">
        <v>2018</v>
      </c>
      <c r="K1689">
        <v>8</v>
      </c>
      <c r="L1689">
        <v>276</v>
      </c>
      <c r="M1689" t="s">
        <v>12</v>
      </c>
    </row>
    <row r="1690" spans="1:13" x14ac:dyDescent="0.3">
      <c r="A1690" s="1">
        <v>43329</v>
      </c>
      <c r="B1690">
        <v>2.33</v>
      </c>
      <c r="C1690">
        <v>2.99</v>
      </c>
      <c r="D1690">
        <v>2.4</v>
      </c>
      <c r="E1690">
        <v>23</v>
      </c>
      <c r="F1690">
        <v>5</v>
      </c>
      <c r="G1690">
        <v>1</v>
      </c>
      <c r="H1690">
        <v>5</v>
      </c>
      <c r="I1690">
        <v>1</v>
      </c>
      <c r="J1690">
        <v>2018</v>
      </c>
      <c r="K1690">
        <v>8</v>
      </c>
      <c r="L1690">
        <v>276</v>
      </c>
      <c r="M1690" t="s">
        <v>13</v>
      </c>
    </row>
    <row r="1691" spans="1:13" x14ac:dyDescent="0.3">
      <c r="A1691" s="1">
        <v>43330</v>
      </c>
      <c r="B1691">
        <v>6.33</v>
      </c>
      <c r="C1691">
        <v>5.34</v>
      </c>
      <c r="D1691">
        <v>0</v>
      </c>
      <c r="E1691">
        <v>32.1</v>
      </c>
      <c r="F1691">
        <v>5</v>
      </c>
      <c r="G1691">
        <v>1</v>
      </c>
      <c r="H1691">
        <v>6</v>
      </c>
      <c r="I1691">
        <v>0</v>
      </c>
      <c r="J1691">
        <v>2018</v>
      </c>
      <c r="K1691">
        <v>8</v>
      </c>
      <c r="L1691">
        <v>276</v>
      </c>
      <c r="M1691" t="s">
        <v>14</v>
      </c>
    </row>
    <row r="1692" spans="1:13" x14ac:dyDescent="0.3">
      <c r="A1692" s="1">
        <v>43331</v>
      </c>
      <c r="B1692">
        <v>6.33</v>
      </c>
      <c r="C1692">
        <v>4.4950000000000001</v>
      </c>
      <c r="D1692">
        <v>1</v>
      </c>
      <c r="E1692">
        <v>19.899999999999999</v>
      </c>
      <c r="F1692">
        <v>3</v>
      </c>
      <c r="G1692">
        <v>0</v>
      </c>
      <c r="H1692">
        <v>5</v>
      </c>
      <c r="I1692">
        <v>6</v>
      </c>
      <c r="J1692">
        <v>2018</v>
      </c>
      <c r="K1692">
        <v>8</v>
      </c>
      <c r="L1692">
        <v>276</v>
      </c>
      <c r="M1692" t="s">
        <v>15</v>
      </c>
    </row>
    <row r="1693" spans="1:13" x14ac:dyDescent="0.3">
      <c r="A1693" s="1">
        <v>43332</v>
      </c>
      <c r="B1693">
        <v>4</v>
      </c>
      <c r="C1693">
        <v>5.68</v>
      </c>
      <c r="D1693">
        <v>4.2</v>
      </c>
      <c r="E1693">
        <v>21.4</v>
      </c>
      <c r="F1693">
        <v>7</v>
      </c>
      <c r="G1693">
        <v>0</v>
      </c>
      <c r="H1693">
        <v>20</v>
      </c>
      <c r="I1693">
        <v>3</v>
      </c>
      <c r="J1693">
        <v>2018</v>
      </c>
      <c r="K1693">
        <v>8</v>
      </c>
      <c r="L1693">
        <v>276</v>
      </c>
      <c r="M1693" t="s">
        <v>16</v>
      </c>
    </row>
    <row r="1694" spans="1:13" x14ac:dyDescent="0.3">
      <c r="A1694" s="1">
        <v>43333</v>
      </c>
      <c r="B1694">
        <v>2.34</v>
      </c>
      <c r="C1694">
        <v>3</v>
      </c>
      <c r="D1694">
        <v>2.15</v>
      </c>
      <c r="E1694">
        <v>26.2</v>
      </c>
      <c r="F1694">
        <v>4</v>
      </c>
      <c r="G1694">
        <v>1</v>
      </c>
      <c r="H1694">
        <v>1</v>
      </c>
      <c r="I1694">
        <v>4</v>
      </c>
      <c r="J1694">
        <v>2018</v>
      </c>
      <c r="K1694">
        <v>8</v>
      </c>
      <c r="L1694">
        <v>276</v>
      </c>
      <c r="M1694" t="s">
        <v>17</v>
      </c>
    </row>
    <row r="1695" spans="1:13" x14ac:dyDescent="0.3">
      <c r="A1695" s="1">
        <v>43334</v>
      </c>
      <c r="B1695">
        <v>5</v>
      </c>
      <c r="C1695">
        <v>4.33</v>
      </c>
      <c r="D1695">
        <v>0</v>
      </c>
      <c r="E1695">
        <v>18</v>
      </c>
      <c r="F1695">
        <v>4</v>
      </c>
      <c r="G1695">
        <v>1</v>
      </c>
      <c r="H1695">
        <v>0</v>
      </c>
      <c r="I1695">
        <v>4</v>
      </c>
      <c r="J1695">
        <v>2018</v>
      </c>
      <c r="K1695">
        <v>8</v>
      </c>
      <c r="L1695">
        <v>276</v>
      </c>
      <c r="M1695" t="s">
        <v>18</v>
      </c>
    </row>
    <row r="1696" spans="1:13" x14ac:dyDescent="0.3">
      <c r="A1696" s="1">
        <v>43335</v>
      </c>
      <c r="B1696">
        <v>5</v>
      </c>
      <c r="C1696">
        <v>4.0670000000000002</v>
      </c>
      <c r="D1696">
        <v>4</v>
      </c>
      <c r="E1696">
        <v>35</v>
      </c>
      <c r="F1696">
        <v>8</v>
      </c>
      <c r="G1696">
        <v>0</v>
      </c>
      <c r="H1696">
        <v>23</v>
      </c>
      <c r="I1696">
        <v>3</v>
      </c>
      <c r="J1696">
        <v>2018</v>
      </c>
      <c r="K1696">
        <v>8</v>
      </c>
      <c r="L1696">
        <v>276</v>
      </c>
      <c r="M1696" t="s">
        <v>12</v>
      </c>
    </row>
    <row r="1697" spans="1:13" x14ac:dyDescent="0.3">
      <c r="A1697" s="1">
        <v>43336</v>
      </c>
      <c r="B1697">
        <v>4</v>
      </c>
      <c r="C1697">
        <v>2.34</v>
      </c>
      <c r="D1697">
        <v>1</v>
      </c>
      <c r="E1697">
        <v>38.5</v>
      </c>
      <c r="F1697">
        <v>7</v>
      </c>
      <c r="G1697">
        <v>0</v>
      </c>
      <c r="H1697">
        <v>21</v>
      </c>
      <c r="I1697">
        <v>4</v>
      </c>
      <c r="J1697">
        <v>2018</v>
      </c>
      <c r="K1697">
        <v>8</v>
      </c>
      <c r="L1697">
        <v>276</v>
      </c>
      <c r="M1697" t="s">
        <v>13</v>
      </c>
    </row>
    <row r="1698" spans="1:13" x14ac:dyDescent="0.3">
      <c r="A1698" s="1">
        <v>43337</v>
      </c>
      <c r="B1698">
        <v>3.67</v>
      </c>
      <c r="C1698">
        <v>4.01</v>
      </c>
      <c r="D1698">
        <v>3.2</v>
      </c>
      <c r="E1698">
        <v>27</v>
      </c>
      <c r="F1698">
        <v>4</v>
      </c>
      <c r="G1698">
        <v>0</v>
      </c>
      <c r="H1698">
        <v>6</v>
      </c>
      <c r="I1698">
        <v>2.5</v>
      </c>
      <c r="J1698">
        <v>2018</v>
      </c>
      <c r="K1698">
        <v>8</v>
      </c>
      <c r="L1698">
        <v>276</v>
      </c>
      <c r="M1698" t="s">
        <v>14</v>
      </c>
    </row>
    <row r="1699" spans="1:13" x14ac:dyDescent="0.3">
      <c r="A1699" s="1">
        <v>43338</v>
      </c>
      <c r="B1699">
        <v>11.33</v>
      </c>
      <c r="C1699">
        <v>6.67</v>
      </c>
      <c r="D1699">
        <v>4</v>
      </c>
      <c r="E1699">
        <v>57</v>
      </c>
      <c r="F1699">
        <v>10</v>
      </c>
      <c r="G1699">
        <v>0</v>
      </c>
      <c r="H1699">
        <v>8</v>
      </c>
      <c r="I1699">
        <v>4.3</v>
      </c>
      <c r="J1699">
        <v>2018</v>
      </c>
      <c r="K1699">
        <v>8</v>
      </c>
      <c r="L1699">
        <v>276</v>
      </c>
      <c r="M1699" t="s">
        <v>15</v>
      </c>
    </row>
    <row r="1700" spans="1:13" x14ac:dyDescent="0.3">
      <c r="A1700" s="1">
        <v>43339</v>
      </c>
      <c r="B1700">
        <v>3.34</v>
      </c>
      <c r="C1700">
        <v>1</v>
      </c>
      <c r="D1700">
        <v>9</v>
      </c>
      <c r="E1700">
        <v>16</v>
      </c>
      <c r="F1700">
        <v>6</v>
      </c>
      <c r="G1700">
        <v>0</v>
      </c>
      <c r="H1700">
        <v>1</v>
      </c>
      <c r="I1700">
        <v>1</v>
      </c>
      <c r="J1700">
        <v>2018</v>
      </c>
      <c r="K1700">
        <v>8</v>
      </c>
      <c r="L1700">
        <v>276</v>
      </c>
      <c r="M1700" t="s">
        <v>16</v>
      </c>
    </row>
    <row r="1701" spans="1:13" x14ac:dyDescent="0.3">
      <c r="A1701" s="1">
        <v>43340</v>
      </c>
      <c r="B1701">
        <v>2</v>
      </c>
      <c r="C1701">
        <v>2.68</v>
      </c>
      <c r="D1701">
        <v>1</v>
      </c>
      <c r="E1701">
        <v>26.4</v>
      </c>
      <c r="F1701">
        <v>7</v>
      </c>
      <c r="G1701">
        <v>1</v>
      </c>
      <c r="H1701">
        <v>0</v>
      </c>
      <c r="I1701">
        <v>3</v>
      </c>
      <c r="J1701">
        <v>2018</v>
      </c>
      <c r="K1701">
        <v>8</v>
      </c>
      <c r="L1701">
        <v>276</v>
      </c>
      <c r="M1701" t="s">
        <v>17</v>
      </c>
    </row>
    <row r="1702" spans="1:13" x14ac:dyDescent="0.3">
      <c r="A1702" s="1">
        <v>43341</v>
      </c>
      <c r="B1702">
        <v>6.67</v>
      </c>
      <c r="C1702">
        <v>2.67</v>
      </c>
      <c r="D1702">
        <v>1.3</v>
      </c>
      <c r="E1702">
        <v>28.5</v>
      </c>
      <c r="F1702">
        <v>10</v>
      </c>
      <c r="G1702">
        <v>1</v>
      </c>
      <c r="H1702">
        <v>5</v>
      </c>
      <c r="I1702">
        <v>3</v>
      </c>
      <c r="J1702">
        <v>2018</v>
      </c>
      <c r="K1702">
        <v>8</v>
      </c>
      <c r="L1702">
        <v>276</v>
      </c>
      <c r="M1702" t="s">
        <v>18</v>
      </c>
    </row>
    <row r="1703" spans="1:13" x14ac:dyDescent="0.3">
      <c r="A1703" s="1">
        <v>43342</v>
      </c>
      <c r="B1703">
        <v>2.33</v>
      </c>
      <c r="C1703">
        <v>2.7360000000000002</v>
      </c>
      <c r="D1703">
        <v>3</v>
      </c>
      <c r="E1703">
        <v>38</v>
      </c>
      <c r="F1703">
        <v>7</v>
      </c>
      <c r="G1703">
        <v>0</v>
      </c>
      <c r="H1703">
        <v>4</v>
      </c>
      <c r="I1703">
        <v>2</v>
      </c>
      <c r="J1703">
        <v>2018</v>
      </c>
      <c r="K1703">
        <v>8</v>
      </c>
      <c r="L1703">
        <v>276</v>
      </c>
      <c r="M1703" t="s">
        <v>12</v>
      </c>
    </row>
    <row r="1704" spans="1:13" x14ac:dyDescent="0.3">
      <c r="A1704" s="1">
        <v>43343</v>
      </c>
      <c r="B1704">
        <v>4.34</v>
      </c>
      <c r="C1704">
        <v>3.34</v>
      </c>
      <c r="D1704">
        <v>0</v>
      </c>
      <c r="E1704">
        <v>17.2</v>
      </c>
      <c r="F1704">
        <v>13</v>
      </c>
      <c r="G1704">
        <v>1</v>
      </c>
      <c r="H1704">
        <v>20</v>
      </c>
      <c r="I1704">
        <v>4</v>
      </c>
      <c r="J1704">
        <v>2018</v>
      </c>
      <c r="K1704">
        <v>8</v>
      </c>
      <c r="L1704">
        <v>276</v>
      </c>
      <c r="M1704" t="s">
        <v>13</v>
      </c>
    </row>
    <row r="1705" spans="1:13" x14ac:dyDescent="0.3">
      <c r="A1705" s="1">
        <v>43344</v>
      </c>
      <c r="B1705">
        <v>2.34</v>
      </c>
      <c r="C1705">
        <v>0</v>
      </c>
      <c r="D1705">
        <v>2.2000000000000002</v>
      </c>
      <c r="E1705">
        <v>19</v>
      </c>
      <c r="F1705">
        <v>6</v>
      </c>
      <c r="G1705">
        <v>1</v>
      </c>
      <c r="H1705">
        <v>1</v>
      </c>
      <c r="I1705">
        <v>2</v>
      </c>
      <c r="J1705">
        <v>2018</v>
      </c>
      <c r="K1705">
        <v>9</v>
      </c>
      <c r="L1705">
        <v>276</v>
      </c>
      <c r="M1705" t="s">
        <v>14</v>
      </c>
    </row>
    <row r="1706" spans="1:13" x14ac:dyDescent="0.3">
      <c r="A1706" s="1">
        <v>43345</v>
      </c>
      <c r="B1706">
        <v>6.68</v>
      </c>
      <c r="C1706">
        <v>5.3730000000000002</v>
      </c>
      <c r="D1706">
        <v>3</v>
      </c>
      <c r="E1706">
        <v>20</v>
      </c>
      <c r="F1706">
        <v>5</v>
      </c>
      <c r="G1706">
        <v>0</v>
      </c>
      <c r="H1706">
        <v>5</v>
      </c>
      <c r="I1706">
        <v>2</v>
      </c>
      <c r="J1706">
        <v>2018</v>
      </c>
      <c r="K1706">
        <v>9</v>
      </c>
      <c r="L1706">
        <v>276</v>
      </c>
      <c r="M1706" t="s">
        <v>15</v>
      </c>
    </row>
    <row r="1707" spans="1:13" x14ac:dyDescent="0.3">
      <c r="A1707" s="1">
        <v>43346</v>
      </c>
      <c r="B1707">
        <v>1</v>
      </c>
      <c r="C1707">
        <v>2.02</v>
      </c>
      <c r="D1707">
        <v>2</v>
      </c>
      <c r="E1707">
        <v>27.4</v>
      </c>
      <c r="F1707">
        <v>12</v>
      </c>
      <c r="G1707">
        <v>0</v>
      </c>
      <c r="H1707">
        <v>0</v>
      </c>
      <c r="I1707">
        <v>4</v>
      </c>
      <c r="J1707">
        <v>2018</v>
      </c>
      <c r="K1707">
        <v>9</v>
      </c>
      <c r="L1707">
        <v>276</v>
      </c>
      <c r="M1707" t="s">
        <v>16</v>
      </c>
    </row>
    <row r="1708" spans="1:13" x14ac:dyDescent="0.3">
      <c r="A1708" s="1">
        <v>43347</v>
      </c>
      <c r="B1708">
        <v>4</v>
      </c>
      <c r="C1708">
        <v>1.0860000000000001</v>
      </c>
      <c r="D1708">
        <v>1</v>
      </c>
      <c r="E1708">
        <v>22</v>
      </c>
      <c r="F1708">
        <v>7</v>
      </c>
      <c r="G1708">
        <v>0</v>
      </c>
      <c r="H1708">
        <v>3</v>
      </c>
      <c r="I1708">
        <v>2</v>
      </c>
      <c r="J1708">
        <v>2018</v>
      </c>
      <c r="K1708">
        <v>9</v>
      </c>
      <c r="L1708">
        <v>276</v>
      </c>
      <c r="M1708" t="s">
        <v>17</v>
      </c>
    </row>
    <row r="1709" spans="1:13" x14ac:dyDescent="0.3">
      <c r="A1709" s="1">
        <v>43348</v>
      </c>
      <c r="B1709">
        <v>6.5</v>
      </c>
      <c r="C1709">
        <v>3.33</v>
      </c>
      <c r="D1709">
        <v>1.5</v>
      </c>
      <c r="E1709">
        <v>28</v>
      </c>
      <c r="F1709">
        <v>11</v>
      </c>
      <c r="G1709">
        <v>0</v>
      </c>
      <c r="H1709">
        <v>3</v>
      </c>
      <c r="I1709">
        <v>2</v>
      </c>
      <c r="J1709">
        <v>2018</v>
      </c>
      <c r="K1709">
        <v>9</v>
      </c>
      <c r="L1709">
        <v>276</v>
      </c>
      <c r="M1709" t="s">
        <v>18</v>
      </c>
    </row>
    <row r="1710" spans="1:13" x14ac:dyDescent="0.3">
      <c r="A1710" s="1">
        <v>43349</v>
      </c>
      <c r="B1710">
        <v>6.66</v>
      </c>
      <c r="C1710">
        <v>4.056</v>
      </c>
      <c r="D1710">
        <v>3</v>
      </c>
      <c r="E1710">
        <v>18.399999999999999</v>
      </c>
      <c r="F1710">
        <v>13</v>
      </c>
      <c r="G1710">
        <v>0</v>
      </c>
      <c r="H1710">
        <v>5</v>
      </c>
      <c r="I1710">
        <v>0</v>
      </c>
      <c r="J1710">
        <v>2018</v>
      </c>
      <c r="K1710">
        <v>9</v>
      </c>
      <c r="L1710">
        <v>276</v>
      </c>
      <c r="M1710" t="s">
        <v>12</v>
      </c>
    </row>
    <row r="1711" spans="1:13" x14ac:dyDescent="0.3">
      <c r="A1711" s="1">
        <v>43350</v>
      </c>
      <c r="B1711">
        <v>2</v>
      </c>
      <c r="C1711">
        <v>1.746</v>
      </c>
      <c r="D1711">
        <v>4</v>
      </c>
      <c r="E1711">
        <v>42</v>
      </c>
      <c r="F1711">
        <v>6</v>
      </c>
      <c r="G1711">
        <v>0</v>
      </c>
      <c r="H1711">
        <v>22</v>
      </c>
      <c r="I1711">
        <v>7.7</v>
      </c>
      <c r="J1711">
        <v>2018</v>
      </c>
      <c r="K1711">
        <v>9</v>
      </c>
      <c r="L1711">
        <v>276</v>
      </c>
      <c r="M1711" t="s">
        <v>13</v>
      </c>
    </row>
    <row r="1712" spans="1:13" x14ac:dyDescent="0.3">
      <c r="A1712" s="1">
        <v>43351</v>
      </c>
      <c r="B1712">
        <v>10</v>
      </c>
      <c r="C1712">
        <v>2.34</v>
      </c>
      <c r="D1712">
        <v>6.1</v>
      </c>
      <c r="E1712">
        <v>35.4</v>
      </c>
      <c r="F1712">
        <v>12</v>
      </c>
      <c r="G1712">
        <v>0</v>
      </c>
      <c r="H1712">
        <v>10</v>
      </c>
      <c r="I1712">
        <v>1</v>
      </c>
      <c r="J1712">
        <v>2018</v>
      </c>
      <c r="K1712">
        <v>9</v>
      </c>
      <c r="L1712">
        <v>276</v>
      </c>
      <c r="M1712" t="s">
        <v>14</v>
      </c>
    </row>
    <row r="1713" spans="1:13" x14ac:dyDescent="0.3">
      <c r="A1713" s="1">
        <v>43352</v>
      </c>
      <c r="B1713">
        <v>4</v>
      </c>
      <c r="C1713">
        <v>5.944</v>
      </c>
      <c r="D1713">
        <v>0</v>
      </c>
      <c r="E1713">
        <v>50</v>
      </c>
      <c r="F1713">
        <v>2</v>
      </c>
      <c r="G1713">
        <v>0</v>
      </c>
      <c r="H1713">
        <v>0</v>
      </c>
      <c r="I1713">
        <v>5</v>
      </c>
      <c r="J1713">
        <v>2018</v>
      </c>
      <c r="K1713">
        <v>9</v>
      </c>
      <c r="L1713">
        <v>276</v>
      </c>
      <c r="M1713" t="s">
        <v>15</v>
      </c>
    </row>
    <row r="1714" spans="1:13" x14ac:dyDescent="0.3">
      <c r="A1714" s="1">
        <v>43353</v>
      </c>
      <c r="B1714">
        <v>7</v>
      </c>
      <c r="C1714">
        <v>2.4060000000000001</v>
      </c>
      <c r="D1714">
        <v>2</v>
      </c>
      <c r="E1714">
        <v>49.4</v>
      </c>
      <c r="F1714">
        <v>14</v>
      </c>
      <c r="G1714">
        <v>3</v>
      </c>
      <c r="H1714">
        <v>1</v>
      </c>
      <c r="I1714">
        <v>2</v>
      </c>
      <c r="J1714">
        <v>2018</v>
      </c>
      <c r="K1714">
        <v>9</v>
      </c>
      <c r="L1714">
        <v>276</v>
      </c>
      <c r="M1714" t="s">
        <v>16</v>
      </c>
    </row>
    <row r="1715" spans="1:13" x14ac:dyDescent="0.3">
      <c r="A1715" s="1">
        <v>43354</v>
      </c>
      <c r="B1715">
        <v>9</v>
      </c>
      <c r="C1715">
        <v>2.726</v>
      </c>
      <c r="D1715">
        <v>3</v>
      </c>
      <c r="E1715">
        <v>50.6</v>
      </c>
      <c r="F1715">
        <v>15</v>
      </c>
      <c r="G1715">
        <v>0</v>
      </c>
      <c r="H1715">
        <v>6</v>
      </c>
      <c r="I1715">
        <v>4</v>
      </c>
      <c r="J1715">
        <v>2018</v>
      </c>
      <c r="K1715">
        <v>9</v>
      </c>
      <c r="L1715">
        <v>276</v>
      </c>
      <c r="M1715" t="s">
        <v>17</v>
      </c>
    </row>
    <row r="1716" spans="1:13" x14ac:dyDescent="0.3">
      <c r="A1716" s="1">
        <v>43355</v>
      </c>
      <c r="B1716">
        <v>4</v>
      </c>
      <c r="C1716">
        <v>3</v>
      </c>
      <c r="D1716">
        <v>2</v>
      </c>
      <c r="E1716">
        <v>35</v>
      </c>
      <c r="F1716">
        <v>18</v>
      </c>
      <c r="G1716">
        <v>0</v>
      </c>
      <c r="H1716">
        <v>5</v>
      </c>
      <c r="I1716">
        <v>0</v>
      </c>
      <c r="J1716">
        <v>2018</v>
      </c>
      <c r="K1716">
        <v>9</v>
      </c>
      <c r="L1716">
        <v>276</v>
      </c>
      <c r="M1716" t="s">
        <v>18</v>
      </c>
    </row>
    <row r="1717" spans="1:13" x14ac:dyDescent="0.3">
      <c r="A1717" s="1">
        <v>43356</v>
      </c>
      <c r="B1717">
        <v>2.83</v>
      </c>
      <c r="C1717">
        <v>3.0859999999999999</v>
      </c>
      <c r="D1717">
        <v>1</v>
      </c>
      <c r="E1717">
        <v>20.6</v>
      </c>
      <c r="F1717">
        <v>5</v>
      </c>
      <c r="G1717">
        <v>2</v>
      </c>
      <c r="H1717">
        <v>12</v>
      </c>
      <c r="I1717">
        <v>2</v>
      </c>
      <c r="J1717">
        <v>2018</v>
      </c>
      <c r="K1717">
        <v>9</v>
      </c>
      <c r="L1717">
        <v>276</v>
      </c>
      <c r="M1717" t="s">
        <v>12</v>
      </c>
    </row>
    <row r="1718" spans="1:13" x14ac:dyDescent="0.3">
      <c r="A1718" s="1">
        <v>43357</v>
      </c>
      <c r="B1718">
        <v>8</v>
      </c>
      <c r="C1718">
        <v>7.02</v>
      </c>
      <c r="D1718">
        <v>4</v>
      </c>
      <c r="E1718">
        <v>54</v>
      </c>
      <c r="F1718">
        <v>7</v>
      </c>
      <c r="G1718">
        <v>0</v>
      </c>
      <c r="H1718">
        <v>1</v>
      </c>
      <c r="I1718">
        <v>2</v>
      </c>
      <c r="J1718">
        <v>2018</v>
      </c>
      <c r="K1718">
        <v>9</v>
      </c>
      <c r="L1718">
        <v>276</v>
      </c>
      <c r="M1718" t="s">
        <v>13</v>
      </c>
    </row>
    <row r="1719" spans="1:13" x14ac:dyDescent="0.3">
      <c r="A1719" s="1">
        <v>43358</v>
      </c>
      <c r="B1719">
        <v>6</v>
      </c>
      <c r="C1719">
        <v>2.0099999999999998</v>
      </c>
      <c r="D1719">
        <v>4</v>
      </c>
      <c r="E1719">
        <v>19.7</v>
      </c>
      <c r="F1719">
        <v>6</v>
      </c>
      <c r="G1719">
        <v>0</v>
      </c>
      <c r="H1719">
        <v>10</v>
      </c>
      <c r="I1719">
        <v>4.4000000000000004</v>
      </c>
      <c r="J1719">
        <v>2018</v>
      </c>
      <c r="K1719">
        <v>9</v>
      </c>
      <c r="L1719">
        <v>276</v>
      </c>
      <c r="M1719" t="s">
        <v>14</v>
      </c>
    </row>
    <row r="1720" spans="1:13" x14ac:dyDescent="0.3">
      <c r="A1720" s="1">
        <v>43359</v>
      </c>
      <c r="B1720">
        <v>3.33</v>
      </c>
      <c r="C1720">
        <v>0.67</v>
      </c>
      <c r="D1720">
        <v>3.25</v>
      </c>
      <c r="E1720">
        <v>24.25</v>
      </c>
      <c r="F1720">
        <v>6</v>
      </c>
      <c r="G1720">
        <v>1</v>
      </c>
      <c r="H1720">
        <v>7</v>
      </c>
      <c r="I1720">
        <v>3</v>
      </c>
      <c r="J1720">
        <v>2018</v>
      </c>
      <c r="K1720">
        <v>9</v>
      </c>
      <c r="L1720">
        <v>276</v>
      </c>
      <c r="M1720" t="s">
        <v>15</v>
      </c>
    </row>
    <row r="1721" spans="1:13" x14ac:dyDescent="0.3">
      <c r="A1721" s="1">
        <v>43360</v>
      </c>
      <c r="B1721">
        <v>3</v>
      </c>
      <c r="C1721">
        <v>2.33</v>
      </c>
      <c r="D1721">
        <v>3.75</v>
      </c>
      <c r="E1721">
        <v>44.4</v>
      </c>
      <c r="F1721">
        <v>10</v>
      </c>
      <c r="G1721">
        <v>1</v>
      </c>
      <c r="H1721">
        <v>5</v>
      </c>
      <c r="I1721">
        <v>0</v>
      </c>
      <c r="J1721">
        <v>2018</v>
      </c>
      <c r="K1721">
        <v>9</v>
      </c>
      <c r="L1721">
        <v>276</v>
      </c>
      <c r="M1721" t="s">
        <v>16</v>
      </c>
    </row>
    <row r="1722" spans="1:13" x14ac:dyDescent="0.3">
      <c r="A1722" s="1">
        <v>43361</v>
      </c>
      <c r="B1722">
        <v>4.34</v>
      </c>
      <c r="C1722">
        <v>3</v>
      </c>
      <c r="D1722">
        <v>3.7</v>
      </c>
      <c r="E1722">
        <v>20</v>
      </c>
      <c r="F1722">
        <v>6</v>
      </c>
      <c r="G1722">
        <v>0</v>
      </c>
      <c r="H1722">
        <v>1</v>
      </c>
      <c r="I1722">
        <v>5</v>
      </c>
      <c r="J1722">
        <v>2018</v>
      </c>
      <c r="K1722">
        <v>9</v>
      </c>
      <c r="L1722">
        <v>276</v>
      </c>
      <c r="M1722" t="s">
        <v>17</v>
      </c>
    </row>
    <row r="1723" spans="1:13" x14ac:dyDescent="0.3">
      <c r="A1723" s="1">
        <v>43362</v>
      </c>
      <c r="B1723">
        <v>6</v>
      </c>
      <c r="C1723">
        <v>3.68</v>
      </c>
      <c r="D1723">
        <v>2</v>
      </c>
      <c r="E1723">
        <v>26</v>
      </c>
      <c r="F1723">
        <v>10</v>
      </c>
      <c r="G1723">
        <v>0</v>
      </c>
      <c r="H1723">
        <v>9</v>
      </c>
      <c r="I1723">
        <v>7</v>
      </c>
      <c r="J1723">
        <v>2018</v>
      </c>
      <c r="K1723">
        <v>9</v>
      </c>
      <c r="L1723">
        <v>276</v>
      </c>
      <c r="M1723" t="s">
        <v>18</v>
      </c>
    </row>
    <row r="1724" spans="1:13" x14ac:dyDescent="0.3">
      <c r="A1724" s="1">
        <v>43363</v>
      </c>
      <c r="B1724">
        <v>2</v>
      </c>
      <c r="C1724">
        <v>4.0670000000000002</v>
      </c>
      <c r="D1724">
        <v>2</v>
      </c>
      <c r="E1724">
        <v>24.2</v>
      </c>
      <c r="F1724">
        <v>13</v>
      </c>
      <c r="G1724">
        <v>1</v>
      </c>
      <c r="H1724">
        <v>0</v>
      </c>
      <c r="I1724">
        <v>5</v>
      </c>
      <c r="J1724">
        <v>2018</v>
      </c>
      <c r="K1724">
        <v>9</v>
      </c>
      <c r="L1724">
        <v>276</v>
      </c>
      <c r="M1724" t="s">
        <v>12</v>
      </c>
    </row>
    <row r="1725" spans="1:13" x14ac:dyDescent="0.3">
      <c r="A1725" s="1">
        <v>43364</v>
      </c>
      <c r="B1725">
        <v>4.66</v>
      </c>
      <c r="C1725">
        <v>5.8369999999999997</v>
      </c>
      <c r="D1725">
        <v>1</v>
      </c>
      <c r="E1725">
        <v>33.1</v>
      </c>
      <c r="F1725">
        <v>10</v>
      </c>
      <c r="G1725">
        <v>0</v>
      </c>
      <c r="H1725">
        <v>1</v>
      </c>
      <c r="I1725">
        <v>3</v>
      </c>
      <c r="J1725">
        <v>2018</v>
      </c>
      <c r="K1725">
        <v>9</v>
      </c>
      <c r="L1725">
        <v>276</v>
      </c>
      <c r="M1725" t="s">
        <v>13</v>
      </c>
    </row>
    <row r="1726" spans="1:13" x14ac:dyDescent="0.3">
      <c r="A1726" s="1">
        <v>43365</v>
      </c>
      <c r="B1726">
        <v>6</v>
      </c>
      <c r="C1726">
        <v>3.8330000000000002</v>
      </c>
      <c r="D1726">
        <v>1.5</v>
      </c>
      <c r="E1726">
        <v>31.6</v>
      </c>
      <c r="F1726">
        <v>6</v>
      </c>
      <c r="G1726">
        <v>1</v>
      </c>
      <c r="H1726">
        <v>23</v>
      </c>
      <c r="I1726">
        <v>3</v>
      </c>
      <c r="J1726">
        <v>2018</v>
      </c>
      <c r="K1726">
        <v>9</v>
      </c>
      <c r="L1726">
        <v>276</v>
      </c>
      <c r="M1726" t="s">
        <v>14</v>
      </c>
    </row>
    <row r="1727" spans="1:13" x14ac:dyDescent="0.3">
      <c r="A1727" s="1">
        <v>43366</v>
      </c>
      <c r="B1727">
        <v>7.34</v>
      </c>
      <c r="C1727">
        <v>9.4390000000000001</v>
      </c>
      <c r="D1727">
        <v>3.25</v>
      </c>
      <c r="E1727">
        <v>42.862000000000002</v>
      </c>
      <c r="F1727">
        <v>9</v>
      </c>
      <c r="G1727">
        <v>0</v>
      </c>
      <c r="H1727">
        <v>8</v>
      </c>
      <c r="I1727">
        <v>5</v>
      </c>
      <c r="J1727">
        <v>2018</v>
      </c>
      <c r="K1727">
        <v>9</v>
      </c>
      <c r="L1727">
        <v>276</v>
      </c>
      <c r="M1727" t="s">
        <v>15</v>
      </c>
    </row>
    <row r="1728" spans="1:13" x14ac:dyDescent="0.3">
      <c r="A1728" s="1">
        <v>43367</v>
      </c>
      <c r="B1728">
        <v>7.33</v>
      </c>
      <c r="C1728">
        <v>3.67</v>
      </c>
      <c r="D1728">
        <v>5.5</v>
      </c>
      <c r="E1728">
        <v>53.8</v>
      </c>
      <c r="F1728">
        <v>7</v>
      </c>
      <c r="G1728">
        <v>0</v>
      </c>
      <c r="H1728">
        <v>9</v>
      </c>
      <c r="I1728">
        <v>2</v>
      </c>
      <c r="J1728">
        <v>2018</v>
      </c>
      <c r="K1728">
        <v>9</v>
      </c>
      <c r="L1728">
        <v>276</v>
      </c>
      <c r="M1728" t="s">
        <v>16</v>
      </c>
    </row>
    <row r="1729" spans="1:13" x14ac:dyDescent="0.3">
      <c r="A1729" s="1">
        <v>43368</v>
      </c>
      <c r="B1729">
        <v>6</v>
      </c>
      <c r="C1729">
        <v>4.7359999999999998</v>
      </c>
      <c r="D1729">
        <v>3.3</v>
      </c>
      <c r="E1729">
        <v>53.85</v>
      </c>
      <c r="F1729">
        <v>11</v>
      </c>
      <c r="G1729">
        <v>0</v>
      </c>
      <c r="H1729">
        <v>22</v>
      </c>
      <c r="I1729">
        <v>2</v>
      </c>
      <c r="J1729">
        <v>2018</v>
      </c>
      <c r="K1729">
        <v>9</v>
      </c>
      <c r="L1729">
        <v>276</v>
      </c>
      <c r="M1729" t="s">
        <v>17</v>
      </c>
    </row>
    <row r="1730" spans="1:13" x14ac:dyDescent="0.3">
      <c r="A1730" s="1">
        <v>43369</v>
      </c>
      <c r="B1730">
        <v>3</v>
      </c>
      <c r="C1730">
        <v>9</v>
      </c>
      <c r="D1730">
        <v>6</v>
      </c>
      <c r="E1730">
        <v>41.4</v>
      </c>
      <c r="F1730">
        <v>9</v>
      </c>
      <c r="G1730">
        <v>1</v>
      </c>
      <c r="H1730">
        <v>0</v>
      </c>
      <c r="I1730">
        <v>3</v>
      </c>
      <c r="J1730">
        <v>2018</v>
      </c>
      <c r="K1730">
        <v>9</v>
      </c>
      <c r="L1730">
        <v>276</v>
      </c>
      <c r="M1730" t="s">
        <v>18</v>
      </c>
    </row>
    <row r="1731" spans="1:13" x14ac:dyDescent="0.3">
      <c r="A1731" s="1">
        <v>43370</v>
      </c>
      <c r="B1731">
        <v>4</v>
      </c>
      <c r="C1731">
        <v>6.5670000000000002</v>
      </c>
      <c r="D1731">
        <v>4.5999999999999996</v>
      </c>
      <c r="E1731">
        <v>19</v>
      </c>
      <c r="F1731">
        <v>11</v>
      </c>
      <c r="G1731">
        <v>0</v>
      </c>
      <c r="H1731">
        <v>7</v>
      </c>
      <c r="I1731">
        <v>3</v>
      </c>
      <c r="J1731">
        <v>2018</v>
      </c>
      <c r="K1731">
        <v>9</v>
      </c>
      <c r="L1731">
        <v>276</v>
      </c>
      <c r="M1731" t="s">
        <v>12</v>
      </c>
    </row>
    <row r="1732" spans="1:13" x14ac:dyDescent="0.3">
      <c r="A1732" s="1">
        <v>43371</v>
      </c>
      <c r="B1732">
        <v>2</v>
      </c>
      <c r="C1732">
        <v>4.68</v>
      </c>
      <c r="D1732">
        <v>3.7</v>
      </c>
      <c r="E1732">
        <v>40.6</v>
      </c>
      <c r="F1732">
        <v>3</v>
      </c>
      <c r="G1732">
        <v>0</v>
      </c>
      <c r="H1732">
        <v>5</v>
      </c>
      <c r="I1732">
        <v>3</v>
      </c>
      <c r="J1732">
        <v>2018</v>
      </c>
      <c r="K1732">
        <v>9</v>
      </c>
      <c r="L1732">
        <v>276</v>
      </c>
      <c r="M1732" t="s">
        <v>13</v>
      </c>
    </row>
    <row r="1733" spans="1:13" x14ac:dyDescent="0.3">
      <c r="A1733" s="1">
        <v>43372</v>
      </c>
      <c r="B1733">
        <v>3.5</v>
      </c>
      <c r="C1733">
        <v>5.33</v>
      </c>
      <c r="D1733">
        <v>2.15</v>
      </c>
      <c r="E1733">
        <v>57.7</v>
      </c>
      <c r="F1733">
        <v>4</v>
      </c>
      <c r="G1733">
        <v>0</v>
      </c>
      <c r="H1733">
        <v>21</v>
      </c>
      <c r="I1733">
        <v>1</v>
      </c>
      <c r="J1733">
        <v>2018</v>
      </c>
      <c r="K1733">
        <v>9</v>
      </c>
      <c r="L1733">
        <v>276</v>
      </c>
      <c r="M1733" t="s">
        <v>14</v>
      </c>
    </row>
    <row r="1734" spans="1:13" x14ac:dyDescent="0.3">
      <c r="A1734" s="1">
        <v>43373</v>
      </c>
      <c r="B1734">
        <v>11.01</v>
      </c>
      <c r="C1734">
        <v>2.0099999999999998</v>
      </c>
      <c r="D1734">
        <v>2</v>
      </c>
      <c r="E1734">
        <v>54</v>
      </c>
      <c r="F1734">
        <v>9</v>
      </c>
      <c r="G1734">
        <v>1</v>
      </c>
      <c r="H1734">
        <v>3</v>
      </c>
      <c r="I1734">
        <v>3</v>
      </c>
      <c r="J1734">
        <v>2018</v>
      </c>
      <c r="K1734">
        <v>9</v>
      </c>
      <c r="L1734">
        <v>276</v>
      </c>
      <c r="M1734" t="s">
        <v>15</v>
      </c>
    </row>
    <row r="1735" spans="1:13" x14ac:dyDescent="0.3">
      <c r="A1735" s="1">
        <v>43374</v>
      </c>
      <c r="B1735">
        <v>3</v>
      </c>
      <c r="C1735">
        <v>4.9320000000000004</v>
      </c>
      <c r="D1735">
        <v>1</v>
      </c>
      <c r="E1735">
        <v>53</v>
      </c>
      <c r="F1735">
        <v>10</v>
      </c>
      <c r="G1735">
        <v>0</v>
      </c>
      <c r="H1735">
        <v>21</v>
      </c>
      <c r="I1735">
        <v>3</v>
      </c>
      <c r="J1735">
        <v>2018</v>
      </c>
      <c r="K1735">
        <v>10</v>
      </c>
      <c r="L1735">
        <v>276</v>
      </c>
      <c r="M1735" t="s">
        <v>16</v>
      </c>
    </row>
    <row r="1736" spans="1:13" x14ac:dyDescent="0.3">
      <c r="A1736" s="1">
        <v>43375</v>
      </c>
      <c r="B1736">
        <v>6</v>
      </c>
      <c r="C1736">
        <v>3.91</v>
      </c>
      <c r="D1736">
        <v>3.5</v>
      </c>
      <c r="E1736">
        <v>18.600000000000001</v>
      </c>
      <c r="F1736">
        <v>7</v>
      </c>
      <c r="G1736">
        <v>0</v>
      </c>
      <c r="H1736">
        <v>6</v>
      </c>
      <c r="I1736">
        <v>0</v>
      </c>
      <c r="J1736">
        <v>2018</v>
      </c>
      <c r="K1736">
        <v>10</v>
      </c>
      <c r="L1736">
        <v>276</v>
      </c>
      <c r="M1736" t="s">
        <v>17</v>
      </c>
    </row>
    <row r="1737" spans="1:13" x14ac:dyDescent="0.3">
      <c r="A1737" s="1">
        <v>43376</v>
      </c>
      <c r="B1737">
        <v>6</v>
      </c>
      <c r="C1737">
        <v>3.33</v>
      </c>
      <c r="D1737">
        <v>3</v>
      </c>
      <c r="E1737">
        <v>34.9</v>
      </c>
      <c r="F1737">
        <v>12</v>
      </c>
      <c r="G1737">
        <v>2</v>
      </c>
      <c r="H1737">
        <v>5</v>
      </c>
      <c r="I1737">
        <v>4</v>
      </c>
      <c r="J1737">
        <v>2018</v>
      </c>
      <c r="K1737">
        <v>10</v>
      </c>
      <c r="L1737">
        <v>276</v>
      </c>
      <c r="M1737" t="s">
        <v>18</v>
      </c>
    </row>
    <row r="1738" spans="1:13" x14ac:dyDescent="0.3">
      <c r="A1738" s="1">
        <v>43377</v>
      </c>
      <c r="B1738">
        <v>6</v>
      </c>
      <c r="C1738">
        <v>3.36</v>
      </c>
      <c r="D1738">
        <v>2</v>
      </c>
      <c r="E1738">
        <v>32</v>
      </c>
      <c r="F1738">
        <v>12</v>
      </c>
      <c r="G1738">
        <v>1</v>
      </c>
      <c r="H1738">
        <v>5</v>
      </c>
      <c r="I1738">
        <v>0</v>
      </c>
      <c r="J1738">
        <v>2018</v>
      </c>
      <c r="K1738">
        <v>10</v>
      </c>
      <c r="L1738">
        <v>276</v>
      </c>
      <c r="M1738" t="s">
        <v>12</v>
      </c>
    </row>
    <row r="1739" spans="1:13" x14ac:dyDescent="0.3">
      <c r="A1739" s="1">
        <v>43378</v>
      </c>
      <c r="B1739">
        <v>4.84</v>
      </c>
      <c r="C1739">
        <v>3.3969999999999998</v>
      </c>
      <c r="D1739">
        <v>1.1000000000000001</v>
      </c>
      <c r="E1739">
        <v>22.8</v>
      </c>
      <c r="F1739">
        <v>7</v>
      </c>
      <c r="G1739">
        <v>0</v>
      </c>
      <c r="H1739">
        <v>14</v>
      </c>
      <c r="I1739">
        <v>1</v>
      </c>
      <c r="J1739">
        <v>2018</v>
      </c>
      <c r="K1739">
        <v>10</v>
      </c>
      <c r="L1739">
        <v>276</v>
      </c>
      <c r="M1739" t="s">
        <v>13</v>
      </c>
    </row>
    <row r="1740" spans="1:13" x14ac:dyDescent="0.3">
      <c r="A1740" s="1">
        <v>43379</v>
      </c>
      <c r="B1740">
        <v>2</v>
      </c>
      <c r="C1740">
        <v>5.36</v>
      </c>
      <c r="D1740">
        <v>3.2</v>
      </c>
      <c r="E1740">
        <v>59.25</v>
      </c>
      <c r="F1740">
        <v>4</v>
      </c>
      <c r="G1740">
        <v>0</v>
      </c>
      <c r="H1740">
        <v>3</v>
      </c>
      <c r="I1740">
        <v>0.1</v>
      </c>
      <c r="J1740">
        <v>2018</v>
      </c>
      <c r="K1740">
        <v>10</v>
      </c>
      <c r="L1740">
        <v>276</v>
      </c>
      <c r="M1740" t="s">
        <v>14</v>
      </c>
    </row>
    <row r="1741" spans="1:13" x14ac:dyDescent="0.3">
      <c r="A1741" s="1">
        <v>43380</v>
      </c>
      <c r="B1741">
        <v>2.68</v>
      </c>
      <c r="C1741">
        <v>7.35</v>
      </c>
      <c r="D1741">
        <v>2</v>
      </c>
      <c r="E1741">
        <v>42.4</v>
      </c>
      <c r="F1741">
        <v>8</v>
      </c>
      <c r="G1741">
        <v>0</v>
      </c>
      <c r="H1741">
        <v>9</v>
      </c>
      <c r="I1741">
        <v>1</v>
      </c>
      <c r="J1741">
        <v>2018</v>
      </c>
      <c r="K1741">
        <v>10</v>
      </c>
      <c r="L1741">
        <v>276</v>
      </c>
      <c r="M1741" t="s">
        <v>15</v>
      </c>
    </row>
    <row r="1742" spans="1:13" x14ac:dyDescent="0.3">
      <c r="A1742" s="1">
        <v>43381</v>
      </c>
      <c r="B1742">
        <v>4</v>
      </c>
      <c r="C1742">
        <v>1.68</v>
      </c>
      <c r="D1742">
        <v>3</v>
      </c>
      <c r="E1742">
        <v>30</v>
      </c>
      <c r="F1742">
        <v>18</v>
      </c>
      <c r="G1742">
        <v>5</v>
      </c>
      <c r="H1742">
        <v>0</v>
      </c>
      <c r="I1742">
        <v>3</v>
      </c>
      <c r="J1742">
        <v>2018</v>
      </c>
      <c r="K1742">
        <v>10</v>
      </c>
      <c r="L1742">
        <v>276</v>
      </c>
      <c r="M1742" t="s">
        <v>16</v>
      </c>
    </row>
    <row r="1743" spans="1:13" x14ac:dyDescent="0.3">
      <c r="A1743" s="1">
        <v>43382</v>
      </c>
      <c r="B1743">
        <v>2</v>
      </c>
      <c r="C1743">
        <v>1.67</v>
      </c>
      <c r="D1743">
        <v>1</v>
      </c>
      <c r="E1743">
        <v>30</v>
      </c>
      <c r="F1743">
        <v>18</v>
      </c>
      <c r="G1743">
        <v>0</v>
      </c>
      <c r="H1743">
        <v>29</v>
      </c>
      <c r="I1743">
        <v>1</v>
      </c>
      <c r="J1743">
        <v>2018</v>
      </c>
      <c r="K1743">
        <v>10</v>
      </c>
      <c r="L1743">
        <v>276</v>
      </c>
      <c r="M1743" t="s">
        <v>17</v>
      </c>
    </row>
    <row r="1744" spans="1:13" x14ac:dyDescent="0.3">
      <c r="A1744" s="1">
        <v>43383</v>
      </c>
      <c r="B1744">
        <v>9</v>
      </c>
      <c r="C1744">
        <v>8.01</v>
      </c>
      <c r="D1744">
        <v>4.0999999999999996</v>
      </c>
      <c r="E1744">
        <v>41.2</v>
      </c>
      <c r="F1744">
        <v>13</v>
      </c>
      <c r="G1744">
        <v>0</v>
      </c>
      <c r="H1744">
        <v>20</v>
      </c>
      <c r="I1744">
        <v>2</v>
      </c>
      <c r="J1744">
        <v>2018</v>
      </c>
      <c r="K1744">
        <v>10</v>
      </c>
      <c r="L1744">
        <v>276</v>
      </c>
      <c r="M1744" t="s">
        <v>18</v>
      </c>
    </row>
    <row r="1745" spans="1:13" x14ac:dyDescent="0.3">
      <c r="A1745" s="1">
        <v>43384</v>
      </c>
      <c r="B1745">
        <v>2</v>
      </c>
      <c r="C1745">
        <v>2.33</v>
      </c>
      <c r="D1745">
        <v>2.1</v>
      </c>
      <c r="E1745">
        <v>31</v>
      </c>
      <c r="F1745">
        <v>15</v>
      </c>
      <c r="G1745">
        <v>0</v>
      </c>
      <c r="H1745">
        <v>0</v>
      </c>
      <c r="I1745">
        <v>1</v>
      </c>
      <c r="J1745">
        <v>2018</v>
      </c>
      <c r="K1745">
        <v>10</v>
      </c>
      <c r="L1745">
        <v>276</v>
      </c>
      <c r="M1745" t="s">
        <v>12</v>
      </c>
    </row>
    <row r="1746" spans="1:13" x14ac:dyDescent="0.3">
      <c r="A1746" s="1">
        <v>43385</v>
      </c>
      <c r="B1746">
        <v>6.33</v>
      </c>
      <c r="C1746">
        <v>4.3630000000000004</v>
      </c>
      <c r="D1746">
        <v>1</v>
      </c>
      <c r="E1746">
        <v>26</v>
      </c>
      <c r="F1746">
        <v>6</v>
      </c>
      <c r="G1746">
        <v>0</v>
      </c>
      <c r="H1746">
        <v>1</v>
      </c>
      <c r="I1746">
        <v>6</v>
      </c>
      <c r="J1746">
        <v>2018</v>
      </c>
      <c r="K1746">
        <v>10</v>
      </c>
      <c r="L1746">
        <v>276</v>
      </c>
      <c r="M1746" t="s">
        <v>13</v>
      </c>
    </row>
    <row r="1747" spans="1:13" x14ac:dyDescent="0.3">
      <c r="A1747" s="1">
        <v>43386</v>
      </c>
      <c r="B1747">
        <v>6.99</v>
      </c>
      <c r="C1747">
        <v>4.5069999999999997</v>
      </c>
      <c r="D1747">
        <v>3.25</v>
      </c>
      <c r="E1747">
        <v>29.6</v>
      </c>
      <c r="F1747">
        <v>8</v>
      </c>
      <c r="G1747">
        <v>0</v>
      </c>
      <c r="H1747">
        <v>6</v>
      </c>
      <c r="I1747">
        <v>3</v>
      </c>
      <c r="J1747">
        <v>2018</v>
      </c>
      <c r="K1747">
        <v>10</v>
      </c>
      <c r="L1747">
        <v>276</v>
      </c>
      <c r="M1747" t="s">
        <v>14</v>
      </c>
    </row>
    <row r="1748" spans="1:13" x14ac:dyDescent="0.3">
      <c r="A1748" s="1">
        <v>43387</v>
      </c>
      <c r="B1748">
        <v>2.34</v>
      </c>
      <c r="C1748">
        <v>6.01</v>
      </c>
      <c r="D1748">
        <v>6.2</v>
      </c>
      <c r="E1748">
        <v>51.7</v>
      </c>
      <c r="F1748">
        <v>9</v>
      </c>
      <c r="G1748">
        <v>2</v>
      </c>
      <c r="H1748">
        <v>0</v>
      </c>
      <c r="I1748">
        <v>6</v>
      </c>
      <c r="J1748">
        <v>2018</v>
      </c>
      <c r="K1748">
        <v>10</v>
      </c>
      <c r="L1748">
        <v>276</v>
      </c>
      <c r="M1748" t="s">
        <v>15</v>
      </c>
    </row>
    <row r="1749" spans="1:13" x14ac:dyDescent="0.3">
      <c r="A1749" s="1">
        <v>43388</v>
      </c>
      <c r="B1749">
        <v>7.17</v>
      </c>
      <c r="C1749">
        <v>6.6000000000000003E-2</v>
      </c>
      <c r="D1749">
        <v>3</v>
      </c>
      <c r="E1749">
        <v>47.6</v>
      </c>
      <c r="F1749">
        <v>12</v>
      </c>
      <c r="G1749">
        <v>0</v>
      </c>
      <c r="H1749">
        <v>5</v>
      </c>
      <c r="I1749">
        <v>6</v>
      </c>
      <c r="J1749">
        <v>2018</v>
      </c>
      <c r="K1749">
        <v>10</v>
      </c>
      <c r="L1749">
        <v>276</v>
      </c>
      <c r="M1749" t="s">
        <v>16</v>
      </c>
    </row>
    <row r="1750" spans="1:13" x14ac:dyDescent="0.3">
      <c r="A1750" s="1">
        <v>43389</v>
      </c>
      <c r="B1750">
        <v>6</v>
      </c>
      <c r="C1750">
        <v>5.3220000000000001</v>
      </c>
      <c r="D1750">
        <v>2</v>
      </c>
      <c r="E1750">
        <v>27.3</v>
      </c>
      <c r="F1750">
        <v>5</v>
      </c>
      <c r="G1750">
        <v>3</v>
      </c>
      <c r="H1750">
        <v>6</v>
      </c>
      <c r="I1750">
        <v>0</v>
      </c>
      <c r="J1750">
        <v>2018</v>
      </c>
      <c r="K1750">
        <v>10</v>
      </c>
      <c r="L1750">
        <v>276</v>
      </c>
      <c r="M1750" t="s">
        <v>17</v>
      </c>
    </row>
    <row r="1751" spans="1:13" x14ac:dyDescent="0.3">
      <c r="A1751" s="1">
        <v>43390</v>
      </c>
      <c r="B1751">
        <v>2.33</v>
      </c>
      <c r="C1751">
        <v>6</v>
      </c>
      <c r="D1751">
        <v>4</v>
      </c>
      <c r="E1751">
        <v>52.2</v>
      </c>
      <c r="F1751">
        <v>5</v>
      </c>
      <c r="G1751">
        <v>0</v>
      </c>
      <c r="H1751">
        <v>1</v>
      </c>
      <c r="I1751">
        <v>4</v>
      </c>
      <c r="J1751">
        <v>2018</v>
      </c>
      <c r="K1751">
        <v>10</v>
      </c>
      <c r="L1751">
        <v>276</v>
      </c>
      <c r="M1751" t="s">
        <v>18</v>
      </c>
    </row>
    <row r="1752" spans="1:13" x14ac:dyDescent="0.3">
      <c r="A1752" s="1">
        <v>43391</v>
      </c>
      <c r="B1752">
        <v>4.34</v>
      </c>
      <c r="C1752">
        <v>3</v>
      </c>
      <c r="D1752">
        <v>1.1000000000000001</v>
      </c>
      <c r="E1752">
        <v>14</v>
      </c>
      <c r="F1752">
        <v>9</v>
      </c>
      <c r="G1752">
        <v>1</v>
      </c>
      <c r="H1752">
        <v>10</v>
      </c>
      <c r="I1752">
        <v>5</v>
      </c>
      <c r="J1752">
        <v>2018</v>
      </c>
      <c r="K1752">
        <v>10</v>
      </c>
      <c r="L1752">
        <v>276</v>
      </c>
      <c r="M1752" t="s">
        <v>12</v>
      </c>
    </row>
    <row r="1753" spans="1:13" x14ac:dyDescent="0.3">
      <c r="A1753" s="1">
        <v>43392</v>
      </c>
      <c r="B1753">
        <v>4</v>
      </c>
      <c r="C1753">
        <v>2.0659999999999998</v>
      </c>
      <c r="D1753">
        <v>0</v>
      </c>
      <c r="E1753">
        <v>10.6</v>
      </c>
      <c r="F1753">
        <v>5</v>
      </c>
      <c r="G1753">
        <v>2</v>
      </c>
      <c r="H1753">
        <v>6</v>
      </c>
      <c r="I1753">
        <v>4</v>
      </c>
      <c r="J1753">
        <v>2018</v>
      </c>
      <c r="K1753">
        <v>10</v>
      </c>
      <c r="L1753">
        <v>276</v>
      </c>
      <c r="M1753" t="s">
        <v>13</v>
      </c>
    </row>
    <row r="1754" spans="1:13" x14ac:dyDescent="0.3">
      <c r="A1754" s="1">
        <v>43393</v>
      </c>
      <c r="B1754">
        <v>2.34</v>
      </c>
      <c r="C1754">
        <v>2.02</v>
      </c>
      <c r="D1754">
        <v>2</v>
      </c>
      <c r="E1754">
        <v>33</v>
      </c>
      <c r="F1754">
        <v>9</v>
      </c>
      <c r="G1754">
        <v>0</v>
      </c>
      <c r="H1754">
        <v>34</v>
      </c>
      <c r="I1754">
        <v>5</v>
      </c>
      <c r="J1754">
        <v>2018</v>
      </c>
      <c r="K1754">
        <v>10</v>
      </c>
      <c r="L1754">
        <v>276</v>
      </c>
      <c r="M1754" t="s">
        <v>14</v>
      </c>
    </row>
    <row r="1755" spans="1:13" x14ac:dyDescent="0.3">
      <c r="A1755" s="1">
        <v>43394</v>
      </c>
      <c r="B1755">
        <v>6.67</v>
      </c>
      <c r="C1755">
        <v>8.69</v>
      </c>
      <c r="D1755">
        <v>1</v>
      </c>
      <c r="E1755">
        <v>56.3</v>
      </c>
      <c r="F1755">
        <v>5</v>
      </c>
      <c r="G1755">
        <v>3</v>
      </c>
      <c r="H1755">
        <v>5</v>
      </c>
      <c r="I1755">
        <v>1</v>
      </c>
      <c r="J1755">
        <v>2018</v>
      </c>
      <c r="K1755">
        <v>10</v>
      </c>
      <c r="L1755">
        <v>276</v>
      </c>
      <c r="M1755" t="s">
        <v>15</v>
      </c>
    </row>
    <row r="1756" spans="1:13" x14ac:dyDescent="0.3">
      <c r="A1756" s="1">
        <v>43395</v>
      </c>
      <c r="B1756">
        <v>2.66</v>
      </c>
      <c r="C1756">
        <v>7.01</v>
      </c>
      <c r="D1756">
        <v>3.3</v>
      </c>
      <c r="E1756">
        <v>18.8</v>
      </c>
      <c r="F1756">
        <v>8</v>
      </c>
      <c r="G1756">
        <v>0</v>
      </c>
      <c r="H1756">
        <v>28</v>
      </c>
      <c r="I1756">
        <v>1.3</v>
      </c>
      <c r="J1756">
        <v>2018</v>
      </c>
      <c r="K1756">
        <v>10</v>
      </c>
      <c r="L1756">
        <v>276</v>
      </c>
      <c r="M1756" t="s">
        <v>16</v>
      </c>
    </row>
    <row r="1757" spans="1:13" x14ac:dyDescent="0.3">
      <c r="A1757" s="1">
        <v>43396</v>
      </c>
      <c r="B1757">
        <v>2.34</v>
      </c>
      <c r="C1757">
        <v>2</v>
      </c>
      <c r="D1757">
        <v>0.45</v>
      </c>
      <c r="E1757">
        <v>44.8</v>
      </c>
      <c r="F1757">
        <v>9</v>
      </c>
      <c r="G1757">
        <v>1</v>
      </c>
      <c r="H1757">
        <v>11</v>
      </c>
      <c r="I1757">
        <v>3</v>
      </c>
      <c r="J1757">
        <v>2018</v>
      </c>
      <c r="K1757">
        <v>10</v>
      </c>
      <c r="L1757">
        <v>276</v>
      </c>
      <c r="M1757" t="s">
        <v>17</v>
      </c>
    </row>
    <row r="1758" spans="1:13" x14ac:dyDescent="0.3">
      <c r="A1758" s="1">
        <v>43397</v>
      </c>
      <c r="B1758">
        <v>4</v>
      </c>
      <c r="C1758">
        <v>2.109</v>
      </c>
      <c r="D1758">
        <v>5</v>
      </c>
      <c r="E1758">
        <v>37.200000000000003</v>
      </c>
      <c r="F1758">
        <v>7</v>
      </c>
      <c r="G1758">
        <v>0</v>
      </c>
      <c r="H1758">
        <v>10</v>
      </c>
      <c r="I1758">
        <v>1.5</v>
      </c>
      <c r="J1758">
        <v>2018</v>
      </c>
      <c r="K1758">
        <v>10</v>
      </c>
      <c r="L1758">
        <v>276</v>
      </c>
      <c r="M1758" t="s">
        <v>18</v>
      </c>
    </row>
    <row r="1759" spans="1:13" x14ac:dyDescent="0.3">
      <c r="A1759" s="1">
        <v>43398</v>
      </c>
      <c r="B1759">
        <v>5.33</v>
      </c>
      <c r="C1759">
        <v>5.4290000000000003</v>
      </c>
      <c r="D1759">
        <v>3</v>
      </c>
      <c r="E1759">
        <v>52.2</v>
      </c>
      <c r="F1759">
        <v>12</v>
      </c>
      <c r="G1759">
        <v>0</v>
      </c>
      <c r="H1759">
        <v>33</v>
      </c>
      <c r="I1759">
        <v>3</v>
      </c>
      <c r="J1759">
        <v>2018</v>
      </c>
      <c r="K1759">
        <v>10</v>
      </c>
      <c r="L1759">
        <v>276</v>
      </c>
      <c r="M1759" t="s">
        <v>12</v>
      </c>
    </row>
    <row r="1760" spans="1:13" x14ac:dyDescent="0.3">
      <c r="A1760" s="1">
        <v>43399</v>
      </c>
      <c r="B1760">
        <v>4</v>
      </c>
      <c r="C1760">
        <v>5.3730000000000002</v>
      </c>
      <c r="D1760">
        <v>4.5999999999999996</v>
      </c>
      <c r="E1760">
        <v>44</v>
      </c>
      <c r="F1760">
        <v>14</v>
      </c>
      <c r="G1760">
        <v>1</v>
      </c>
      <c r="H1760">
        <v>14</v>
      </c>
      <c r="I1760">
        <v>1</v>
      </c>
      <c r="J1760">
        <v>2018</v>
      </c>
      <c r="K1760">
        <v>10</v>
      </c>
      <c r="L1760">
        <v>276</v>
      </c>
      <c r="M1760" t="s">
        <v>13</v>
      </c>
    </row>
    <row r="1761" spans="1:13" x14ac:dyDescent="0.3">
      <c r="A1761" s="1">
        <v>43400</v>
      </c>
      <c r="B1761">
        <v>8.34</v>
      </c>
      <c r="C1761">
        <v>3.4260000000000002</v>
      </c>
      <c r="D1761">
        <v>2.2000000000000002</v>
      </c>
      <c r="E1761">
        <v>49.975000000000001</v>
      </c>
      <c r="F1761">
        <v>12</v>
      </c>
      <c r="G1761">
        <v>1</v>
      </c>
      <c r="H1761">
        <v>7</v>
      </c>
      <c r="I1761">
        <v>2</v>
      </c>
      <c r="J1761">
        <v>2018</v>
      </c>
      <c r="K1761">
        <v>10</v>
      </c>
      <c r="L1761">
        <v>276</v>
      </c>
      <c r="M1761" t="s">
        <v>14</v>
      </c>
    </row>
    <row r="1762" spans="1:13" x14ac:dyDescent="0.3">
      <c r="A1762" s="1">
        <v>43401</v>
      </c>
      <c r="B1762">
        <v>5.33</v>
      </c>
      <c r="C1762">
        <v>5.33</v>
      </c>
      <c r="D1762">
        <v>1.6</v>
      </c>
      <c r="E1762">
        <v>53.75</v>
      </c>
      <c r="F1762">
        <v>9</v>
      </c>
      <c r="G1762">
        <v>3</v>
      </c>
      <c r="H1762">
        <v>13</v>
      </c>
      <c r="I1762">
        <v>3</v>
      </c>
      <c r="J1762">
        <v>2018</v>
      </c>
      <c r="K1762">
        <v>10</v>
      </c>
      <c r="L1762">
        <v>276</v>
      </c>
      <c r="M1762" t="s">
        <v>15</v>
      </c>
    </row>
    <row r="1763" spans="1:13" x14ac:dyDescent="0.3">
      <c r="A1763" s="1">
        <v>43402</v>
      </c>
      <c r="B1763">
        <v>5.35</v>
      </c>
      <c r="C1763">
        <v>2.67</v>
      </c>
      <c r="D1763">
        <v>2.35</v>
      </c>
      <c r="E1763">
        <v>32.799999999999997</v>
      </c>
      <c r="F1763">
        <v>5</v>
      </c>
      <c r="G1763">
        <v>0</v>
      </c>
      <c r="H1763">
        <v>10</v>
      </c>
      <c r="I1763">
        <v>3</v>
      </c>
      <c r="J1763">
        <v>2018</v>
      </c>
      <c r="K1763">
        <v>10</v>
      </c>
      <c r="L1763">
        <v>276</v>
      </c>
      <c r="M1763" t="s">
        <v>16</v>
      </c>
    </row>
    <row r="1764" spans="1:13" x14ac:dyDescent="0.3">
      <c r="A1764" s="1">
        <v>43403</v>
      </c>
      <c r="B1764">
        <v>9.33</v>
      </c>
      <c r="C1764">
        <v>4</v>
      </c>
      <c r="D1764">
        <v>1</v>
      </c>
      <c r="E1764">
        <v>18.2</v>
      </c>
      <c r="F1764">
        <v>7</v>
      </c>
      <c r="G1764">
        <v>0</v>
      </c>
      <c r="H1764">
        <v>13</v>
      </c>
      <c r="I1764">
        <v>1</v>
      </c>
      <c r="J1764">
        <v>2018</v>
      </c>
      <c r="K1764">
        <v>10</v>
      </c>
      <c r="L1764">
        <v>276</v>
      </c>
      <c r="M1764" t="s">
        <v>17</v>
      </c>
    </row>
    <row r="1765" spans="1:13" x14ac:dyDescent="0.3">
      <c r="A1765" s="1">
        <v>43404</v>
      </c>
      <c r="B1765">
        <v>2</v>
      </c>
      <c r="C1765">
        <v>4.68</v>
      </c>
      <c r="D1765">
        <v>3</v>
      </c>
      <c r="E1765">
        <v>34.1</v>
      </c>
      <c r="F1765">
        <v>7</v>
      </c>
      <c r="G1765">
        <v>0</v>
      </c>
      <c r="H1765">
        <v>2</v>
      </c>
      <c r="I1765">
        <v>2</v>
      </c>
      <c r="J1765">
        <v>2018</v>
      </c>
      <c r="K1765">
        <v>10</v>
      </c>
      <c r="L1765">
        <v>276</v>
      </c>
      <c r="M1765" t="s">
        <v>18</v>
      </c>
    </row>
    <row r="1766" spans="1:13" x14ac:dyDescent="0.3">
      <c r="A1766" s="1">
        <v>43405</v>
      </c>
      <c r="B1766">
        <v>7.84</v>
      </c>
      <c r="C1766">
        <v>0.34</v>
      </c>
      <c r="D1766">
        <v>3</v>
      </c>
      <c r="E1766">
        <v>25</v>
      </c>
      <c r="F1766">
        <v>6</v>
      </c>
      <c r="G1766">
        <v>3</v>
      </c>
      <c r="H1766">
        <v>7</v>
      </c>
      <c r="I1766">
        <v>0</v>
      </c>
      <c r="J1766">
        <v>2018</v>
      </c>
      <c r="K1766">
        <v>11</v>
      </c>
      <c r="L1766">
        <v>276</v>
      </c>
      <c r="M1766" t="s">
        <v>12</v>
      </c>
    </row>
    <row r="1767" spans="1:13" x14ac:dyDescent="0.3">
      <c r="A1767" s="1">
        <v>43406</v>
      </c>
      <c r="B1767">
        <v>5.14</v>
      </c>
      <c r="C1767">
        <v>1.845</v>
      </c>
      <c r="D1767">
        <v>0</v>
      </c>
      <c r="E1767">
        <v>32.6</v>
      </c>
      <c r="F1767">
        <v>8.1999999999999993</v>
      </c>
      <c r="G1767">
        <v>0</v>
      </c>
      <c r="H1767">
        <v>1</v>
      </c>
      <c r="I1767">
        <v>3.3</v>
      </c>
      <c r="J1767">
        <v>2018</v>
      </c>
      <c r="K1767">
        <v>11</v>
      </c>
      <c r="L1767">
        <v>276</v>
      </c>
      <c r="M1767" t="s">
        <v>13</v>
      </c>
    </row>
    <row r="1768" spans="1:13" x14ac:dyDescent="0.3">
      <c r="A1768" s="1">
        <v>43407</v>
      </c>
      <c r="B1768">
        <v>3</v>
      </c>
      <c r="C1768">
        <v>3</v>
      </c>
      <c r="D1768">
        <v>6.2</v>
      </c>
      <c r="E1768">
        <v>45.4</v>
      </c>
      <c r="F1768">
        <v>2</v>
      </c>
      <c r="G1768">
        <v>0</v>
      </c>
      <c r="H1768">
        <v>0</v>
      </c>
      <c r="I1768">
        <v>2</v>
      </c>
      <c r="J1768">
        <v>2018</v>
      </c>
      <c r="K1768">
        <v>11</v>
      </c>
      <c r="L1768">
        <v>276</v>
      </c>
      <c r="M1768" t="s">
        <v>14</v>
      </c>
    </row>
    <row r="1769" spans="1:13" x14ac:dyDescent="0.3">
      <c r="A1769" s="1">
        <v>43408</v>
      </c>
      <c r="B1769">
        <v>13.99</v>
      </c>
      <c r="C1769">
        <v>4.8959999999999999</v>
      </c>
      <c r="D1769">
        <v>0</v>
      </c>
      <c r="E1769">
        <v>52</v>
      </c>
      <c r="F1769">
        <v>7</v>
      </c>
      <c r="G1769">
        <v>0</v>
      </c>
      <c r="H1769">
        <v>13</v>
      </c>
      <c r="I1769">
        <v>1</v>
      </c>
      <c r="J1769">
        <v>2018</v>
      </c>
      <c r="K1769">
        <v>11</v>
      </c>
      <c r="L1769">
        <v>276</v>
      </c>
      <c r="M1769" t="s">
        <v>15</v>
      </c>
    </row>
    <row r="1770" spans="1:13" x14ac:dyDescent="0.3">
      <c r="A1770" s="1">
        <v>43409</v>
      </c>
      <c r="B1770">
        <v>6.33</v>
      </c>
      <c r="C1770">
        <v>2.34</v>
      </c>
      <c r="D1770">
        <v>6</v>
      </c>
      <c r="E1770">
        <v>29</v>
      </c>
      <c r="F1770">
        <v>14</v>
      </c>
      <c r="G1770">
        <v>0</v>
      </c>
      <c r="H1770">
        <v>13</v>
      </c>
      <c r="I1770">
        <v>2.2999999999999998</v>
      </c>
      <c r="J1770">
        <v>2018</v>
      </c>
      <c r="K1770">
        <v>11</v>
      </c>
      <c r="L1770">
        <v>276</v>
      </c>
      <c r="M1770" t="s">
        <v>16</v>
      </c>
    </row>
    <row r="1771" spans="1:13" x14ac:dyDescent="0.3">
      <c r="A1771" s="1">
        <v>43410</v>
      </c>
      <c r="B1771">
        <v>3.33</v>
      </c>
      <c r="C1771">
        <v>6.68</v>
      </c>
      <c r="D1771">
        <v>10.55</v>
      </c>
      <c r="E1771">
        <v>37.700000000000003</v>
      </c>
      <c r="F1771">
        <v>8</v>
      </c>
      <c r="G1771">
        <v>0</v>
      </c>
      <c r="H1771">
        <v>13</v>
      </c>
      <c r="I1771">
        <v>2.5</v>
      </c>
      <c r="J1771">
        <v>2018</v>
      </c>
      <c r="K1771">
        <v>11</v>
      </c>
      <c r="L1771">
        <v>276</v>
      </c>
      <c r="M1771" t="s">
        <v>17</v>
      </c>
    </row>
    <row r="1772" spans="1:13" x14ac:dyDescent="0.3">
      <c r="A1772" s="1">
        <v>43411</v>
      </c>
      <c r="B1772">
        <v>7</v>
      </c>
      <c r="C1772">
        <v>1.863</v>
      </c>
      <c r="D1772">
        <v>3</v>
      </c>
      <c r="E1772">
        <v>38.9</v>
      </c>
      <c r="F1772">
        <v>15</v>
      </c>
      <c r="G1772">
        <v>3</v>
      </c>
      <c r="H1772">
        <v>8</v>
      </c>
      <c r="I1772">
        <v>0</v>
      </c>
      <c r="J1772">
        <v>2018</v>
      </c>
      <c r="K1772">
        <v>11</v>
      </c>
      <c r="L1772">
        <v>276</v>
      </c>
      <c r="M1772" t="s">
        <v>18</v>
      </c>
    </row>
    <row r="1773" spans="1:13" x14ac:dyDescent="0.3">
      <c r="A1773" s="1">
        <v>43412</v>
      </c>
      <c r="B1773">
        <v>3</v>
      </c>
      <c r="C1773">
        <v>1.573</v>
      </c>
      <c r="D1773">
        <v>6</v>
      </c>
      <c r="E1773">
        <v>38</v>
      </c>
      <c r="F1773">
        <v>5</v>
      </c>
      <c r="G1773">
        <v>0</v>
      </c>
      <c r="H1773">
        <v>16</v>
      </c>
      <c r="I1773">
        <v>2</v>
      </c>
      <c r="J1773">
        <v>2018</v>
      </c>
      <c r="K1773">
        <v>11</v>
      </c>
      <c r="L1773">
        <v>276</v>
      </c>
      <c r="M1773" t="s">
        <v>12</v>
      </c>
    </row>
    <row r="1774" spans="1:13" x14ac:dyDescent="0.3">
      <c r="A1774" s="1">
        <v>43413</v>
      </c>
      <c r="B1774">
        <v>5</v>
      </c>
      <c r="C1774">
        <v>0.67</v>
      </c>
      <c r="D1774">
        <v>5</v>
      </c>
      <c r="E1774">
        <v>43</v>
      </c>
      <c r="F1774">
        <v>7</v>
      </c>
      <c r="G1774">
        <v>1</v>
      </c>
      <c r="H1774">
        <v>22</v>
      </c>
      <c r="I1774">
        <v>0</v>
      </c>
      <c r="J1774">
        <v>2018</v>
      </c>
      <c r="K1774">
        <v>11</v>
      </c>
      <c r="L1774">
        <v>276</v>
      </c>
      <c r="M1774" t="s">
        <v>13</v>
      </c>
    </row>
    <row r="1775" spans="1:13" x14ac:dyDescent="0.3">
      <c r="A1775" s="1">
        <v>43414</v>
      </c>
      <c r="B1775">
        <v>4.33</v>
      </c>
      <c r="C1775">
        <v>2.4169999999999998</v>
      </c>
      <c r="D1775">
        <v>2</v>
      </c>
      <c r="E1775">
        <v>35.6</v>
      </c>
      <c r="F1775">
        <v>7</v>
      </c>
      <c r="G1775">
        <v>1</v>
      </c>
      <c r="H1775">
        <v>11</v>
      </c>
      <c r="I1775">
        <v>1.1000000000000001</v>
      </c>
      <c r="J1775">
        <v>2018</v>
      </c>
      <c r="K1775">
        <v>11</v>
      </c>
      <c r="L1775">
        <v>276</v>
      </c>
      <c r="M1775" t="s">
        <v>14</v>
      </c>
    </row>
    <row r="1776" spans="1:13" x14ac:dyDescent="0.3">
      <c r="A1776" s="1">
        <v>43415</v>
      </c>
      <c r="B1776">
        <v>11</v>
      </c>
      <c r="C1776">
        <v>4.2460000000000004</v>
      </c>
      <c r="D1776">
        <v>2</v>
      </c>
      <c r="E1776">
        <v>33.65</v>
      </c>
      <c r="F1776">
        <v>14</v>
      </c>
      <c r="G1776">
        <v>0</v>
      </c>
      <c r="H1776">
        <v>10</v>
      </c>
      <c r="I1776">
        <v>1</v>
      </c>
      <c r="J1776">
        <v>2018</v>
      </c>
      <c r="K1776">
        <v>11</v>
      </c>
      <c r="L1776">
        <v>276</v>
      </c>
      <c r="M1776" t="s">
        <v>15</v>
      </c>
    </row>
    <row r="1777" spans="1:13" x14ac:dyDescent="0.3">
      <c r="A1777" s="1">
        <v>43416</v>
      </c>
      <c r="B1777">
        <v>2.34</v>
      </c>
      <c r="C1777">
        <v>2.33</v>
      </c>
      <c r="D1777">
        <v>7</v>
      </c>
      <c r="E1777">
        <v>35</v>
      </c>
      <c r="F1777">
        <v>15</v>
      </c>
      <c r="G1777">
        <v>2</v>
      </c>
      <c r="H1777">
        <v>24</v>
      </c>
      <c r="I1777">
        <v>1</v>
      </c>
      <c r="J1777">
        <v>2018</v>
      </c>
      <c r="K1777">
        <v>11</v>
      </c>
      <c r="L1777">
        <v>276</v>
      </c>
      <c r="M1777" t="s">
        <v>16</v>
      </c>
    </row>
    <row r="1778" spans="1:13" x14ac:dyDescent="0.3">
      <c r="A1778" s="1">
        <v>43417</v>
      </c>
      <c r="B1778">
        <v>6.33</v>
      </c>
      <c r="C1778">
        <v>5.35</v>
      </c>
      <c r="D1778">
        <v>6</v>
      </c>
      <c r="E1778">
        <v>29.7</v>
      </c>
      <c r="F1778">
        <v>18</v>
      </c>
      <c r="G1778">
        <v>0</v>
      </c>
      <c r="H1778">
        <v>18</v>
      </c>
      <c r="I1778">
        <v>3</v>
      </c>
      <c r="J1778">
        <v>2018</v>
      </c>
      <c r="K1778">
        <v>11</v>
      </c>
      <c r="L1778">
        <v>276</v>
      </c>
      <c r="M1778" t="s">
        <v>17</v>
      </c>
    </row>
    <row r="1779" spans="1:13" x14ac:dyDescent="0.3">
      <c r="A1779" s="1">
        <v>43418</v>
      </c>
      <c r="B1779">
        <v>5.66</v>
      </c>
      <c r="C1779">
        <v>4.67</v>
      </c>
      <c r="D1779">
        <v>3</v>
      </c>
      <c r="E1779">
        <v>28.4</v>
      </c>
      <c r="F1779">
        <v>9</v>
      </c>
      <c r="G1779">
        <v>0</v>
      </c>
      <c r="H1779">
        <v>0</v>
      </c>
      <c r="I1779">
        <v>0</v>
      </c>
      <c r="J1779">
        <v>2018</v>
      </c>
      <c r="K1779">
        <v>11</v>
      </c>
      <c r="L1779">
        <v>276</v>
      </c>
      <c r="M1779" t="s">
        <v>18</v>
      </c>
    </row>
    <row r="1780" spans="1:13" x14ac:dyDescent="0.3">
      <c r="A1780" s="1">
        <v>43419</v>
      </c>
      <c r="B1780">
        <v>2</v>
      </c>
      <c r="C1780">
        <v>4.0830000000000002</v>
      </c>
      <c r="D1780">
        <v>2</v>
      </c>
      <c r="E1780">
        <v>49.6</v>
      </c>
      <c r="F1780">
        <v>3</v>
      </c>
      <c r="G1780">
        <v>2</v>
      </c>
      <c r="H1780">
        <v>29</v>
      </c>
      <c r="I1780">
        <v>0</v>
      </c>
      <c r="J1780">
        <v>2018</v>
      </c>
      <c r="K1780">
        <v>11</v>
      </c>
      <c r="L1780">
        <v>276</v>
      </c>
      <c r="M1780" t="s">
        <v>12</v>
      </c>
    </row>
    <row r="1781" spans="1:13" x14ac:dyDescent="0.3">
      <c r="A1781" s="1">
        <v>43420</v>
      </c>
      <c r="B1781">
        <v>8.33</v>
      </c>
      <c r="C1781">
        <v>2.66</v>
      </c>
      <c r="D1781">
        <v>4</v>
      </c>
      <c r="E1781">
        <v>21.5</v>
      </c>
      <c r="F1781">
        <v>6</v>
      </c>
      <c r="G1781">
        <v>0</v>
      </c>
      <c r="H1781">
        <v>6</v>
      </c>
      <c r="I1781">
        <v>0.4</v>
      </c>
      <c r="J1781">
        <v>2018</v>
      </c>
      <c r="K1781">
        <v>11</v>
      </c>
      <c r="L1781">
        <v>276</v>
      </c>
      <c r="M1781" t="s">
        <v>13</v>
      </c>
    </row>
    <row r="1782" spans="1:13" x14ac:dyDescent="0.3">
      <c r="A1782" s="1">
        <v>43421</v>
      </c>
      <c r="B1782">
        <v>8</v>
      </c>
      <c r="C1782">
        <v>2.34</v>
      </c>
      <c r="D1782">
        <v>1</v>
      </c>
      <c r="E1782">
        <v>39</v>
      </c>
      <c r="F1782">
        <v>5</v>
      </c>
      <c r="G1782">
        <v>0</v>
      </c>
      <c r="H1782">
        <v>13</v>
      </c>
      <c r="I1782">
        <v>2</v>
      </c>
      <c r="J1782">
        <v>2018</v>
      </c>
      <c r="K1782">
        <v>11</v>
      </c>
      <c r="L1782">
        <v>276</v>
      </c>
      <c r="M1782" t="s">
        <v>14</v>
      </c>
    </row>
    <row r="1783" spans="1:13" x14ac:dyDescent="0.3">
      <c r="A1783" s="1">
        <v>43422</v>
      </c>
      <c r="B1783">
        <v>4.68</v>
      </c>
      <c r="C1783">
        <v>4.68</v>
      </c>
      <c r="D1783">
        <v>5</v>
      </c>
      <c r="E1783">
        <v>32.9</v>
      </c>
      <c r="F1783">
        <v>7</v>
      </c>
      <c r="G1783">
        <v>1</v>
      </c>
      <c r="H1783">
        <v>10</v>
      </c>
      <c r="I1783">
        <v>1</v>
      </c>
      <c r="J1783">
        <v>2018</v>
      </c>
      <c r="K1783">
        <v>11</v>
      </c>
      <c r="L1783">
        <v>276</v>
      </c>
      <c r="M1783" t="s">
        <v>15</v>
      </c>
    </row>
    <row r="1784" spans="1:13" x14ac:dyDescent="0.3">
      <c r="A1784" s="1">
        <v>43423</v>
      </c>
      <c r="B1784">
        <v>6.01</v>
      </c>
      <c r="C1784">
        <v>2.44</v>
      </c>
      <c r="D1784">
        <v>2</v>
      </c>
      <c r="E1784">
        <v>47.2</v>
      </c>
      <c r="F1784">
        <v>6</v>
      </c>
      <c r="G1784">
        <v>3</v>
      </c>
      <c r="H1784">
        <v>3</v>
      </c>
      <c r="I1784">
        <v>0</v>
      </c>
      <c r="J1784">
        <v>2018</v>
      </c>
      <c r="K1784">
        <v>11</v>
      </c>
      <c r="L1784">
        <v>276</v>
      </c>
      <c r="M1784" t="s">
        <v>16</v>
      </c>
    </row>
    <row r="1785" spans="1:13" x14ac:dyDescent="0.3">
      <c r="A1785" s="1">
        <v>43424</v>
      </c>
      <c r="B1785">
        <v>5.33</v>
      </c>
      <c r="C1785">
        <v>3.8029999999999999</v>
      </c>
      <c r="D1785">
        <v>4</v>
      </c>
      <c r="E1785">
        <v>31.5</v>
      </c>
      <c r="F1785">
        <v>4</v>
      </c>
      <c r="G1785">
        <v>1</v>
      </c>
      <c r="H1785">
        <v>10</v>
      </c>
      <c r="I1785">
        <v>3</v>
      </c>
      <c r="J1785">
        <v>2018</v>
      </c>
      <c r="K1785">
        <v>11</v>
      </c>
      <c r="L1785">
        <v>276</v>
      </c>
      <c r="M1785" t="s">
        <v>17</v>
      </c>
    </row>
    <row r="1786" spans="1:13" x14ac:dyDescent="0.3">
      <c r="A1786" s="1">
        <v>43425</v>
      </c>
      <c r="B1786">
        <v>7</v>
      </c>
      <c r="C1786">
        <v>2.34</v>
      </c>
      <c r="D1786">
        <v>3.25</v>
      </c>
      <c r="E1786">
        <v>22</v>
      </c>
      <c r="F1786">
        <v>5</v>
      </c>
      <c r="G1786">
        <v>0</v>
      </c>
      <c r="H1786">
        <v>5</v>
      </c>
      <c r="I1786">
        <v>1</v>
      </c>
      <c r="J1786">
        <v>2018</v>
      </c>
      <c r="K1786">
        <v>11</v>
      </c>
      <c r="L1786">
        <v>276</v>
      </c>
      <c r="M1786" t="s">
        <v>18</v>
      </c>
    </row>
    <row r="1787" spans="1:13" x14ac:dyDescent="0.3">
      <c r="A1787" s="1">
        <v>43426</v>
      </c>
      <c r="B1787">
        <v>8</v>
      </c>
      <c r="C1787">
        <v>7.0659999999999998</v>
      </c>
      <c r="D1787">
        <v>3</v>
      </c>
      <c r="E1787">
        <v>22.4</v>
      </c>
      <c r="F1787">
        <v>9</v>
      </c>
      <c r="G1787">
        <v>0</v>
      </c>
      <c r="H1787">
        <v>15</v>
      </c>
      <c r="I1787">
        <v>2</v>
      </c>
      <c r="J1787">
        <v>2018</v>
      </c>
      <c r="K1787">
        <v>11</v>
      </c>
      <c r="L1787">
        <v>276</v>
      </c>
      <c r="M1787" t="s">
        <v>12</v>
      </c>
    </row>
    <row r="1788" spans="1:13" x14ac:dyDescent="0.3">
      <c r="A1788" s="1">
        <v>43427</v>
      </c>
      <c r="B1788">
        <v>6</v>
      </c>
      <c r="C1788">
        <v>4.4720000000000004</v>
      </c>
      <c r="D1788">
        <v>3</v>
      </c>
      <c r="E1788">
        <v>29.6</v>
      </c>
      <c r="F1788">
        <v>13</v>
      </c>
      <c r="G1788">
        <v>1</v>
      </c>
      <c r="H1788">
        <v>24</v>
      </c>
      <c r="I1788">
        <v>3</v>
      </c>
      <c r="J1788">
        <v>2018</v>
      </c>
      <c r="K1788">
        <v>11</v>
      </c>
      <c r="L1788">
        <v>276</v>
      </c>
      <c r="M1788" t="s">
        <v>13</v>
      </c>
    </row>
    <row r="1789" spans="1:13" x14ac:dyDescent="0.3">
      <c r="A1789" s="1">
        <v>43428</v>
      </c>
      <c r="B1789">
        <v>5.66</v>
      </c>
      <c r="C1789">
        <v>5.78</v>
      </c>
      <c r="D1789">
        <v>5</v>
      </c>
      <c r="E1789">
        <v>29.2</v>
      </c>
      <c r="F1789">
        <v>11</v>
      </c>
      <c r="G1789">
        <v>0</v>
      </c>
      <c r="H1789">
        <v>7</v>
      </c>
      <c r="I1789">
        <v>0.3</v>
      </c>
      <c r="J1789">
        <v>2018</v>
      </c>
      <c r="K1789">
        <v>11</v>
      </c>
      <c r="L1789">
        <v>276</v>
      </c>
      <c r="M1789" t="s">
        <v>14</v>
      </c>
    </row>
    <row r="1790" spans="1:13" x14ac:dyDescent="0.3">
      <c r="A1790" s="1">
        <v>43429</v>
      </c>
      <c r="B1790">
        <v>5.33</v>
      </c>
      <c r="C1790">
        <v>3.593</v>
      </c>
      <c r="D1790">
        <v>3.15</v>
      </c>
      <c r="E1790">
        <v>19.100000000000001</v>
      </c>
      <c r="F1790">
        <v>6</v>
      </c>
      <c r="G1790">
        <v>1</v>
      </c>
      <c r="H1790">
        <v>3</v>
      </c>
      <c r="I1790">
        <v>2</v>
      </c>
      <c r="J1790">
        <v>2018</v>
      </c>
      <c r="K1790">
        <v>11</v>
      </c>
      <c r="L1790">
        <v>276</v>
      </c>
      <c r="M1790" t="s">
        <v>15</v>
      </c>
    </row>
    <row r="1791" spans="1:13" x14ac:dyDescent="0.3">
      <c r="A1791" s="1">
        <v>43430</v>
      </c>
      <c r="B1791">
        <v>5.33</v>
      </c>
      <c r="C1791">
        <v>2.34</v>
      </c>
      <c r="D1791">
        <v>2</v>
      </c>
      <c r="E1791">
        <v>36.299999999999997</v>
      </c>
      <c r="F1791">
        <v>15</v>
      </c>
      <c r="G1791">
        <v>1</v>
      </c>
      <c r="H1791">
        <v>16</v>
      </c>
      <c r="I1791">
        <v>3</v>
      </c>
      <c r="J1791">
        <v>2018</v>
      </c>
      <c r="K1791">
        <v>11</v>
      </c>
      <c r="L1791">
        <v>276</v>
      </c>
      <c r="M1791" t="s">
        <v>16</v>
      </c>
    </row>
    <row r="1792" spans="1:13" x14ac:dyDescent="0.3">
      <c r="A1792" s="1">
        <v>43431</v>
      </c>
      <c r="B1792">
        <v>8</v>
      </c>
      <c r="C1792">
        <v>4.67</v>
      </c>
      <c r="D1792">
        <v>2</v>
      </c>
      <c r="E1792">
        <v>41.5</v>
      </c>
      <c r="F1792">
        <v>2</v>
      </c>
      <c r="G1792">
        <v>0</v>
      </c>
      <c r="H1792">
        <v>5</v>
      </c>
      <c r="I1792">
        <v>2</v>
      </c>
      <c r="J1792">
        <v>2018</v>
      </c>
      <c r="K1792">
        <v>11</v>
      </c>
      <c r="L1792">
        <v>276</v>
      </c>
      <c r="M1792" t="s">
        <v>17</v>
      </c>
    </row>
    <row r="1793" spans="1:13" x14ac:dyDescent="0.3">
      <c r="A1793" s="1">
        <v>43432</v>
      </c>
      <c r="B1793">
        <v>3</v>
      </c>
      <c r="C1793">
        <v>5.67</v>
      </c>
      <c r="D1793">
        <v>1</v>
      </c>
      <c r="E1793">
        <v>24.4</v>
      </c>
      <c r="F1793">
        <v>15</v>
      </c>
      <c r="G1793">
        <v>2</v>
      </c>
      <c r="H1793">
        <v>8</v>
      </c>
      <c r="I1793">
        <v>4</v>
      </c>
      <c r="J1793">
        <v>2018</v>
      </c>
      <c r="K1793">
        <v>11</v>
      </c>
      <c r="L1793">
        <v>276</v>
      </c>
      <c r="M1793" t="s">
        <v>18</v>
      </c>
    </row>
    <row r="1794" spans="1:13" x14ac:dyDescent="0.3">
      <c r="A1794" s="1">
        <v>43433</v>
      </c>
      <c r="B1794">
        <v>4.33</v>
      </c>
      <c r="C1794">
        <v>4.32</v>
      </c>
      <c r="D1794">
        <v>1</v>
      </c>
      <c r="E1794">
        <v>22.6</v>
      </c>
      <c r="F1794">
        <v>7</v>
      </c>
      <c r="G1794">
        <v>0</v>
      </c>
      <c r="H1794">
        <v>1</v>
      </c>
      <c r="I1794">
        <v>3</v>
      </c>
      <c r="J1794">
        <v>2018</v>
      </c>
      <c r="K1794">
        <v>11</v>
      </c>
      <c r="L1794">
        <v>276</v>
      </c>
      <c r="M1794" t="s">
        <v>12</v>
      </c>
    </row>
    <row r="1795" spans="1:13" x14ac:dyDescent="0.3">
      <c r="A1795" s="1">
        <v>43434</v>
      </c>
      <c r="B1795">
        <v>1</v>
      </c>
      <c r="C1795">
        <v>3.01</v>
      </c>
      <c r="D1795">
        <v>1</v>
      </c>
      <c r="E1795">
        <v>22.4</v>
      </c>
      <c r="F1795">
        <v>3</v>
      </c>
      <c r="G1795">
        <v>0</v>
      </c>
      <c r="H1795">
        <v>0</v>
      </c>
      <c r="I1795">
        <v>2.5</v>
      </c>
      <c r="J1795">
        <v>2018</v>
      </c>
      <c r="K1795">
        <v>11</v>
      </c>
      <c r="L1795">
        <v>276</v>
      </c>
      <c r="M1795" t="s">
        <v>13</v>
      </c>
    </row>
    <row r="1796" spans="1:13" x14ac:dyDescent="0.3">
      <c r="A1796" s="1">
        <v>43435</v>
      </c>
      <c r="B1796">
        <v>7</v>
      </c>
      <c r="C1796">
        <v>8.7789999999999999</v>
      </c>
      <c r="D1796">
        <v>2.0499999999999998</v>
      </c>
      <c r="E1796">
        <v>41</v>
      </c>
      <c r="F1796">
        <v>7</v>
      </c>
      <c r="G1796">
        <v>3</v>
      </c>
      <c r="H1796">
        <v>13</v>
      </c>
      <c r="I1796">
        <v>2</v>
      </c>
      <c r="J1796">
        <v>2018</v>
      </c>
      <c r="K1796">
        <v>12</v>
      </c>
      <c r="L1796">
        <v>276</v>
      </c>
      <c r="M1796" t="s">
        <v>14</v>
      </c>
    </row>
    <row r="1797" spans="1:13" x14ac:dyDescent="0.3">
      <c r="A1797" s="1">
        <v>43436</v>
      </c>
      <c r="B1797">
        <v>3.17</v>
      </c>
      <c r="C1797">
        <v>5.7789999999999999</v>
      </c>
      <c r="D1797">
        <v>10</v>
      </c>
      <c r="E1797">
        <v>65.7</v>
      </c>
      <c r="F1797">
        <v>6</v>
      </c>
      <c r="G1797">
        <v>0</v>
      </c>
      <c r="H1797">
        <v>27</v>
      </c>
      <c r="I1797">
        <v>8</v>
      </c>
      <c r="J1797">
        <v>2018</v>
      </c>
      <c r="K1797">
        <v>12</v>
      </c>
      <c r="L1797">
        <v>276</v>
      </c>
      <c r="M1797" t="s">
        <v>15</v>
      </c>
    </row>
    <row r="1798" spans="1:13" x14ac:dyDescent="0.3">
      <c r="A1798" s="1">
        <v>43437</v>
      </c>
      <c r="B1798">
        <v>6</v>
      </c>
      <c r="C1798">
        <v>5.0830000000000002</v>
      </c>
      <c r="D1798">
        <v>2.1</v>
      </c>
      <c r="E1798">
        <v>44</v>
      </c>
      <c r="F1798">
        <v>13</v>
      </c>
      <c r="G1798">
        <v>0</v>
      </c>
      <c r="H1798">
        <v>13</v>
      </c>
      <c r="I1798">
        <v>1</v>
      </c>
      <c r="J1798">
        <v>2018</v>
      </c>
      <c r="K1798">
        <v>12</v>
      </c>
      <c r="L1798">
        <v>276</v>
      </c>
      <c r="M1798" t="s">
        <v>16</v>
      </c>
    </row>
    <row r="1799" spans="1:13" x14ac:dyDescent="0.3">
      <c r="A1799" s="1">
        <v>43438</v>
      </c>
      <c r="B1799">
        <v>2.5</v>
      </c>
      <c r="C1799">
        <v>3</v>
      </c>
      <c r="D1799">
        <v>3</v>
      </c>
      <c r="E1799">
        <v>32.200000000000003</v>
      </c>
      <c r="F1799">
        <v>11</v>
      </c>
      <c r="G1799">
        <v>0</v>
      </c>
      <c r="H1799">
        <v>5</v>
      </c>
      <c r="I1799">
        <v>3</v>
      </c>
      <c r="J1799">
        <v>2018</v>
      </c>
      <c r="K1799">
        <v>12</v>
      </c>
      <c r="L1799">
        <v>276</v>
      </c>
      <c r="M1799" t="s">
        <v>17</v>
      </c>
    </row>
    <row r="1800" spans="1:13" x14ac:dyDescent="0.3">
      <c r="A1800" s="1">
        <v>43439</v>
      </c>
      <c r="B1800">
        <v>5.33</v>
      </c>
      <c r="C1800">
        <v>3.726</v>
      </c>
      <c r="D1800">
        <v>3.5</v>
      </c>
      <c r="E1800">
        <v>41.3</v>
      </c>
      <c r="F1800">
        <v>13</v>
      </c>
      <c r="G1800">
        <v>0</v>
      </c>
      <c r="H1800">
        <v>15</v>
      </c>
      <c r="I1800">
        <v>2</v>
      </c>
      <c r="J1800">
        <v>2018</v>
      </c>
      <c r="K1800">
        <v>12</v>
      </c>
      <c r="L1800">
        <v>276</v>
      </c>
      <c r="M1800" t="s">
        <v>18</v>
      </c>
    </row>
    <row r="1801" spans="1:13" x14ac:dyDescent="0.3">
      <c r="A1801" s="1">
        <v>43440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2018</v>
      </c>
      <c r="K1801">
        <v>12</v>
      </c>
      <c r="L1801">
        <v>276</v>
      </c>
      <c r="M1801" t="s">
        <v>12</v>
      </c>
    </row>
    <row r="1802" spans="1:13" x14ac:dyDescent="0.3">
      <c r="A1802" s="1">
        <v>43441</v>
      </c>
      <c r="B1802">
        <v>5</v>
      </c>
      <c r="C1802">
        <v>3.01</v>
      </c>
      <c r="D1802">
        <v>3</v>
      </c>
      <c r="E1802">
        <v>47.4</v>
      </c>
      <c r="F1802">
        <v>14</v>
      </c>
      <c r="G1802">
        <v>0</v>
      </c>
      <c r="H1802">
        <v>12</v>
      </c>
      <c r="I1802">
        <v>3</v>
      </c>
      <c r="J1802">
        <v>2018</v>
      </c>
      <c r="K1802">
        <v>12</v>
      </c>
      <c r="L1802">
        <v>276</v>
      </c>
      <c r="M1802" t="s">
        <v>13</v>
      </c>
    </row>
    <row r="1803" spans="1:13" x14ac:dyDescent="0.3">
      <c r="A1803" s="1">
        <v>43442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2018</v>
      </c>
      <c r="K1803">
        <v>12</v>
      </c>
      <c r="L1803">
        <v>276</v>
      </c>
      <c r="M1803" t="s">
        <v>14</v>
      </c>
    </row>
    <row r="1804" spans="1:13" x14ac:dyDescent="0.3">
      <c r="A1804" s="1">
        <v>43443</v>
      </c>
      <c r="B1804">
        <v>4.66</v>
      </c>
      <c r="C1804">
        <v>6.69</v>
      </c>
      <c r="D1804">
        <v>4.0999999999999996</v>
      </c>
      <c r="E1804">
        <v>57.7</v>
      </c>
      <c r="F1804">
        <v>9</v>
      </c>
      <c r="G1804">
        <v>0</v>
      </c>
      <c r="H1804">
        <v>11</v>
      </c>
      <c r="I1804">
        <v>0</v>
      </c>
      <c r="J1804">
        <v>2018</v>
      </c>
      <c r="K1804">
        <v>12</v>
      </c>
      <c r="L1804">
        <v>276</v>
      </c>
      <c r="M1804" t="s">
        <v>15</v>
      </c>
    </row>
    <row r="1805" spans="1:13" x14ac:dyDescent="0.3">
      <c r="A1805" s="1">
        <v>43444</v>
      </c>
      <c r="B1805">
        <v>4</v>
      </c>
      <c r="C1805">
        <v>5</v>
      </c>
      <c r="D1805">
        <v>1.5</v>
      </c>
      <c r="E1805">
        <v>23.8</v>
      </c>
      <c r="F1805">
        <v>12</v>
      </c>
      <c r="G1805">
        <v>1</v>
      </c>
      <c r="H1805">
        <v>7</v>
      </c>
      <c r="I1805">
        <v>1</v>
      </c>
      <c r="J1805">
        <v>2018</v>
      </c>
      <c r="K1805">
        <v>12</v>
      </c>
      <c r="L1805">
        <v>276</v>
      </c>
      <c r="M1805" t="s">
        <v>16</v>
      </c>
    </row>
    <row r="1806" spans="1:13" x14ac:dyDescent="0.3">
      <c r="A1806" s="1">
        <v>43445</v>
      </c>
      <c r="B1806">
        <v>4</v>
      </c>
      <c r="C1806">
        <v>4.01</v>
      </c>
      <c r="D1806">
        <v>8.35</v>
      </c>
      <c r="E1806">
        <v>28</v>
      </c>
      <c r="F1806">
        <v>12</v>
      </c>
      <c r="G1806">
        <v>3</v>
      </c>
      <c r="H1806">
        <v>2</v>
      </c>
      <c r="I1806">
        <v>5.5</v>
      </c>
      <c r="J1806">
        <v>2018</v>
      </c>
      <c r="K1806">
        <v>12</v>
      </c>
      <c r="L1806">
        <v>276</v>
      </c>
      <c r="M1806" t="s">
        <v>17</v>
      </c>
    </row>
    <row r="1807" spans="1:13" x14ac:dyDescent="0.3">
      <c r="A1807" s="1">
        <v>43446</v>
      </c>
      <c r="B1807">
        <v>4.33</v>
      </c>
      <c r="C1807">
        <v>2</v>
      </c>
      <c r="D1807">
        <v>3</v>
      </c>
      <c r="E1807">
        <v>37.6</v>
      </c>
      <c r="F1807">
        <v>11</v>
      </c>
      <c r="G1807">
        <v>0</v>
      </c>
      <c r="H1807">
        <v>21</v>
      </c>
      <c r="I1807">
        <v>0</v>
      </c>
      <c r="J1807">
        <v>2018</v>
      </c>
      <c r="K1807">
        <v>12</v>
      </c>
      <c r="L1807">
        <v>276</v>
      </c>
      <c r="M1807" t="s">
        <v>18</v>
      </c>
    </row>
    <row r="1808" spans="1:13" x14ac:dyDescent="0.3">
      <c r="A1808" s="1">
        <v>43447</v>
      </c>
      <c r="B1808">
        <v>3.68</v>
      </c>
      <c r="C1808">
        <v>2.2429999999999999</v>
      </c>
      <c r="D1808">
        <v>3</v>
      </c>
      <c r="E1808">
        <v>47.5</v>
      </c>
      <c r="F1808">
        <v>6</v>
      </c>
      <c r="G1808">
        <v>0</v>
      </c>
      <c r="H1808">
        <v>6</v>
      </c>
      <c r="I1808">
        <v>0</v>
      </c>
      <c r="J1808">
        <v>2018</v>
      </c>
      <c r="K1808">
        <v>12</v>
      </c>
      <c r="L1808">
        <v>276</v>
      </c>
      <c r="M1808" t="s">
        <v>12</v>
      </c>
    </row>
    <row r="1809" spans="1:13" x14ac:dyDescent="0.3">
      <c r="A1809" s="1">
        <v>43448</v>
      </c>
      <c r="B1809">
        <v>2</v>
      </c>
      <c r="C1809">
        <v>2</v>
      </c>
      <c r="D1809">
        <v>0.2</v>
      </c>
      <c r="E1809">
        <v>23.4</v>
      </c>
      <c r="F1809">
        <v>2</v>
      </c>
      <c r="G1809">
        <v>1</v>
      </c>
      <c r="H1809">
        <v>29</v>
      </c>
      <c r="I1809">
        <v>1</v>
      </c>
      <c r="J1809">
        <v>2018</v>
      </c>
      <c r="K1809">
        <v>12</v>
      </c>
      <c r="L1809">
        <v>276</v>
      </c>
      <c r="M1809" t="s">
        <v>13</v>
      </c>
    </row>
    <row r="1810" spans="1:13" x14ac:dyDescent="0.3">
      <c r="A1810" s="1">
        <v>43449</v>
      </c>
      <c r="B1810">
        <v>4</v>
      </c>
      <c r="C1810">
        <v>2.34</v>
      </c>
      <c r="D1810">
        <v>3.45</v>
      </c>
      <c r="E1810">
        <v>62.4</v>
      </c>
      <c r="F1810">
        <v>5</v>
      </c>
      <c r="G1810">
        <v>0</v>
      </c>
      <c r="H1810">
        <v>26</v>
      </c>
      <c r="I1810">
        <v>2.2999999999999998</v>
      </c>
      <c r="J1810">
        <v>2018</v>
      </c>
      <c r="K1810">
        <v>12</v>
      </c>
      <c r="L1810">
        <v>276</v>
      </c>
      <c r="M1810" t="s">
        <v>14</v>
      </c>
    </row>
    <row r="1811" spans="1:13" x14ac:dyDescent="0.3">
      <c r="A1811" s="1">
        <v>43450</v>
      </c>
      <c r="B1811">
        <v>1.33</v>
      </c>
      <c r="C1811">
        <v>4.32</v>
      </c>
      <c r="D1811">
        <v>0.2</v>
      </c>
      <c r="E1811">
        <v>27</v>
      </c>
      <c r="F1811">
        <v>3</v>
      </c>
      <c r="G1811">
        <v>0</v>
      </c>
      <c r="H1811">
        <v>7</v>
      </c>
      <c r="I1811">
        <v>1</v>
      </c>
      <c r="J1811">
        <v>2018</v>
      </c>
      <c r="K1811">
        <v>12</v>
      </c>
      <c r="L1811">
        <v>276</v>
      </c>
      <c r="M1811" t="s">
        <v>15</v>
      </c>
    </row>
    <row r="1812" spans="1:13" x14ac:dyDescent="0.3">
      <c r="A1812" s="1">
        <v>43451</v>
      </c>
      <c r="B1812">
        <v>6.34</v>
      </c>
      <c r="C1812">
        <v>2.0099999999999998</v>
      </c>
      <c r="D1812">
        <v>5</v>
      </c>
      <c r="E1812">
        <v>53</v>
      </c>
      <c r="F1812">
        <v>6</v>
      </c>
      <c r="G1812">
        <v>1</v>
      </c>
      <c r="H1812">
        <v>22</v>
      </c>
      <c r="I1812">
        <v>2</v>
      </c>
      <c r="J1812">
        <v>2018</v>
      </c>
      <c r="K1812">
        <v>12</v>
      </c>
      <c r="L1812">
        <v>276</v>
      </c>
      <c r="M1812" t="s">
        <v>16</v>
      </c>
    </row>
    <row r="1813" spans="1:13" x14ac:dyDescent="0.3">
      <c r="A1813" s="1">
        <v>43452</v>
      </c>
      <c r="B1813">
        <v>0.33</v>
      </c>
      <c r="C1813">
        <v>2.4729999999999999</v>
      </c>
      <c r="D1813">
        <v>1</v>
      </c>
      <c r="E1813">
        <v>34.5</v>
      </c>
      <c r="F1813">
        <v>12</v>
      </c>
      <c r="G1813">
        <v>3</v>
      </c>
      <c r="H1813">
        <v>9</v>
      </c>
      <c r="I1813">
        <v>2</v>
      </c>
      <c r="J1813">
        <v>2018</v>
      </c>
      <c r="K1813">
        <v>12</v>
      </c>
      <c r="L1813">
        <v>276</v>
      </c>
      <c r="M1813" t="s">
        <v>17</v>
      </c>
    </row>
    <row r="1814" spans="1:13" x14ac:dyDescent="0.3">
      <c r="A1814" s="1">
        <v>43453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2018</v>
      </c>
      <c r="K1814">
        <v>12</v>
      </c>
      <c r="L1814">
        <v>276</v>
      </c>
      <c r="M1814" t="s">
        <v>18</v>
      </c>
    </row>
    <row r="1815" spans="1:13" x14ac:dyDescent="0.3">
      <c r="A1815" s="1">
        <v>43454</v>
      </c>
      <c r="B1815">
        <v>8.34</v>
      </c>
      <c r="C1815">
        <v>1.66</v>
      </c>
      <c r="D1815">
        <v>1</v>
      </c>
      <c r="E1815">
        <v>27</v>
      </c>
      <c r="F1815">
        <v>12</v>
      </c>
      <c r="G1815">
        <v>3</v>
      </c>
      <c r="H1815">
        <v>1</v>
      </c>
      <c r="I1815">
        <v>0</v>
      </c>
      <c r="J1815">
        <v>2018</v>
      </c>
      <c r="K1815">
        <v>12</v>
      </c>
      <c r="L1815">
        <v>276</v>
      </c>
      <c r="M1815" t="s">
        <v>12</v>
      </c>
    </row>
    <row r="1816" spans="1:13" x14ac:dyDescent="0.3">
      <c r="A1816" s="1">
        <v>43455</v>
      </c>
      <c r="B1816">
        <v>2</v>
      </c>
      <c r="C1816">
        <v>1.35</v>
      </c>
      <c r="D1816">
        <v>0</v>
      </c>
      <c r="E1816">
        <v>35</v>
      </c>
      <c r="F1816">
        <v>12</v>
      </c>
      <c r="G1816">
        <v>1</v>
      </c>
      <c r="H1816">
        <v>13</v>
      </c>
      <c r="I1816">
        <v>1</v>
      </c>
      <c r="J1816">
        <v>2018</v>
      </c>
      <c r="K1816">
        <v>12</v>
      </c>
      <c r="L1816">
        <v>276</v>
      </c>
      <c r="M1816" t="s">
        <v>13</v>
      </c>
    </row>
    <row r="1817" spans="1:13" x14ac:dyDescent="0.3">
      <c r="A1817" s="1">
        <v>43456</v>
      </c>
      <c r="B1817">
        <v>8.34</v>
      </c>
      <c r="C1817">
        <v>3.34</v>
      </c>
      <c r="D1817">
        <v>4.5</v>
      </c>
      <c r="E1817">
        <v>43.4</v>
      </c>
      <c r="F1817">
        <v>3</v>
      </c>
      <c r="G1817">
        <v>1</v>
      </c>
      <c r="H1817">
        <v>0</v>
      </c>
      <c r="I1817">
        <v>0</v>
      </c>
      <c r="J1817">
        <v>2018</v>
      </c>
      <c r="K1817">
        <v>12</v>
      </c>
      <c r="L1817">
        <v>276</v>
      </c>
      <c r="M1817" t="s">
        <v>14</v>
      </c>
    </row>
    <row r="1818" spans="1:13" x14ac:dyDescent="0.3">
      <c r="A1818" s="1">
        <v>43457</v>
      </c>
      <c r="B1818">
        <v>12.33</v>
      </c>
      <c r="C1818">
        <v>6.4059999999999997</v>
      </c>
      <c r="D1818">
        <v>2.2999999999999998</v>
      </c>
      <c r="E1818">
        <v>47.7</v>
      </c>
      <c r="F1818">
        <v>8</v>
      </c>
      <c r="G1818">
        <v>0</v>
      </c>
      <c r="H1818">
        <v>13</v>
      </c>
      <c r="I1818">
        <v>4</v>
      </c>
      <c r="J1818">
        <v>2018</v>
      </c>
      <c r="K1818">
        <v>12</v>
      </c>
      <c r="L1818">
        <v>276</v>
      </c>
      <c r="M1818" t="s">
        <v>15</v>
      </c>
    </row>
    <row r="1819" spans="1:13" x14ac:dyDescent="0.3">
      <c r="A1819" s="1">
        <v>43458</v>
      </c>
      <c r="B1819">
        <v>8.67</v>
      </c>
      <c r="C1819">
        <v>4.3499999999999996</v>
      </c>
      <c r="D1819">
        <v>1</v>
      </c>
      <c r="E1819">
        <v>32</v>
      </c>
      <c r="F1819">
        <v>20</v>
      </c>
      <c r="G1819">
        <v>0</v>
      </c>
      <c r="H1819">
        <v>8</v>
      </c>
      <c r="I1819">
        <v>1</v>
      </c>
      <c r="J1819">
        <v>2018</v>
      </c>
      <c r="K1819">
        <v>12</v>
      </c>
      <c r="L1819">
        <v>276</v>
      </c>
      <c r="M1819" t="s">
        <v>16</v>
      </c>
    </row>
    <row r="1820" spans="1:13" x14ac:dyDescent="0.3">
      <c r="A1820" s="1">
        <v>43459</v>
      </c>
      <c r="B1820">
        <v>8</v>
      </c>
      <c r="C1820">
        <v>6.0759999999999996</v>
      </c>
      <c r="D1820">
        <v>5.0999999999999996</v>
      </c>
      <c r="E1820">
        <v>42.6</v>
      </c>
      <c r="F1820">
        <v>9</v>
      </c>
      <c r="G1820">
        <v>3</v>
      </c>
      <c r="H1820">
        <v>21</v>
      </c>
      <c r="I1820">
        <v>2</v>
      </c>
      <c r="J1820">
        <v>2018</v>
      </c>
      <c r="K1820">
        <v>12</v>
      </c>
      <c r="L1820">
        <v>276</v>
      </c>
      <c r="M1820" t="s">
        <v>17</v>
      </c>
    </row>
    <row r="1821" spans="1:13" x14ac:dyDescent="0.3">
      <c r="A1821" s="1">
        <v>43460</v>
      </c>
      <c r="B1821">
        <v>1</v>
      </c>
      <c r="C1821">
        <v>0.66</v>
      </c>
      <c r="D1821">
        <v>2.15</v>
      </c>
      <c r="E1821">
        <v>50</v>
      </c>
      <c r="F1821">
        <v>8</v>
      </c>
      <c r="G1821">
        <v>1</v>
      </c>
      <c r="H1821">
        <v>13</v>
      </c>
      <c r="I1821">
        <v>2</v>
      </c>
      <c r="J1821">
        <v>2018</v>
      </c>
      <c r="K1821">
        <v>12</v>
      </c>
      <c r="L1821">
        <v>276</v>
      </c>
      <c r="M1821" t="s">
        <v>18</v>
      </c>
    </row>
    <row r="1822" spans="1:13" x14ac:dyDescent="0.3">
      <c r="A1822" s="1">
        <v>43461</v>
      </c>
      <c r="B1822">
        <v>3.68</v>
      </c>
      <c r="C1822">
        <v>3.01</v>
      </c>
      <c r="D1822">
        <v>3.05</v>
      </c>
      <c r="E1822">
        <v>40.6</v>
      </c>
      <c r="F1822">
        <v>8</v>
      </c>
      <c r="G1822">
        <v>0</v>
      </c>
      <c r="H1822">
        <v>7</v>
      </c>
      <c r="I1822">
        <v>0</v>
      </c>
      <c r="J1822">
        <v>2018</v>
      </c>
      <c r="K1822">
        <v>12</v>
      </c>
      <c r="L1822">
        <v>276</v>
      </c>
      <c r="M1822" t="s">
        <v>12</v>
      </c>
    </row>
    <row r="1823" spans="1:13" x14ac:dyDescent="0.3">
      <c r="A1823" s="1">
        <v>43462</v>
      </c>
      <c r="B1823">
        <v>11.67</v>
      </c>
      <c r="C1823">
        <v>5.8449999999999998</v>
      </c>
      <c r="D1823">
        <v>1</v>
      </c>
      <c r="E1823">
        <v>56.4</v>
      </c>
      <c r="F1823">
        <v>11</v>
      </c>
      <c r="G1823">
        <v>6</v>
      </c>
      <c r="H1823">
        <v>9</v>
      </c>
      <c r="I1823">
        <v>0</v>
      </c>
      <c r="J1823">
        <v>2018</v>
      </c>
      <c r="K1823">
        <v>12</v>
      </c>
      <c r="L1823">
        <v>276</v>
      </c>
      <c r="M1823" t="s">
        <v>13</v>
      </c>
    </row>
    <row r="1824" spans="1:13" x14ac:dyDescent="0.3">
      <c r="A1824" s="1">
        <v>43463</v>
      </c>
      <c r="B1824">
        <v>6.68</v>
      </c>
      <c r="C1824">
        <v>5.6109999999999998</v>
      </c>
      <c r="D1824">
        <v>1</v>
      </c>
      <c r="E1824">
        <v>68.349999999999994</v>
      </c>
      <c r="F1824">
        <v>5</v>
      </c>
      <c r="G1824">
        <v>0</v>
      </c>
      <c r="H1824">
        <v>7</v>
      </c>
      <c r="I1824">
        <v>2</v>
      </c>
      <c r="J1824">
        <v>2018</v>
      </c>
      <c r="K1824">
        <v>12</v>
      </c>
      <c r="L1824">
        <v>276</v>
      </c>
      <c r="M1824" t="s">
        <v>14</v>
      </c>
    </row>
    <row r="1825" spans="1:13" x14ac:dyDescent="0.3">
      <c r="A1825" s="1">
        <v>43464</v>
      </c>
      <c r="B1825">
        <v>5.33</v>
      </c>
      <c r="C1825">
        <v>7.593</v>
      </c>
      <c r="D1825">
        <v>5</v>
      </c>
      <c r="E1825">
        <v>59.9</v>
      </c>
      <c r="F1825">
        <v>6</v>
      </c>
      <c r="G1825">
        <v>0</v>
      </c>
      <c r="H1825">
        <v>31</v>
      </c>
      <c r="I1825">
        <v>3.3</v>
      </c>
      <c r="J1825">
        <v>2018</v>
      </c>
      <c r="K1825">
        <v>12</v>
      </c>
      <c r="L1825">
        <v>276</v>
      </c>
      <c r="M1825" t="s">
        <v>15</v>
      </c>
    </row>
    <row r="1826" spans="1:13" x14ac:dyDescent="0.3">
      <c r="A1826" s="1">
        <v>43465</v>
      </c>
      <c r="B1826">
        <v>8</v>
      </c>
      <c r="C1826">
        <v>4.66</v>
      </c>
      <c r="D1826">
        <v>5.2</v>
      </c>
      <c r="E1826">
        <v>44.5</v>
      </c>
      <c r="F1826">
        <v>10</v>
      </c>
      <c r="G1826">
        <v>0</v>
      </c>
      <c r="H1826">
        <v>6</v>
      </c>
      <c r="I1826">
        <v>4</v>
      </c>
      <c r="J1826">
        <v>2018</v>
      </c>
      <c r="K1826">
        <v>12</v>
      </c>
      <c r="L1826">
        <v>276</v>
      </c>
      <c r="M1826" t="s">
        <v>16</v>
      </c>
    </row>
    <row r="1827" spans="1:13" x14ac:dyDescent="0.3">
      <c r="A1827" s="1">
        <v>43466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2019</v>
      </c>
      <c r="K1827">
        <v>1</v>
      </c>
      <c r="L1827">
        <v>276</v>
      </c>
      <c r="M1827" t="s">
        <v>17</v>
      </c>
    </row>
    <row r="1828" spans="1:13" x14ac:dyDescent="0.3">
      <c r="A1828" s="1">
        <v>43467</v>
      </c>
      <c r="B1828">
        <v>5.33</v>
      </c>
      <c r="C1828">
        <v>4.3970000000000002</v>
      </c>
      <c r="D1828">
        <v>4.1500000000000004</v>
      </c>
      <c r="E1828">
        <v>36.799999999999997</v>
      </c>
      <c r="F1828">
        <v>4</v>
      </c>
      <c r="G1828">
        <v>0</v>
      </c>
      <c r="H1828">
        <v>9</v>
      </c>
      <c r="I1828">
        <v>2</v>
      </c>
      <c r="J1828">
        <v>2019</v>
      </c>
      <c r="K1828">
        <v>1</v>
      </c>
      <c r="L1828">
        <v>276</v>
      </c>
      <c r="M1828" t="s">
        <v>18</v>
      </c>
    </row>
    <row r="1829" spans="1:13" x14ac:dyDescent="0.3">
      <c r="A1829" s="1">
        <v>43468</v>
      </c>
      <c r="B1829">
        <v>4.33</v>
      </c>
      <c r="C1829">
        <v>4.8360000000000003</v>
      </c>
      <c r="D1829">
        <v>6.25</v>
      </c>
      <c r="E1829">
        <v>42.4</v>
      </c>
      <c r="F1829">
        <v>6</v>
      </c>
      <c r="G1829">
        <v>0</v>
      </c>
      <c r="H1829">
        <v>9</v>
      </c>
      <c r="I1829">
        <v>0</v>
      </c>
      <c r="J1829">
        <v>2019</v>
      </c>
      <c r="K1829">
        <v>1</v>
      </c>
      <c r="L1829">
        <v>276</v>
      </c>
      <c r="M1829" t="s">
        <v>12</v>
      </c>
    </row>
    <row r="1830" spans="1:13" x14ac:dyDescent="0.3">
      <c r="A1830" s="1">
        <v>43469</v>
      </c>
      <c r="B1830">
        <v>7</v>
      </c>
      <c r="C1830">
        <v>3.67</v>
      </c>
      <c r="D1830">
        <v>2.6</v>
      </c>
      <c r="E1830">
        <v>55.8</v>
      </c>
      <c r="F1830">
        <v>10</v>
      </c>
      <c r="G1830">
        <v>0</v>
      </c>
      <c r="H1830">
        <v>0</v>
      </c>
      <c r="I1830">
        <v>1</v>
      </c>
      <c r="J1830">
        <v>2019</v>
      </c>
      <c r="K1830">
        <v>1</v>
      </c>
      <c r="L1830">
        <v>276</v>
      </c>
      <c r="M1830" t="s">
        <v>13</v>
      </c>
    </row>
    <row r="1831" spans="1:13" x14ac:dyDescent="0.3">
      <c r="A1831" s="1">
        <v>43470</v>
      </c>
      <c r="B1831">
        <v>8.01</v>
      </c>
      <c r="C1831">
        <v>3.69</v>
      </c>
      <c r="D1831">
        <v>3.1</v>
      </c>
      <c r="E1831">
        <v>62.75</v>
      </c>
      <c r="F1831">
        <v>10</v>
      </c>
      <c r="G1831">
        <v>0</v>
      </c>
      <c r="H1831">
        <v>30</v>
      </c>
      <c r="I1831">
        <v>1</v>
      </c>
      <c r="J1831">
        <v>2019</v>
      </c>
      <c r="K1831">
        <v>1</v>
      </c>
      <c r="L1831">
        <v>276</v>
      </c>
      <c r="M1831" t="s">
        <v>14</v>
      </c>
    </row>
    <row r="1832" spans="1:13" x14ac:dyDescent="0.3">
      <c r="A1832" s="1">
        <v>43471</v>
      </c>
      <c r="B1832">
        <v>8.33</v>
      </c>
      <c r="C1832">
        <v>10.01</v>
      </c>
      <c r="D1832">
        <v>2.25</v>
      </c>
      <c r="E1832">
        <v>47.4</v>
      </c>
      <c r="F1832">
        <v>11</v>
      </c>
      <c r="G1832">
        <v>2</v>
      </c>
      <c r="H1832">
        <v>0</v>
      </c>
      <c r="I1832">
        <v>3</v>
      </c>
      <c r="J1832">
        <v>2019</v>
      </c>
      <c r="K1832">
        <v>1</v>
      </c>
      <c r="L1832">
        <v>276</v>
      </c>
      <c r="M1832" t="s">
        <v>15</v>
      </c>
    </row>
    <row r="1833" spans="1:13" x14ac:dyDescent="0.3">
      <c r="A1833" s="1">
        <v>43472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2019</v>
      </c>
      <c r="K1833">
        <v>1</v>
      </c>
      <c r="L1833">
        <v>276</v>
      </c>
      <c r="M1833" t="s">
        <v>16</v>
      </c>
    </row>
    <row r="1834" spans="1:13" x14ac:dyDescent="0.3">
      <c r="A1834" s="1">
        <v>43473</v>
      </c>
      <c r="B1834">
        <v>4.34</v>
      </c>
      <c r="C1834">
        <v>3.32</v>
      </c>
      <c r="D1834">
        <v>0</v>
      </c>
      <c r="E1834">
        <v>41.8</v>
      </c>
      <c r="F1834">
        <v>6</v>
      </c>
      <c r="G1834">
        <v>0</v>
      </c>
      <c r="H1834">
        <v>10</v>
      </c>
      <c r="I1834">
        <v>2</v>
      </c>
      <c r="J1834">
        <v>2019</v>
      </c>
      <c r="K1834">
        <v>1</v>
      </c>
      <c r="L1834">
        <v>276</v>
      </c>
      <c r="M1834" t="s">
        <v>17</v>
      </c>
    </row>
    <row r="1835" spans="1:13" x14ac:dyDescent="0.3">
      <c r="A1835" s="1">
        <v>43474</v>
      </c>
      <c r="B1835">
        <v>3</v>
      </c>
      <c r="C1835">
        <v>1.33</v>
      </c>
      <c r="D1835">
        <v>2</v>
      </c>
      <c r="E1835">
        <v>64.8</v>
      </c>
      <c r="F1835">
        <v>24</v>
      </c>
      <c r="G1835">
        <v>3</v>
      </c>
      <c r="H1835">
        <v>10</v>
      </c>
      <c r="I1835">
        <v>1</v>
      </c>
      <c r="J1835">
        <v>2019</v>
      </c>
      <c r="K1835">
        <v>1</v>
      </c>
      <c r="L1835">
        <v>276</v>
      </c>
      <c r="M1835" t="s">
        <v>18</v>
      </c>
    </row>
    <row r="1836" spans="1:13" x14ac:dyDescent="0.3">
      <c r="A1836" s="1">
        <v>43475</v>
      </c>
      <c r="B1836">
        <v>8</v>
      </c>
      <c r="C1836">
        <v>3.58</v>
      </c>
      <c r="D1836">
        <v>5.6</v>
      </c>
      <c r="E1836">
        <v>39.1</v>
      </c>
      <c r="F1836">
        <v>12</v>
      </c>
      <c r="G1836">
        <v>2</v>
      </c>
      <c r="H1836">
        <v>13</v>
      </c>
      <c r="I1836">
        <v>1</v>
      </c>
      <c r="J1836">
        <v>2019</v>
      </c>
      <c r="K1836">
        <v>1</v>
      </c>
      <c r="L1836">
        <v>276</v>
      </c>
      <c r="M1836" t="s">
        <v>12</v>
      </c>
    </row>
    <row r="1837" spans="1:13" x14ac:dyDescent="0.3">
      <c r="A1837" s="1">
        <v>43476</v>
      </c>
      <c r="B1837">
        <v>5.33</v>
      </c>
      <c r="C1837">
        <v>7.34</v>
      </c>
      <c r="D1837">
        <v>3</v>
      </c>
      <c r="E1837">
        <v>61.6</v>
      </c>
      <c r="F1837">
        <v>12</v>
      </c>
      <c r="G1837">
        <v>0</v>
      </c>
      <c r="H1837">
        <v>6</v>
      </c>
      <c r="I1837">
        <v>0</v>
      </c>
      <c r="J1837">
        <v>2019</v>
      </c>
      <c r="K1837">
        <v>1</v>
      </c>
      <c r="L1837">
        <v>276</v>
      </c>
      <c r="M1837" t="s">
        <v>13</v>
      </c>
    </row>
    <row r="1838" spans="1:13" x14ac:dyDescent="0.3">
      <c r="A1838" s="1">
        <v>43477</v>
      </c>
      <c r="B1838">
        <v>6.66</v>
      </c>
      <c r="C1838">
        <v>7.02</v>
      </c>
      <c r="D1838">
        <v>5</v>
      </c>
      <c r="E1838">
        <v>74.5</v>
      </c>
      <c r="F1838">
        <v>21.2</v>
      </c>
      <c r="G1838">
        <v>0</v>
      </c>
      <c r="H1838">
        <v>10</v>
      </c>
      <c r="I1838">
        <v>0</v>
      </c>
      <c r="J1838">
        <v>2019</v>
      </c>
      <c r="K1838">
        <v>1</v>
      </c>
      <c r="L1838">
        <v>276</v>
      </c>
      <c r="M1838" t="s">
        <v>14</v>
      </c>
    </row>
    <row r="1839" spans="1:13" x14ac:dyDescent="0.3">
      <c r="A1839" s="1">
        <v>43478</v>
      </c>
      <c r="B1839">
        <v>8.33</v>
      </c>
      <c r="C1839">
        <v>5.8140000000000001</v>
      </c>
      <c r="D1839">
        <v>4.5999999999999996</v>
      </c>
      <c r="E1839">
        <v>73</v>
      </c>
      <c r="F1839">
        <v>4</v>
      </c>
      <c r="G1839">
        <v>1</v>
      </c>
      <c r="H1839">
        <v>1</v>
      </c>
      <c r="I1839">
        <v>2</v>
      </c>
      <c r="J1839">
        <v>2019</v>
      </c>
      <c r="K1839">
        <v>1</v>
      </c>
      <c r="L1839">
        <v>276</v>
      </c>
      <c r="M1839" t="s">
        <v>15</v>
      </c>
    </row>
    <row r="1840" spans="1:13" x14ac:dyDescent="0.3">
      <c r="A1840" s="1">
        <v>43479</v>
      </c>
      <c r="B1840">
        <v>9</v>
      </c>
      <c r="C1840">
        <v>9.6999999999999993</v>
      </c>
      <c r="D1840">
        <v>3</v>
      </c>
      <c r="E1840">
        <v>51</v>
      </c>
      <c r="F1840">
        <v>10</v>
      </c>
      <c r="G1840">
        <v>0</v>
      </c>
      <c r="H1840">
        <v>18</v>
      </c>
      <c r="I1840">
        <v>0</v>
      </c>
      <c r="J1840">
        <v>2019</v>
      </c>
      <c r="K1840">
        <v>1</v>
      </c>
      <c r="L1840">
        <v>276</v>
      </c>
      <c r="M1840" t="s">
        <v>16</v>
      </c>
    </row>
    <row r="1841" spans="1:13" x14ac:dyDescent="0.3">
      <c r="A1841" s="1">
        <v>43480</v>
      </c>
      <c r="B1841">
        <v>4.33</v>
      </c>
      <c r="C1841">
        <v>4.33</v>
      </c>
      <c r="D1841">
        <v>3.65</v>
      </c>
      <c r="E1841">
        <v>30.4</v>
      </c>
      <c r="F1841">
        <v>9</v>
      </c>
      <c r="G1841">
        <v>0</v>
      </c>
      <c r="H1841">
        <v>19</v>
      </c>
      <c r="I1841">
        <v>1</v>
      </c>
      <c r="J1841">
        <v>2019</v>
      </c>
      <c r="K1841">
        <v>1</v>
      </c>
      <c r="L1841">
        <v>276</v>
      </c>
      <c r="M1841" t="s">
        <v>17</v>
      </c>
    </row>
    <row r="1842" spans="1:13" x14ac:dyDescent="0.3">
      <c r="A1842" s="1">
        <v>43481</v>
      </c>
      <c r="B1842">
        <v>7.5</v>
      </c>
      <c r="C1842">
        <v>5.0659999999999998</v>
      </c>
      <c r="D1842">
        <v>6</v>
      </c>
      <c r="E1842">
        <v>48.8</v>
      </c>
      <c r="F1842">
        <v>12</v>
      </c>
      <c r="G1842">
        <v>0</v>
      </c>
      <c r="H1842">
        <v>17</v>
      </c>
      <c r="I1842">
        <v>5</v>
      </c>
      <c r="J1842">
        <v>2019</v>
      </c>
      <c r="K1842">
        <v>1</v>
      </c>
      <c r="L1842">
        <v>276</v>
      </c>
      <c r="M1842" t="s">
        <v>18</v>
      </c>
    </row>
    <row r="1843" spans="1:13" x14ac:dyDescent="0.3">
      <c r="A1843" s="1">
        <v>43482</v>
      </c>
      <c r="B1843">
        <v>5.34</v>
      </c>
      <c r="C1843">
        <v>3.68</v>
      </c>
      <c r="D1843">
        <v>3.7</v>
      </c>
      <c r="E1843">
        <v>55.6</v>
      </c>
      <c r="F1843">
        <v>10</v>
      </c>
      <c r="G1843">
        <v>3</v>
      </c>
      <c r="H1843">
        <v>8</v>
      </c>
      <c r="I1843">
        <v>1</v>
      </c>
      <c r="J1843">
        <v>2019</v>
      </c>
      <c r="K1843">
        <v>1</v>
      </c>
      <c r="L1843">
        <v>276</v>
      </c>
      <c r="M1843" t="s">
        <v>12</v>
      </c>
    </row>
    <row r="1844" spans="1:13" x14ac:dyDescent="0.3">
      <c r="A1844" s="1">
        <v>43483</v>
      </c>
      <c r="B1844">
        <v>6.33</v>
      </c>
      <c r="C1844">
        <v>6.4390000000000001</v>
      </c>
      <c r="D1844">
        <v>4</v>
      </c>
      <c r="E1844">
        <v>27.8</v>
      </c>
      <c r="F1844">
        <v>13</v>
      </c>
      <c r="G1844">
        <v>0</v>
      </c>
      <c r="H1844">
        <v>24</v>
      </c>
      <c r="I1844">
        <v>2</v>
      </c>
      <c r="J1844">
        <v>2019</v>
      </c>
      <c r="K1844">
        <v>1</v>
      </c>
      <c r="L1844">
        <v>276</v>
      </c>
      <c r="M1844" t="s">
        <v>13</v>
      </c>
    </row>
    <row r="1845" spans="1:13" x14ac:dyDescent="0.3">
      <c r="A1845" s="1">
        <v>43484</v>
      </c>
      <c r="B1845">
        <v>7.02</v>
      </c>
      <c r="C1845">
        <v>8.391</v>
      </c>
      <c r="D1845">
        <v>5.5</v>
      </c>
      <c r="E1845">
        <v>77.400000000000006</v>
      </c>
      <c r="F1845">
        <v>9</v>
      </c>
      <c r="G1845">
        <v>0</v>
      </c>
      <c r="H1845">
        <v>1</v>
      </c>
      <c r="I1845">
        <v>3</v>
      </c>
      <c r="J1845">
        <v>2019</v>
      </c>
      <c r="K1845">
        <v>1</v>
      </c>
      <c r="L1845">
        <v>276</v>
      </c>
      <c r="M1845" t="s">
        <v>14</v>
      </c>
    </row>
    <row r="1846" spans="1:13" x14ac:dyDescent="0.3">
      <c r="A1846" s="1">
        <v>43485</v>
      </c>
      <c r="B1846">
        <v>11.67</v>
      </c>
      <c r="C1846">
        <v>14.462999999999999</v>
      </c>
      <c r="D1846">
        <v>2.1</v>
      </c>
      <c r="E1846">
        <v>93.05</v>
      </c>
      <c r="F1846">
        <v>6</v>
      </c>
      <c r="G1846">
        <v>0</v>
      </c>
      <c r="H1846">
        <v>34</v>
      </c>
      <c r="I1846">
        <v>1</v>
      </c>
      <c r="J1846">
        <v>2019</v>
      </c>
      <c r="K1846">
        <v>1</v>
      </c>
      <c r="L1846">
        <v>276</v>
      </c>
      <c r="M1846" t="s">
        <v>15</v>
      </c>
    </row>
    <row r="1847" spans="1:13" x14ac:dyDescent="0.3">
      <c r="A1847" s="1">
        <v>43486</v>
      </c>
      <c r="B1847">
        <v>4.34</v>
      </c>
      <c r="C1847">
        <v>5.8250000000000002</v>
      </c>
      <c r="D1847">
        <v>0</v>
      </c>
      <c r="E1847">
        <v>67.150000000000006</v>
      </c>
      <c r="F1847">
        <v>11</v>
      </c>
      <c r="G1847">
        <v>0</v>
      </c>
      <c r="H1847">
        <v>31</v>
      </c>
      <c r="I1847">
        <v>0</v>
      </c>
      <c r="J1847">
        <v>2019</v>
      </c>
      <c r="K1847">
        <v>1</v>
      </c>
      <c r="L1847">
        <v>276</v>
      </c>
      <c r="M1847" t="s">
        <v>16</v>
      </c>
    </row>
    <row r="1848" spans="1:13" x14ac:dyDescent="0.3">
      <c r="A1848" s="1">
        <v>43487</v>
      </c>
      <c r="B1848">
        <v>6.83</v>
      </c>
      <c r="C1848">
        <v>7.0759999999999996</v>
      </c>
      <c r="D1848">
        <v>1</v>
      </c>
      <c r="E1848">
        <v>74.900000000000006</v>
      </c>
      <c r="F1848">
        <v>13</v>
      </c>
      <c r="G1848">
        <v>1</v>
      </c>
      <c r="H1848">
        <v>7</v>
      </c>
      <c r="I1848">
        <v>0</v>
      </c>
      <c r="J1848">
        <v>2019</v>
      </c>
      <c r="K1848">
        <v>1</v>
      </c>
      <c r="L1848">
        <v>276</v>
      </c>
      <c r="M1848" t="s">
        <v>17</v>
      </c>
    </row>
    <row r="1849" spans="1:13" x14ac:dyDescent="0.3">
      <c r="A1849" s="1">
        <v>43488</v>
      </c>
      <c r="B1849">
        <v>3.33</v>
      </c>
      <c r="C1849">
        <v>8.4629999999999992</v>
      </c>
      <c r="D1849">
        <v>7.1</v>
      </c>
      <c r="E1849">
        <v>58.4</v>
      </c>
      <c r="F1849">
        <v>4</v>
      </c>
      <c r="G1849">
        <v>0</v>
      </c>
      <c r="H1849">
        <v>23</v>
      </c>
      <c r="I1849">
        <v>2</v>
      </c>
      <c r="J1849">
        <v>2019</v>
      </c>
      <c r="K1849">
        <v>1</v>
      </c>
      <c r="L1849">
        <v>276</v>
      </c>
      <c r="M1849" t="s">
        <v>18</v>
      </c>
    </row>
    <row r="1850" spans="1:13" x14ac:dyDescent="0.3">
      <c r="A1850" s="1">
        <v>43489</v>
      </c>
      <c r="B1850">
        <v>4</v>
      </c>
      <c r="C1850">
        <v>4.4950000000000001</v>
      </c>
      <c r="D1850">
        <v>6</v>
      </c>
      <c r="E1850">
        <v>47.3</v>
      </c>
      <c r="F1850">
        <v>7</v>
      </c>
      <c r="G1850">
        <v>4</v>
      </c>
      <c r="H1850">
        <v>2</v>
      </c>
      <c r="I1850">
        <v>3</v>
      </c>
      <c r="J1850">
        <v>2019</v>
      </c>
      <c r="K1850">
        <v>1</v>
      </c>
      <c r="L1850">
        <v>276</v>
      </c>
      <c r="M1850" t="s">
        <v>12</v>
      </c>
    </row>
    <row r="1851" spans="1:13" x14ac:dyDescent="0.3">
      <c r="A1851" s="1">
        <v>43490</v>
      </c>
      <c r="B1851">
        <v>2.33</v>
      </c>
      <c r="C1851">
        <v>7.18</v>
      </c>
      <c r="D1851">
        <v>4</v>
      </c>
      <c r="E1851">
        <v>32.65</v>
      </c>
      <c r="F1851">
        <v>11</v>
      </c>
      <c r="G1851">
        <v>2</v>
      </c>
      <c r="H1851">
        <v>11</v>
      </c>
      <c r="I1851">
        <v>1</v>
      </c>
      <c r="J1851">
        <v>2019</v>
      </c>
      <c r="K1851">
        <v>1</v>
      </c>
      <c r="L1851">
        <v>276</v>
      </c>
      <c r="M1851" t="s">
        <v>13</v>
      </c>
    </row>
    <row r="1852" spans="1:13" x14ac:dyDescent="0.3">
      <c r="A1852" s="1">
        <v>43491</v>
      </c>
      <c r="B1852">
        <v>7</v>
      </c>
      <c r="C1852">
        <v>8.4589999999999996</v>
      </c>
      <c r="D1852">
        <v>2.4</v>
      </c>
      <c r="E1852">
        <v>97.8</v>
      </c>
      <c r="F1852">
        <v>11</v>
      </c>
      <c r="G1852">
        <v>1</v>
      </c>
      <c r="H1852">
        <v>13</v>
      </c>
      <c r="I1852">
        <v>1</v>
      </c>
      <c r="J1852">
        <v>2019</v>
      </c>
      <c r="K1852">
        <v>1</v>
      </c>
      <c r="L1852">
        <v>276</v>
      </c>
      <c r="M1852" t="s">
        <v>14</v>
      </c>
    </row>
    <row r="1853" spans="1:13" x14ac:dyDescent="0.3">
      <c r="A1853" s="1">
        <v>43492</v>
      </c>
      <c r="B1853">
        <v>10.52</v>
      </c>
      <c r="C1853">
        <v>11.744999999999999</v>
      </c>
      <c r="D1853">
        <v>2</v>
      </c>
      <c r="E1853">
        <v>100.1</v>
      </c>
      <c r="F1853">
        <v>12</v>
      </c>
      <c r="G1853">
        <v>1</v>
      </c>
      <c r="H1853">
        <v>6</v>
      </c>
      <c r="I1853">
        <v>2</v>
      </c>
      <c r="J1853">
        <v>2019</v>
      </c>
      <c r="K1853">
        <v>1</v>
      </c>
      <c r="L1853">
        <v>276</v>
      </c>
      <c r="M1853" t="s">
        <v>15</v>
      </c>
    </row>
    <row r="1854" spans="1:13" x14ac:dyDescent="0.3">
      <c r="A1854" s="1">
        <v>43493</v>
      </c>
      <c r="B1854">
        <v>8.5</v>
      </c>
      <c r="C1854">
        <v>7.109</v>
      </c>
      <c r="D1854">
        <v>3</v>
      </c>
      <c r="E1854">
        <v>45</v>
      </c>
      <c r="F1854">
        <v>11</v>
      </c>
      <c r="G1854">
        <v>0</v>
      </c>
      <c r="H1854">
        <v>28</v>
      </c>
      <c r="I1854">
        <v>3</v>
      </c>
      <c r="J1854">
        <v>2019</v>
      </c>
      <c r="K1854">
        <v>1</v>
      </c>
      <c r="L1854">
        <v>276</v>
      </c>
      <c r="M1854" t="s">
        <v>16</v>
      </c>
    </row>
    <row r="1855" spans="1:13" x14ac:dyDescent="0.3">
      <c r="A1855" s="1">
        <v>43494</v>
      </c>
      <c r="B1855">
        <v>5</v>
      </c>
      <c r="C1855">
        <v>5</v>
      </c>
      <c r="D1855">
        <v>3.45</v>
      </c>
      <c r="E1855">
        <v>38.799999999999997</v>
      </c>
      <c r="F1855">
        <v>10</v>
      </c>
      <c r="G1855">
        <v>2</v>
      </c>
      <c r="H1855">
        <v>15</v>
      </c>
      <c r="I1855">
        <v>0</v>
      </c>
      <c r="J1855">
        <v>2019</v>
      </c>
      <c r="K1855">
        <v>1</v>
      </c>
      <c r="L1855">
        <v>276</v>
      </c>
      <c r="M1855" t="s">
        <v>17</v>
      </c>
    </row>
    <row r="1856" spans="1:13" x14ac:dyDescent="0.3">
      <c r="A1856" s="1">
        <v>43495</v>
      </c>
      <c r="B1856">
        <v>6.33</v>
      </c>
      <c r="C1856">
        <v>5.7130000000000001</v>
      </c>
      <c r="D1856">
        <v>2.25</v>
      </c>
      <c r="E1856">
        <v>52.311999999999998</v>
      </c>
      <c r="F1856">
        <v>8</v>
      </c>
      <c r="G1856">
        <v>0</v>
      </c>
      <c r="H1856">
        <v>11</v>
      </c>
      <c r="I1856">
        <v>1.3</v>
      </c>
      <c r="J1856">
        <v>2019</v>
      </c>
      <c r="K1856">
        <v>1</v>
      </c>
      <c r="L1856">
        <v>276</v>
      </c>
      <c r="M1856" t="s">
        <v>18</v>
      </c>
    </row>
    <row r="1857" spans="1:13" x14ac:dyDescent="0.3">
      <c r="A1857" s="1">
        <v>43496</v>
      </c>
      <c r="B1857">
        <v>1.67</v>
      </c>
      <c r="C1857">
        <v>11.505000000000001</v>
      </c>
      <c r="D1857">
        <v>2</v>
      </c>
      <c r="E1857">
        <v>62.2</v>
      </c>
      <c r="F1857">
        <v>8</v>
      </c>
      <c r="G1857">
        <v>1</v>
      </c>
      <c r="H1857">
        <v>20</v>
      </c>
      <c r="I1857">
        <v>2</v>
      </c>
      <c r="J1857">
        <v>2019</v>
      </c>
      <c r="K1857">
        <v>1</v>
      </c>
      <c r="L1857">
        <v>276</v>
      </c>
      <c r="M1857" t="s">
        <v>12</v>
      </c>
    </row>
    <row r="1858" spans="1:13" x14ac:dyDescent="0.3">
      <c r="A1858" s="1">
        <v>43497</v>
      </c>
      <c r="B1858">
        <v>11.34</v>
      </c>
      <c r="C1858">
        <v>1.726</v>
      </c>
      <c r="D1858">
        <v>8</v>
      </c>
      <c r="E1858">
        <v>38.9</v>
      </c>
      <c r="F1858">
        <v>9</v>
      </c>
      <c r="G1858">
        <v>0</v>
      </c>
      <c r="H1858">
        <v>7</v>
      </c>
      <c r="I1858">
        <v>3</v>
      </c>
      <c r="J1858">
        <v>2019</v>
      </c>
      <c r="K1858">
        <v>2</v>
      </c>
      <c r="L1858">
        <v>276</v>
      </c>
      <c r="M1858" t="s">
        <v>13</v>
      </c>
    </row>
    <row r="1859" spans="1:13" x14ac:dyDescent="0.3">
      <c r="A1859" s="1">
        <v>43498</v>
      </c>
      <c r="B1859">
        <v>13.34</v>
      </c>
      <c r="C1859">
        <v>12.706</v>
      </c>
      <c r="D1859">
        <v>6.2</v>
      </c>
      <c r="E1859">
        <v>64.262</v>
      </c>
      <c r="F1859">
        <v>8</v>
      </c>
      <c r="G1859">
        <v>1</v>
      </c>
      <c r="H1859">
        <v>45</v>
      </c>
      <c r="I1859">
        <v>0</v>
      </c>
      <c r="J1859">
        <v>2019</v>
      </c>
      <c r="K1859">
        <v>2</v>
      </c>
      <c r="L1859">
        <v>276</v>
      </c>
      <c r="M1859" t="s">
        <v>14</v>
      </c>
    </row>
    <row r="1860" spans="1:13" x14ac:dyDescent="0.3">
      <c r="A1860" s="1">
        <v>43499</v>
      </c>
      <c r="B1860">
        <v>6</v>
      </c>
      <c r="C1860">
        <v>9.8119999999999994</v>
      </c>
      <c r="D1860">
        <v>5.75</v>
      </c>
      <c r="E1860">
        <v>47.088000000000001</v>
      </c>
      <c r="F1860">
        <v>10</v>
      </c>
      <c r="G1860">
        <v>1</v>
      </c>
      <c r="H1860">
        <v>5</v>
      </c>
      <c r="I1860">
        <v>4.4000000000000004</v>
      </c>
      <c r="J1860">
        <v>2019</v>
      </c>
      <c r="K1860">
        <v>2</v>
      </c>
      <c r="L1860">
        <v>276</v>
      </c>
      <c r="M1860" t="s">
        <v>15</v>
      </c>
    </row>
    <row r="1861" spans="1:13" x14ac:dyDescent="0.3">
      <c r="A1861" s="1">
        <v>43500</v>
      </c>
      <c r="B1861">
        <v>6.33</v>
      </c>
      <c r="C1861">
        <v>6.68</v>
      </c>
      <c r="D1861">
        <v>3</v>
      </c>
      <c r="E1861">
        <v>47</v>
      </c>
      <c r="F1861">
        <v>5</v>
      </c>
      <c r="G1861">
        <v>1</v>
      </c>
      <c r="H1861">
        <v>12</v>
      </c>
      <c r="I1861">
        <v>2</v>
      </c>
      <c r="J1861">
        <v>2019</v>
      </c>
      <c r="K1861">
        <v>2</v>
      </c>
      <c r="L1861">
        <v>276</v>
      </c>
      <c r="M1861" t="s">
        <v>16</v>
      </c>
    </row>
    <row r="1862" spans="1:13" x14ac:dyDescent="0.3">
      <c r="A1862" s="1">
        <v>43501</v>
      </c>
      <c r="B1862">
        <v>5.33</v>
      </c>
      <c r="C1862">
        <v>10.385999999999999</v>
      </c>
      <c r="D1862">
        <v>3.65</v>
      </c>
      <c r="E1862">
        <v>33.799999999999997</v>
      </c>
      <c r="F1862">
        <v>2</v>
      </c>
      <c r="G1862">
        <v>0</v>
      </c>
      <c r="H1862">
        <v>1</v>
      </c>
      <c r="I1862">
        <v>4</v>
      </c>
      <c r="J1862">
        <v>2019</v>
      </c>
      <c r="K1862">
        <v>2</v>
      </c>
      <c r="L1862">
        <v>276</v>
      </c>
      <c r="M1862" t="s">
        <v>17</v>
      </c>
    </row>
    <row r="1863" spans="1:13" x14ac:dyDescent="0.3">
      <c r="A1863" s="1">
        <v>43502</v>
      </c>
      <c r="B1863">
        <v>6.34</v>
      </c>
      <c r="C1863">
        <v>4.1779999999999999</v>
      </c>
      <c r="D1863">
        <v>2.2000000000000002</v>
      </c>
      <c r="E1863">
        <v>29</v>
      </c>
      <c r="F1863">
        <v>4</v>
      </c>
      <c r="G1863">
        <v>0</v>
      </c>
      <c r="H1863">
        <v>4</v>
      </c>
      <c r="I1863">
        <v>1.5</v>
      </c>
      <c r="J1863">
        <v>2019</v>
      </c>
      <c r="K1863">
        <v>2</v>
      </c>
      <c r="L1863">
        <v>276</v>
      </c>
      <c r="M1863" t="s">
        <v>18</v>
      </c>
    </row>
    <row r="1864" spans="1:13" x14ac:dyDescent="0.3">
      <c r="A1864" s="1">
        <v>43503</v>
      </c>
      <c r="B1864">
        <v>2.33</v>
      </c>
      <c r="C1864">
        <v>5.1319999999999997</v>
      </c>
      <c r="D1864">
        <v>4.5</v>
      </c>
      <c r="E1864">
        <v>42.6</v>
      </c>
      <c r="F1864">
        <v>11</v>
      </c>
      <c r="G1864">
        <v>0</v>
      </c>
      <c r="H1864">
        <v>22</v>
      </c>
      <c r="I1864">
        <v>1</v>
      </c>
      <c r="J1864">
        <v>2019</v>
      </c>
      <c r="K1864">
        <v>2</v>
      </c>
      <c r="L1864">
        <v>276</v>
      </c>
      <c r="M1864" t="s">
        <v>12</v>
      </c>
    </row>
    <row r="1865" spans="1:13" x14ac:dyDescent="0.3">
      <c r="A1865" s="1">
        <v>43504</v>
      </c>
      <c r="B1865">
        <v>2</v>
      </c>
      <c r="C1865">
        <v>6.3730000000000002</v>
      </c>
      <c r="D1865">
        <v>7</v>
      </c>
      <c r="E1865">
        <v>50.2</v>
      </c>
      <c r="F1865">
        <v>9</v>
      </c>
      <c r="G1865">
        <v>3</v>
      </c>
      <c r="H1865">
        <v>12</v>
      </c>
      <c r="I1865">
        <v>5</v>
      </c>
      <c r="J1865">
        <v>2019</v>
      </c>
      <c r="K1865">
        <v>2</v>
      </c>
      <c r="L1865">
        <v>276</v>
      </c>
      <c r="M1865" t="s">
        <v>13</v>
      </c>
    </row>
    <row r="1866" spans="1:13" x14ac:dyDescent="0.3">
      <c r="A1866" s="1">
        <v>43505</v>
      </c>
      <c r="B1866">
        <v>6.68</v>
      </c>
      <c r="C1866">
        <v>7.383</v>
      </c>
      <c r="D1866">
        <v>5</v>
      </c>
      <c r="E1866">
        <v>51.65</v>
      </c>
      <c r="F1866">
        <v>10</v>
      </c>
      <c r="G1866">
        <v>0</v>
      </c>
      <c r="H1866">
        <v>11</v>
      </c>
      <c r="I1866">
        <v>1</v>
      </c>
      <c r="J1866">
        <v>2019</v>
      </c>
      <c r="K1866">
        <v>2</v>
      </c>
      <c r="L1866">
        <v>276</v>
      </c>
      <c r="M1866" t="s">
        <v>14</v>
      </c>
    </row>
    <row r="1867" spans="1:13" x14ac:dyDescent="0.3">
      <c r="A1867" s="1">
        <v>43506</v>
      </c>
      <c r="B1867">
        <v>3.34</v>
      </c>
      <c r="C1867">
        <v>7.1189999999999998</v>
      </c>
      <c r="D1867">
        <v>3.35</v>
      </c>
      <c r="E1867">
        <v>43.2</v>
      </c>
      <c r="F1867">
        <v>9</v>
      </c>
      <c r="G1867">
        <v>0</v>
      </c>
      <c r="H1867">
        <v>0</v>
      </c>
      <c r="I1867">
        <v>1.2</v>
      </c>
      <c r="J1867">
        <v>2019</v>
      </c>
      <c r="K1867">
        <v>2</v>
      </c>
      <c r="L1867">
        <v>276</v>
      </c>
      <c r="M1867" t="s">
        <v>15</v>
      </c>
    </row>
    <row r="1868" spans="1:13" x14ac:dyDescent="0.3">
      <c r="A1868" s="1">
        <v>43507</v>
      </c>
      <c r="B1868">
        <v>8</v>
      </c>
      <c r="C1868">
        <v>7.4690000000000003</v>
      </c>
      <c r="D1868">
        <v>6.15</v>
      </c>
      <c r="E1868">
        <v>30</v>
      </c>
      <c r="F1868">
        <v>10</v>
      </c>
      <c r="G1868">
        <v>0</v>
      </c>
      <c r="H1868">
        <v>5</v>
      </c>
      <c r="I1868">
        <v>3</v>
      </c>
      <c r="J1868">
        <v>2019</v>
      </c>
      <c r="K1868">
        <v>2</v>
      </c>
      <c r="L1868">
        <v>276</v>
      </c>
      <c r="M1868" t="s">
        <v>16</v>
      </c>
    </row>
    <row r="1869" spans="1:13" x14ac:dyDescent="0.3">
      <c r="A1869" s="1">
        <v>43508</v>
      </c>
      <c r="B1869">
        <v>6.66</v>
      </c>
      <c r="C1869">
        <v>3.34</v>
      </c>
      <c r="D1869">
        <v>0</v>
      </c>
      <c r="E1869">
        <v>34.6</v>
      </c>
      <c r="F1869">
        <v>8.1999999999999993</v>
      </c>
      <c r="G1869">
        <v>0</v>
      </c>
      <c r="H1869">
        <v>6</v>
      </c>
      <c r="I1869">
        <v>0.5</v>
      </c>
      <c r="J1869">
        <v>2019</v>
      </c>
      <c r="K1869">
        <v>2</v>
      </c>
      <c r="L1869">
        <v>276</v>
      </c>
      <c r="M1869" t="s">
        <v>17</v>
      </c>
    </row>
    <row r="1870" spans="1:13" x14ac:dyDescent="0.3">
      <c r="A1870" s="1">
        <v>43509</v>
      </c>
      <c r="B1870">
        <v>4</v>
      </c>
      <c r="C1870">
        <v>4.01</v>
      </c>
      <c r="D1870">
        <v>1</v>
      </c>
      <c r="E1870">
        <v>27.2</v>
      </c>
      <c r="F1870">
        <v>16</v>
      </c>
      <c r="G1870">
        <v>0</v>
      </c>
      <c r="H1870">
        <v>8</v>
      </c>
      <c r="I1870">
        <v>2</v>
      </c>
      <c r="J1870">
        <v>2019</v>
      </c>
      <c r="K1870">
        <v>2</v>
      </c>
      <c r="L1870">
        <v>276</v>
      </c>
      <c r="M1870" t="s">
        <v>18</v>
      </c>
    </row>
    <row r="1871" spans="1:13" x14ac:dyDescent="0.3">
      <c r="A1871" s="1">
        <v>43510</v>
      </c>
      <c r="B1871">
        <v>2.33</v>
      </c>
      <c r="C1871">
        <v>6.5170000000000003</v>
      </c>
      <c r="D1871">
        <v>3.15</v>
      </c>
      <c r="E1871">
        <v>54.5</v>
      </c>
      <c r="F1871">
        <v>9</v>
      </c>
      <c r="G1871">
        <v>0</v>
      </c>
      <c r="H1871">
        <v>7</v>
      </c>
      <c r="I1871">
        <v>3</v>
      </c>
      <c r="J1871">
        <v>2019</v>
      </c>
      <c r="K1871">
        <v>2</v>
      </c>
      <c r="L1871">
        <v>276</v>
      </c>
      <c r="M1871" t="s">
        <v>12</v>
      </c>
    </row>
    <row r="1872" spans="1:13" x14ac:dyDescent="0.3">
      <c r="A1872" s="1">
        <v>43511</v>
      </c>
      <c r="B1872">
        <v>5.34</v>
      </c>
      <c r="C1872">
        <v>5</v>
      </c>
      <c r="D1872">
        <v>12.5</v>
      </c>
      <c r="E1872">
        <v>52.05</v>
      </c>
      <c r="F1872">
        <v>16</v>
      </c>
      <c r="G1872">
        <v>0</v>
      </c>
      <c r="H1872">
        <v>3</v>
      </c>
      <c r="I1872">
        <v>2</v>
      </c>
      <c r="J1872">
        <v>2019</v>
      </c>
      <c r="K1872">
        <v>2</v>
      </c>
      <c r="L1872">
        <v>276</v>
      </c>
      <c r="M1872" t="s">
        <v>13</v>
      </c>
    </row>
    <row r="1873" spans="1:13" x14ac:dyDescent="0.3">
      <c r="A1873" s="1">
        <v>43512</v>
      </c>
      <c r="B1873">
        <v>6.34</v>
      </c>
      <c r="C1873">
        <v>6.02</v>
      </c>
      <c r="D1873">
        <v>5</v>
      </c>
      <c r="E1873">
        <v>36.4</v>
      </c>
      <c r="F1873">
        <v>8</v>
      </c>
      <c r="G1873">
        <v>0</v>
      </c>
      <c r="H1873">
        <v>6</v>
      </c>
      <c r="I1873">
        <v>3</v>
      </c>
      <c r="J1873">
        <v>2019</v>
      </c>
      <c r="K1873">
        <v>2</v>
      </c>
      <c r="L1873">
        <v>276</v>
      </c>
      <c r="M1873" t="s">
        <v>14</v>
      </c>
    </row>
    <row r="1874" spans="1:13" x14ac:dyDescent="0.3">
      <c r="A1874" s="1">
        <v>43513</v>
      </c>
      <c r="B1874">
        <v>2.34</v>
      </c>
      <c r="C1874">
        <v>4.4160000000000004</v>
      </c>
      <c r="D1874">
        <v>4</v>
      </c>
      <c r="E1874">
        <v>15.162000000000001</v>
      </c>
      <c r="F1874">
        <v>11.2</v>
      </c>
      <c r="G1874">
        <v>0</v>
      </c>
      <c r="H1874">
        <v>0</v>
      </c>
      <c r="I1874">
        <v>3.1</v>
      </c>
      <c r="J1874">
        <v>2019</v>
      </c>
      <c r="K1874">
        <v>2</v>
      </c>
      <c r="L1874">
        <v>276</v>
      </c>
      <c r="M1874" t="s">
        <v>15</v>
      </c>
    </row>
    <row r="1875" spans="1:13" x14ac:dyDescent="0.3">
      <c r="A1875" s="1">
        <v>43514</v>
      </c>
      <c r="B1875">
        <v>3.34</v>
      </c>
      <c r="C1875">
        <v>2.0760000000000001</v>
      </c>
      <c r="D1875">
        <v>3.6</v>
      </c>
      <c r="E1875">
        <v>27.4</v>
      </c>
      <c r="F1875">
        <v>7</v>
      </c>
      <c r="G1875">
        <v>0</v>
      </c>
      <c r="H1875">
        <v>10</v>
      </c>
      <c r="I1875">
        <v>0</v>
      </c>
      <c r="J1875">
        <v>2019</v>
      </c>
      <c r="K1875">
        <v>2</v>
      </c>
      <c r="L1875">
        <v>276</v>
      </c>
      <c r="M1875" t="s">
        <v>16</v>
      </c>
    </row>
    <row r="1876" spans="1:13" x14ac:dyDescent="0.3">
      <c r="A1876" s="1">
        <v>43515</v>
      </c>
      <c r="B1876">
        <v>3.33</v>
      </c>
      <c r="C1876">
        <v>4.33</v>
      </c>
      <c r="D1876">
        <v>1.5</v>
      </c>
      <c r="E1876">
        <v>27.4</v>
      </c>
      <c r="F1876">
        <v>15</v>
      </c>
      <c r="G1876">
        <v>2</v>
      </c>
      <c r="H1876">
        <v>6</v>
      </c>
      <c r="I1876">
        <v>3</v>
      </c>
      <c r="J1876">
        <v>2019</v>
      </c>
      <c r="K1876">
        <v>2</v>
      </c>
      <c r="L1876">
        <v>276</v>
      </c>
      <c r="M1876" t="s">
        <v>17</v>
      </c>
    </row>
    <row r="1877" spans="1:13" x14ac:dyDescent="0.3">
      <c r="A1877" s="1">
        <v>43516</v>
      </c>
      <c r="B1877">
        <v>2.34</v>
      </c>
      <c r="C1877">
        <v>4.7789999999999999</v>
      </c>
      <c r="D1877">
        <v>3.3</v>
      </c>
      <c r="E1877">
        <v>30.6</v>
      </c>
      <c r="F1877">
        <v>14</v>
      </c>
      <c r="G1877">
        <v>0</v>
      </c>
      <c r="H1877">
        <v>7</v>
      </c>
      <c r="I1877">
        <v>3</v>
      </c>
      <c r="J1877">
        <v>2019</v>
      </c>
      <c r="K1877">
        <v>2</v>
      </c>
      <c r="L1877">
        <v>276</v>
      </c>
      <c r="M1877" t="s">
        <v>18</v>
      </c>
    </row>
    <row r="1878" spans="1:13" x14ac:dyDescent="0.3">
      <c r="A1878" s="1">
        <v>43517</v>
      </c>
      <c r="B1878">
        <v>1.66</v>
      </c>
      <c r="C1878">
        <v>5</v>
      </c>
      <c r="D1878">
        <v>2.1</v>
      </c>
      <c r="E1878">
        <v>45.4</v>
      </c>
      <c r="F1878">
        <v>15</v>
      </c>
      <c r="G1878">
        <v>1</v>
      </c>
      <c r="H1878">
        <v>5</v>
      </c>
      <c r="I1878">
        <v>2</v>
      </c>
      <c r="J1878">
        <v>2019</v>
      </c>
      <c r="K1878">
        <v>2</v>
      </c>
      <c r="L1878">
        <v>276</v>
      </c>
      <c r="M1878" t="s">
        <v>12</v>
      </c>
    </row>
    <row r="1879" spans="1:13" x14ac:dyDescent="0.3">
      <c r="A1879" s="1">
        <v>43518</v>
      </c>
      <c r="B1879">
        <v>2.33</v>
      </c>
      <c r="C1879">
        <v>2</v>
      </c>
      <c r="D1879">
        <v>1.2</v>
      </c>
      <c r="E1879">
        <v>16</v>
      </c>
      <c r="F1879">
        <v>5</v>
      </c>
      <c r="G1879">
        <v>0</v>
      </c>
      <c r="H1879">
        <v>1</v>
      </c>
      <c r="I1879">
        <v>2</v>
      </c>
      <c r="J1879">
        <v>2019</v>
      </c>
      <c r="K1879">
        <v>2</v>
      </c>
      <c r="L1879">
        <v>276</v>
      </c>
      <c r="M1879" t="s">
        <v>13</v>
      </c>
    </row>
    <row r="1880" spans="1:13" x14ac:dyDescent="0.3">
      <c r="A1880" s="1">
        <v>43519</v>
      </c>
      <c r="B1880">
        <v>5.01</v>
      </c>
      <c r="C1880">
        <v>2.44</v>
      </c>
      <c r="D1880">
        <v>3.2</v>
      </c>
      <c r="E1880">
        <v>38.200000000000003</v>
      </c>
      <c r="F1880">
        <v>13</v>
      </c>
      <c r="G1880">
        <v>0</v>
      </c>
      <c r="H1880">
        <v>0</v>
      </c>
      <c r="I1880">
        <v>1.3</v>
      </c>
      <c r="J1880">
        <v>2019</v>
      </c>
      <c r="K1880">
        <v>2</v>
      </c>
      <c r="L1880">
        <v>276</v>
      </c>
      <c r="M1880" t="s">
        <v>14</v>
      </c>
    </row>
    <row r="1881" spans="1:13" x14ac:dyDescent="0.3">
      <c r="A1881" s="1">
        <v>43520</v>
      </c>
      <c r="B1881">
        <v>4.34</v>
      </c>
      <c r="C1881">
        <v>4.01</v>
      </c>
      <c r="D1881">
        <v>1.5</v>
      </c>
      <c r="E1881">
        <v>19</v>
      </c>
      <c r="F1881">
        <v>2</v>
      </c>
      <c r="G1881">
        <v>0</v>
      </c>
      <c r="H1881">
        <v>2</v>
      </c>
      <c r="I1881">
        <v>2</v>
      </c>
      <c r="J1881">
        <v>2019</v>
      </c>
      <c r="K1881">
        <v>2</v>
      </c>
      <c r="L1881">
        <v>276</v>
      </c>
      <c r="M1881" t="s">
        <v>15</v>
      </c>
    </row>
    <row r="1882" spans="1:13" x14ac:dyDescent="0.3">
      <c r="A1882" s="1">
        <v>43521</v>
      </c>
      <c r="B1882">
        <v>5.34</v>
      </c>
      <c r="C1882">
        <v>1.423</v>
      </c>
      <c r="D1882">
        <v>3</v>
      </c>
      <c r="E1882">
        <v>25.2</v>
      </c>
      <c r="F1882">
        <v>4</v>
      </c>
      <c r="G1882">
        <v>2</v>
      </c>
      <c r="H1882">
        <v>2</v>
      </c>
      <c r="I1882">
        <v>3</v>
      </c>
      <c r="J1882">
        <v>2019</v>
      </c>
      <c r="K1882">
        <v>2</v>
      </c>
      <c r="L1882">
        <v>276</v>
      </c>
      <c r="M1882" t="s">
        <v>16</v>
      </c>
    </row>
    <row r="1883" spans="1:13" x14ac:dyDescent="0.3">
      <c r="A1883" s="1">
        <v>43522</v>
      </c>
      <c r="B1883">
        <v>2.33</v>
      </c>
      <c r="C1883">
        <v>3.83</v>
      </c>
      <c r="D1883">
        <v>5.15</v>
      </c>
      <c r="E1883">
        <v>27</v>
      </c>
      <c r="F1883">
        <v>8</v>
      </c>
      <c r="G1883">
        <v>0</v>
      </c>
      <c r="H1883">
        <v>3</v>
      </c>
      <c r="I1883">
        <v>3</v>
      </c>
      <c r="J1883">
        <v>2019</v>
      </c>
      <c r="K1883">
        <v>2</v>
      </c>
      <c r="L1883">
        <v>276</v>
      </c>
      <c r="M1883" t="s">
        <v>17</v>
      </c>
    </row>
    <row r="1884" spans="1:13" x14ac:dyDescent="0.3">
      <c r="A1884" s="1">
        <v>43523</v>
      </c>
      <c r="B1884">
        <v>5</v>
      </c>
      <c r="C1884">
        <v>0.67</v>
      </c>
      <c r="D1884">
        <v>1.2</v>
      </c>
      <c r="E1884">
        <v>13.4</v>
      </c>
      <c r="F1884">
        <v>9</v>
      </c>
      <c r="G1884">
        <v>0</v>
      </c>
      <c r="H1884">
        <v>1</v>
      </c>
      <c r="I1884">
        <v>7.5</v>
      </c>
      <c r="J1884">
        <v>2019</v>
      </c>
      <c r="K1884">
        <v>2</v>
      </c>
      <c r="L1884">
        <v>276</v>
      </c>
      <c r="M1884" t="s">
        <v>18</v>
      </c>
    </row>
    <row r="1885" spans="1:13" x14ac:dyDescent="0.3">
      <c r="A1885" s="1">
        <v>43524</v>
      </c>
      <c r="B1885">
        <v>0.67</v>
      </c>
      <c r="C1885">
        <v>3.33</v>
      </c>
      <c r="D1885">
        <v>4</v>
      </c>
      <c r="E1885">
        <v>34</v>
      </c>
      <c r="F1885">
        <v>2</v>
      </c>
      <c r="G1885">
        <v>1</v>
      </c>
      <c r="H1885">
        <v>35</v>
      </c>
      <c r="I1885">
        <v>3</v>
      </c>
      <c r="J1885">
        <v>2019</v>
      </c>
      <c r="K1885">
        <v>2</v>
      </c>
      <c r="L1885">
        <v>276</v>
      </c>
      <c r="M1885" t="s">
        <v>12</v>
      </c>
    </row>
    <row r="1886" spans="1:13" x14ac:dyDescent="0.3">
      <c r="A1886" s="1">
        <v>43525</v>
      </c>
      <c r="B1886">
        <v>1.33</v>
      </c>
      <c r="C1886">
        <v>3.8210000000000002</v>
      </c>
      <c r="D1886">
        <v>2.5</v>
      </c>
      <c r="E1886">
        <v>22.2</v>
      </c>
      <c r="F1886">
        <v>12</v>
      </c>
      <c r="G1886">
        <v>0</v>
      </c>
      <c r="H1886">
        <v>6</v>
      </c>
      <c r="I1886">
        <v>2</v>
      </c>
      <c r="J1886">
        <v>2019</v>
      </c>
      <c r="K1886">
        <v>3</v>
      </c>
      <c r="L1886">
        <v>276</v>
      </c>
      <c r="M1886" t="s">
        <v>13</v>
      </c>
    </row>
    <row r="1887" spans="1:13" x14ac:dyDescent="0.3">
      <c r="A1887" s="1">
        <v>43526</v>
      </c>
      <c r="B1887">
        <v>4.01</v>
      </c>
      <c r="C1887">
        <v>1.33</v>
      </c>
      <c r="D1887">
        <v>4</v>
      </c>
      <c r="E1887">
        <v>46</v>
      </c>
      <c r="F1887">
        <v>9</v>
      </c>
      <c r="G1887">
        <v>3</v>
      </c>
      <c r="H1887">
        <v>0</v>
      </c>
      <c r="I1887">
        <v>5</v>
      </c>
      <c r="J1887">
        <v>2019</v>
      </c>
      <c r="K1887">
        <v>3</v>
      </c>
      <c r="L1887">
        <v>276</v>
      </c>
      <c r="M1887" t="s">
        <v>14</v>
      </c>
    </row>
    <row r="1888" spans="1:13" x14ac:dyDescent="0.3">
      <c r="A1888" s="1">
        <v>43527</v>
      </c>
      <c r="B1888">
        <v>8</v>
      </c>
      <c r="C1888">
        <v>4.01</v>
      </c>
      <c r="D1888">
        <v>1</v>
      </c>
      <c r="E1888">
        <v>20</v>
      </c>
      <c r="F1888">
        <v>5</v>
      </c>
      <c r="G1888">
        <v>0</v>
      </c>
      <c r="H1888">
        <v>10</v>
      </c>
      <c r="I1888">
        <v>0.4</v>
      </c>
      <c r="J1888">
        <v>2019</v>
      </c>
      <c r="K1888">
        <v>3</v>
      </c>
      <c r="L1888">
        <v>276</v>
      </c>
      <c r="M1888" t="s">
        <v>15</v>
      </c>
    </row>
    <row r="1889" spans="1:13" x14ac:dyDescent="0.3">
      <c r="A1889" s="1">
        <v>43528</v>
      </c>
      <c r="B1889">
        <v>5.33</v>
      </c>
      <c r="C1889">
        <v>2.67</v>
      </c>
      <c r="D1889">
        <v>7</v>
      </c>
      <c r="E1889">
        <v>41</v>
      </c>
      <c r="F1889">
        <v>3</v>
      </c>
      <c r="G1889">
        <v>0</v>
      </c>
      <c r="H1889">
        <v>5</v>
      </c>
      <c r="I1889">
        <v>2</v>
      </c>
      <c r="J1889">
        <v>2019</v>
      </c>
      <c r="K1889">
        <v>3</v>
      </c>
      <c r="L1889">
        <v>276</v>
      </c>
      <c r="M1889" t="s">
        <v>16</v>
      </c>
    </row>
    <row r="1890" spans="1:13" x14ac:dyDescent="0.3">
      <c r="A1890" s="1">
        <v>43529</v>
      </c>
      <c r="B1890">
        <v>3.01</v>
      </c>
      <c r="C1890">
        <v>2.33</v>
      </c>
      <c r="D1890">
        <v>0.2</v>
      </c>
      <c r="E1890">
        <v>20</v>
      </c>
      <c r="F1890">
        <v>8</v>
      </c>
      <c r="G1890">
        <v>3</v>
      </c>
      <c r="H1890">
        <v>6</v>
      </c>
      <c r="I1890">
        <v>5.3</v>
      </c>
      <c r="J1890">
        <v>2019</v>
      </c>
      <c r="K1890">
        <v>3</v>
      </c>
      <c r="L1890">
        <v>276</v>
      </c>
      <c r="M1890" t="s">
        <v>17</v>
      </c>
    </row>
    <row r="1891" spans="1:13" x14ac:dyDescent="0.3">
      <c r="A1891" s="1">
        <v>43530</v>
      </c>
      <c r="B1891">
        <v>0.34</v>
      </c>
      <c r="C1891">
        <v>1.3959999999999999</v>
      </c>
      <c r="D1891">
        <v>0.7</v>
      </c>
      <c r="E1891">
        <v>31</v>
      </c>
      <c r="F1891">
        <v>17</v>
      </c>
      <c r="G1891">
        <v>1</v>
      </c>
      <c r="H1891">
        <v>5</v>
      </c>
      <c r="I1891">
        <v>3</v>
      </c>
      <c r="J1891">
        <v>2019</v>
      </c>
      <c r="K1891">
        <v>3</v>
      </c>
      <c r="L1891">
        <v>276</v>
      </c>
      <c r="M1891" t="s">
        <v>18</v>
      </c>
    </row>
    <row r="1892" spans="1:13" x14ac:dyDescent="0.3">
      <c r="A1892" s="1">
        <v>43531</v>
      </c>
      <c r="B1892">
        <v>7.33</v>
      </c>
      <c r="C1892">
        <v>2.0760000000000001</v>
      </c>
      <c r="D1892">
        <v>4.25</v>
      </c>
      <c r="E1892">
        <v>10</v>
      </c>
      <c r="F1892">
        <v>24</v>
      </c>
      <c r="G1892">
        <v>0</v>
      </c>
      <c r="H1892">
        <v>0</v>
      </c>
      <c r="I1892">
        <v>4</v>
      </c>
      <c r="J1892">
        <v>2019</v>
      </c>
      <c r="K1892">
        <v>3</v>
      </c>
      <c r="L1892">
        <v>276</v>
      </c>
      <c r="M1892" t="s">
        <v>12</v>
      </c>
    </row>
    <row r="1893" spans="1:13" x14ac:dyDescent="0.3">
      <c r="A1893" s="1">
        <v>43532</v>
      </c>
      <c r="B1893">
        <v>2.33</v>
      </c>
      <c r="C1893">
        <v>3.34</v>
      </c>
      <c r="D1893">
        <v>0.2</v>
      </c>
      <c r="E1893">
        <v>33.700000000000003</v>
      </c>
      <c r="F1893">
        <v>4</v>
      </c>
      <c r="G1893">
        <v>1</v>
      </c>
      <c r="H1893">
        <v>0</v>
      </c>
      <c r="I1893">
        <v>4.3</v>
      </c>
      <c r="J1893">
        <v>2019</v>
      </c>
      <c r="K1893">
        <v>3</v>
      </c>
      <c r="L1893">
        <v>276</v>
      </c>
      <c r="M1893" t="s">
        <v>13</v>
      </c>
    </row>
    <row r="1894" spans="1:13" x14ac:dyDescent="0.3">
      <c r="A1894" s="1">
        <v>43533</v>
      </c>
      <c r="B1894">
        <v>6.34</v>
      </c>
      <c r="C1894">
        <v>1.67</v>
      </c>
      <c r="D1894">
        <v>4</v>
      </c>
      <c r="E1894">
        <v>45.2</v>
      </c>
      <c r="F1894">
        <v>11</v>
      </c>
      <c r="G1894">
        <v>0</v>
      </c>
      <c r="H1894">
        <v>7</v>
      </c>
      <c r="I1894">
        <v>5</v>
      </c>
      <c r="J1894">
        <v>2019</v>
      </c>
      <c r="K1894">
        <v>3</v>
      </c>
      <c r="L1894">
        <v>276</v>
      </c>
      <c r="M1894" t="s">
        <v>14</v>
      </c>
    </row>
    <row r="1895" spans="1:13" x14ac:dyDescent="0.3">
      <c r="A1895" s="1">
        <v>43534</v>
      </c>
      <c r="B1895">
        <v>5.83</v>
      </c>
      <c r="C1895">
        <v>3.0870000000000002</v>
      </c>
      <c r="D1895">
        <v>5.35</v>
      </c>
      <c r="E1895">
        <v>51</v>
      </c>
      <c r="F1895">
        <v>5</v>
      </c>
      <c r="G1895">
        <v>0</v>
      </c>
      <c r="H1895">
        <v>3</v>
      </c>
      <c r="I1895">
        <v>9</v>
      </c>
      <c r="J1895">
        <v>2019</v>
      </c>
      <c r="K1895">
        <v>3</v>
      </c>
      <c r="L1895">
        <v>276</v>
      </c>
      <c r="M1895" t="s">
        <v>15</v>
      </c>
    </row>
    <row r="1896" spans="1:13" x14ac:dyDescent="0.3">
      <c r="A1896" s="1">
        <v>43535</v>
      </c>
      <c r="B1896">
        <v>14.66</v>
      </c>
      <c r="C1896">
        <v>3.67</v>
      </c>
      <c r="D1896">
        <v>2.5</v>
      </c>
      <c r="E1896">
        <v>26.4</v>
      </c>
      <c r="F1896">
        <v>10</v>
      </c>
      <c r="G1896">
        <v>3</v>
      </c>
      <c r="H1896">
        <v>11</v>
      </c>
      <c r="I1896">
        <v>3</v>
      </c>
      <c r="J1896">
        <v>2019</v>
      </c>
      <c r="K1896">
        <v>3</v>
      </c>
      <c r="L1896">
        <v>276</v>
      </c>
      <c r="M1896" t="s">
        <v>16</v>
      </c>
    </row>
    <row r="1897" spans="1:13" x14ac:dyDescent="0.3">
      <c r="A1897" s="1">
        <v>43536</v>
      </c>
      <c r="B1897">
        <v>4.33</v>
      </c>
      <c r="C1897">
        <v>3.3730000000000002</v>
      </c>
      <c r="D1897">
        <v>1.5</v>
      </c>
      <c r="E1897">
        <v>31.85</v>
      </c>
      <c r="F1897">
        <v>12</v>
      </c>
      <c r="G1897">
        <v>0</v>
      </c>
      <c r="H1897">
        <v>7</v>
      </c>
      <c r="I1897">
        <v>2</v>
      </c>
      <c r="J1897">
        <v>2019</v>
      </c>
      <c r="K1897">
        <v>3</v>
      </c>
      <c r="L1897">
        <v>276</v>
      </c>
      <c r="M1897" t="s">
        <v>17</v>
      </c>
    </row>
    <row r="1898" spans="1:13" x14ac:dyDescent="0.3">
      <c r="A1898" s="1">
        <v>43537</v>
      </c>
      <c r="B1898">
        <v>2.67</v>
      </c>
      <c r="C1898">
        <v>4.34</v>
      </c>
      <c r="D1898">
        <v>6</v>
      </c>
      <c r="E1898">
        <v>22</v>
      </c>
      <c r="F1898">
        <v>10</v>
      </c>
      <c r="G1898">
        <v>0</v>
      </c>
      <c r="H1898">
        <v>8</v>
      </c>
      <c r="I1898">
        <v>4</v>
      </c>
      <c r="J1898">
        <v>2019</v>
      </c>
      <c r="K1898">
        <v>3</v>
      </c>
      <c r="L1898">
        <v>276</v>
      </c>
      <c r="M1898" t="s">
        <v>18</v>
      </c>
    </row>
    <row r="1899" spans="1:13" x14ac:dyDescent="0.3">
      <c r="A1899" s="1">
        <v>43538</v>
      </c>
      <c r="B1899">
        <v>4</v>
      </c>
      <c r="C1899">
        <v>5.67</v>
      </c>
      <c r="D1899">
        <v>0.2</v>
      </c>
      <c r="E1899">
        <v>47.2</v>
      </c>
      <c r="F1899">
        <v>12</v>
      </c>
      <c r="G1899">
        <v>1</v>
      </c>
      <c r="H1899">
        <v>27</v>
      </c>
      <c r="I1899">
        <v>6</v>
      </c>
      <c r="J1899">
        <v>2019</v>
      </c>
      <c r="K1899">
        <v>3</v>
      </c>
      <c r="L1899">
        <v>276</v>
      </c>
      <c r="M1899" t="s">
        <v>12</v>
      </c>
    </row>
    <row r="1900" spans="1:13" x14ac:dyDescent="0.3">
      <c r="A1900" s="1">
        <v>43539</v>
      </c>
      <c r="B1900">
        <v>2.83</v>
      </c>
      <c r="C1900">
        <v>1.34</v>
      </c>
      <c r="D1900">
        <v>3</v>
      </c>
      <c r="E1900">
        <v>40</v>
      </c>
      <c r="F1900">
        <v>7</v>
      </c>
      <c r="G1900">
        <v>1</v>
      </c>
      <c r="H1900">
        <v>20</v>
      </c>
      <c r="I1900">
        <v>5</v>
      </c>
      <c r="J1900">
        <v>2019</v>
      </c>
      <c r="K1900">
        <v>3</v>
      </c>
      <c r="L1900">
        <v>276</v>
      </c>
      <c r="M1900" t="s">
        <v>13</v>
      </c>
    </row>
    <row r="1901" spans="1:13" x14ac:dyDescent="0.3">
      <c r="A1901" s="1">
        <v>43540</v>
      </c>
      <c r="B1901">
        <v>8.34</v>
      </c>
      <c r="C1901">
        <v>0.83699999999999997</v>
      </c>
      <c r="D1901">
        <v>5</v>
      </c>
      <c r="E1901">
        <v>29</v>
      </c>
      <c r="F1901">
        <v>9</v>
      </c>
      <c r="G1901">
        <v>0</v>
      </c>
      <c r="H1901">
        <v>5</v>
      </c>
      <c r="I1901">
        <v>7</v>
      </c>
      <c r="J1901">
        <v>2019</v>
      </c>
      <c r="K1901">
        <v>3</v>
      </c>
      <c r="L1901">
        <v>276</v>
      </c>
      <c r="M1901" t="s">
        <v>14</v>
      </c>
    </row>
    <row r="1902" spans="1:13" x14ac:dyDescent="0.3">
      <c r="A1902" s="1">
        <v>43541</v>
      </c>
      <c r="B1902">
        <v>6.68</v>
      </c>
      <c r="C1902">
        <v>3.7229999999999999</v>
      </c>
      <c r="D1902">
        <v>2</v>
      </c>
      <c r="E1902">
        <v>55</v>
      </c>
      <c r="F1902">
        <v>6</v>
      </c>
      <c r="G1902">
        <v>0</v>
      </c>
      <c r="H1902">
        <v>10</v>
      </c>
      <c r="I1902">
        <v>5</v>
      </c>
      <c r="J1902">
        <v>2019</v>
      </c>
      <c r="K1902">
        <v>3</v>
      </c>
      <c r="L1902">
        <v>276</v>
      </c>
      <c r="M1902" t="s">
        <v>15</v>
      </c>
    </row>
    <row r="1903" spans="1:13" x14ac:dyDescent="0.3">
      <c r="A1903" s="1">
        <v>43542</v>
      </c>
      <c r="B1903">
        <v>2.33</v>
      </c>
      <c r="C1903">
        <v>0.83499999999999996</v>
      </c>
      <c r="D1903">
        <v>2.1</v>
      </c>
      <c r="E1903">
        <v>23</v>
      </c>
      <c r="F1903">
        <v>11</v>
      </c>
      <c r="G1903">
        <v>0</v>
      </c>
      <c r="H1903">
        <v>1</v>
      </c>
      <c r="I1903">
        <v>9</v>
      </c>
      <c r="J1903">
        <v>2019</v>
      </c>
      <c r="K1903">
        <v>3</v>
      </c>
      <c r="L1903">
        <v>276</v>
      </c>
      <c r="M1903" t="s">
        <v>16</v>
      </c>
    </row>
    <row r="1904" spans="1:13" x14ac:dyDescent="0.3">
      <c r="A1904" s="1">
        <v>43543</v>
      </c>
      <c r="B1904">
        <v>9</v>
      </c>
      <c r="C1904">
        <v>3.33</v>
      </c>
      <c r="D1904">
        <v>1.5</v>
      </c>
      <c r="E1904">
        <v>26.2</v>
      </c>
      <c r="F1904">
        <v>10</v>
      </c>
      <c r="G1904">
        <v>1</v>
      </c>
      <c r="H1904">
        <v>2</v>
      </c>
      <c r="I1904">
        <v>8</v>
      </c>
      <c r="J1904">
        <v>2019</v>
      </c>
      <c r="K1904">
        <v>3</v>
      </c>
      <c r="L1904">
        <v>276</v>
      </c>
      <c r="M1904" t="s">
        <v>17</v>
      </c>
    </row>
    <row r="1905" spans="1:13" x14ac:dyDescent="0.3">
      <c r="A1905" s="1">
        <v>43544</v>
      </c>
      <c r="B1905">
        <v>5.67</v>
      </c>
      <c r="C1905">
        <v>2</v>
      </c>
      <c r="D1905">
        <v>2</v>
      </c>
      <c r="E1905">
        <v>28.9</v>
      </c>
      <c r="F1905">
        <v>8.1999999999999993</v>
      </c>
      <c r="G1905">
        <v>0</v>
      </c>
      <c r="H1905">
        <v>19</v>
      </c>
      <c r="I1905">
        <v>5</v>
      </c>
      <c r="J1905">
        <v>2019</v>
      </c>
      <c r="K1905">
        <v>3</v>
      </c>
      <c r="L1905">
        <v>276</v>
      </c>
      <c r="M1905" t="s">
        <v>18</v>
      </c>
    </row>
    <row r="1906" spans="1:13" x14ac:dyDescent="0.3">
      <c r="A1906" s="1">
        <v>43545</v>
      </c>
      <c r="B1906">
        <v>2.33</v>
      </c>
      <c r="C1906">
        <v>1.423</v>
      </c>
      <c r="D1906">
        <v>0</v>
      </c>
      <c r="E1906">
        <v>18.8</v>
      </c>
      <c r="F1906">
        <v>13</v>
      </c>
      <c r="G1906">
        <v>0</v>
      </c>
      <c r="H1906">
        <v>6</v>
      </c>
      <c r="I1906">
        <v>5</v>
      </c>
      <c r="J1906">
        <v>2019</v>
      </c>
      <c r="K1906">
        <v>3</v>
      </c>
      <c r="L1906">
        <v>276</v>
      </c>
      <c r="M1906" t="s">
        <v>12</v>
      </c>
    </row>
    <row r="1907" spans="1:13" x14ac:dyDescent="0.3">
      <c r="A1907" s="1">
        <v>43546</v>
      </c>
      <c r="B1907">
        <v>4.66</v>
      </c>
      <c r="C1907">
        <v>7.0430000000000001</v>
      </c>
      <c r="D1907">
        <v>1.1000000000000001</v>
      </c>
      <c r="E1907">
        <v>41</v>
      </c>
      <c r="F1907">
        <v>13</v>
      </c>
      <c r="G1907">
        <v>0</v>
      </c>
      <c r="H1907">
        <v>29</v>
      </c>
      <c r="I1907">
        <v>6</v>
      </c>
      <c r="J1907">
        <v>2019</v>
      </c>
      <c r="K1907">
        <v>3</v>
      </c>
      <c r="L1907">
        <v>276</v>
      </c>
      <c r="M1907" t="s">
        <v>13</v>
      </c>
    </row>
    <row r="1908" spans="1:13" x14ac:dyDescent="0.3">
      <c r="A1908" s="1">
        <v>43547</v>
      </c>
      <c r="B1908">
        <v>6</v>
      </c>
      <c r="C1908">
        <v>3.36</v>
      </c>
      <c r="D1908">
        <v>4.25</v>
      </c>
      <c r="E1908">
        <v>15.5</v>
      </c>
      <c r="F1908">
        <v>7</v>
      </c>
      <c r="G1908">
        <v>0</v>
      </c>
      <c r="H1908">
        <v>1</v>
      </c>
      <c r="I1908">
        <v>5</v>
      </c>
      <c r="J1908">
        <v>2019</v>
      </c>
      <c r="K1908">
        <v>3</v>
      </c>
      <c r="L1908">
        <v>276</v>
      </c>
      <c r="M1908" t="s">
        <v>14</v>
      </c>
    </row>
    <row r="1909" spans="1:13" x14ac:dyDescent="0.3">
      <c r="A1909" s="1">
        <v>43548</v>
      </c>
      <c r="B1909">
        <v>6</v>
      </c>
      <c r="C1909">
        <v>2.67</v>
      </c>
      <c r="D1909">
        <v>3</v>
      </c>
      <c r="E1909">
        <v>43.2</v>
      </c>
      <c r="F1909">
        <v>6.2</v>
      </c>
      <c r="G1909">
        <v>1</v>
      </c>
      <c r="H1909">
        <v>16</v>
      </c>
      <c r="I1909">
        <v>10</v>
      </c>
      <c r="J1909">
        <v>2019</v>
      </c>
      <c r="K1909">
        <v>3</v>
      </c>
      <c r="L1909">
        <v>276</v>
      </c>
      <c r="M1909" t="s">
        <v>15</v>
      </c>
    </row>
    <row r="1910" spans="1:13" x14ac:dyDescent="0.3">
      <c r="A1910" s="1">
        <v>43549</v>
      </c>
      <c r="B1910">
        <v>4.84</v>
      </c>
      <c r="C1910">
        <v>4.5229999999999997</v>
      </c>
      <c r="D1910">
        <v>6</v>
      </c>
      <c r="E1910">
        <v>27</v>
      </c>
      <c r="F1910">
        <v>11</v>
      </c>
      <c r="G1910">
        <v>1</v>
      </c>
      <c r="H1910">
        <v>6</v>
      </c>
      <c r="I1910">
        <v>6</v>
      </c>
      <c r="J1910">
        <v>2019</v>
      </c>
      <c r="K1910">
        <v>3</v>
      </c>
      <c r="L1910">
        <v>276</v>
      </c>
      <c r="M1910" t="s">
        <v>16</v>
      </c>
    </row>
    <row r="1911" spans="1:13" x14ac:dyDescent="0.3">
      <c r="A1911" s="1">
        <v>43550</v>
      </c>
      <c r="B1911">
        <v>4</v>
      </c>
      <c r="C1911">
        <v>5.51</v>
      </c>
      <c r="D1911">
        <v>3</v>
      </c>
      <c r="E1911">
        <v>36</v>
      </c>
      <c r="F1911">
        <v>11</v>
      </c>
      <c r="G1911">
        <v>0</v>
      </c>
      <c r="H1911">
        <v>19</v>
      </c>
      <c r="I1911">
        <v>9</v>
      </c>
      <c r="J1911">
        <v>2019</v>
      </c>
      <c r="K1911">
        <v>3</v>
      </c>
      <c r="L1911">
        <v>276</v>
      </c>
      <c r="M1911" t="s">
        <v>17</v>
      </c>
    </row>
    <row r="1912" spans="1:13" x14ac:dyDescent="0.3">
      <c r="A1912" s="1">
        <v>43551</v>
      </c>
      <c r="B1912">
        <v>6.34</v>
      </c>
      <c r="C1912">
        <v>7.7690000000000001</v>
      </c>
      <c r="D1912">
        <v>3</v>
      </c>
      <c r="E1912">
        <v>25.6</v>
      </c>
      <c r="F1912">
        <v>12</v>
      </c>
      <c r="G1912">
        <v>1</v>
      </c>
      <c r="H1912">
        <v>0</v>
      </c>
      <c r="I1912">
        <v>9</v>
      </c>
      <c r="J1912">
        <v>2019</v>
      </c>
      <c r="K1912">
        <v>3</v>
      </c>
      <c r="L1912">
        <v>276</v>
      </c>
      <c r="M1912" t="s">
        <v>18</v>
      </c>
    </row>
    <row r="1913" spans="1:13" x14ac:dyDescent="0.3">
      <c r="A1913" s="1">
        <v>43552</v>
      </c>
      <c r="B1913">
        <v>1.33</v>
      </c>
      <c r="C1913">
        <v>6.43</v>
      </c>
      <c r="D1913">
        <v>1.4</v>
      </c>
      <c r="E1913">
        <v>14</v>
      </c>
      <c r="F1913">
        <v>6</v>
      </c>
      <c r="G1913">
        <v>0</v>
      </c>
      <c r="H1913">
        <v>7</v>
      </c>
      <c r="I1913">
        <v>1</v>
      </c>
      <c r="J1913">
        <v>2019</v>
      </c>
      <c r="K1913">
        <v>3</v>
      </c>
      <c r="L1913">
        <v>276</v>
      </c>
      <c r="M1913" t="s">
        <v>12</v>
      </c>
    </row>
    <row r="1914" spans="1:13" x14ac:dyDescent="0.3">
      <c r="A1914" s="1">
        <v>43553</v>
      </c>
      <c r="B1914">
        <v>3</v>
      </c>
      <c r="C1914">
        <v>4.298</v>
      </c>
      <c r="D1914">
        <v>4</v>
      </c>
      <c r="E1914">
        <v>25.3</v>
      </c>
      <c r="F1914">
        <v>10</v>
      </c>
      <c r="G1914">
        <v>0</v>
      </c>
      <c r="H1914">
        <v>16</v>
      </c>
      <c r="I1914">
        <v>9.1999999999999993</v>
      </c>
      <c r="J1914">
        <v>2019</v>
      </c>
      <c r="K1914">
        <v>3</v>
      </c>
      <c r="L1914">
        <v>276</v>
      </c>
      <c r="M1914" t="s">
        <v>13</v>
      </c>
    </row>
    <row r="1915" spans="1:13" x14ac:dyDescent="0.3">
      <c r="A1915" s="1">
        <v>43554</v>
      </c>
      <c r="B1915">
        <v>4.66</v>
      </c>
      <c r="C1915">
        <v>10.68</v>
      </c>
      <c r="D1915">
        <v>1.1000000000000001</v>
      </c>
      <c r="E1915">
        <v>18</v>
      </c>
      <c r="F1915">
        <v>11</v>
      </c>
      <c r="G1915">
        <v>1</v>
      </c>
      <c r="H1915">
        <v>0</v>
      </c>
      <c r="I1915">
        <v>6.1</v>
      </c>
      <c r="J1915">
        <v>2019</v>
      </c>
      <c r="K1915">
        <v>3</v>
      </c>
      <c r="L1915">
        <v>276</v>
      </c>
      <c r="M1915" t="s">
        <v>14</v>
      </c>
    </row>
    <row r="1916" spans="1:13" x14ac:dyDescent="0.3">
      <c r="A1916" s="1">
        <v>43555</v>
      </c>
      <c r="B1916">
        <v>7</v>
      </c>
      <c r="C1916">
        <v>4.5640000000000001</v>
      </c>
      <c r="D1916">
        <v>1.5</v>
      </c>
      <c r="E1916">
        <v>27</v>
      </c>
      <c r="F1916">
        <v>8</v>
      </c>
      <c r="G1916">
        <v>1</v>
      </c>
      <c r="H1916">
        <v>5</v>
      </c>
      <c r="I1916">
        <v>9.1999999999999993</v>
      </c>
      <c r="J1916">
        <v>2019</v>
      </c>
      <c r="K1916">
        <v>3</v>
      </c>
      <c r="L1916">
        <v>276</v>
      </c>
      <c r="M1916" t="s">
        <v>15</v>
      </c>
    </row>
    <row r="1917" spans="1:13" x14ac:dyDescent="0.3">
      <c r="A1917" s="1">
        <v>43556</v>
      </c>
      <c r="B1917">
        <v>3.01</v>
      </c>
      <c r="C1917">
        <v>1.7030000000000001</v>
      </c>
      <c r="D1917">
        <v>3</v>
      </c>
      <c r="E1917">
        <v>34.65</v>
      </c>
      <c r="F1917">
        <v>12</v>
      </c>
      <c r="G1917">
        <v>0</v>
      </c>
      <c r="H1917">
        <v>5</v>
      </c>
      <c r="I1917">
        <v>5</v>
      </c>
      <c r="J1917">
        <v>2019</v>
      </c>
      <c r="K1917">
        <v>4</v>
      </c>
      <c r="L1917">
        <v>276</v>
      </c>
      <c r="M1917" t="s">
        <v>16</v>
      </c>
    </row>
    <row r="1918" spans="1:13" x14ac:dyDescent="0.3">
      <c r="A1918" s="1">
        <v>43557</v>
      </c>
      <c r="B1918">
        <v>7.67</v>
      </c>
      <c r="C1918">
        <v>1.33</v>
      </c>
      <c r="D1918">
        <v>3</v>
      </c>
      <c r="E1918">
        <v>24</v>
      </c>
      <c r="F1918">
        <v>7</v>
      </c>
      <c r="G1918">
        <v>0</v>
      </c>
      <c r="H1918">
        <v>10</v>
      </c>
      <c r="I1918">
        <v>8</v>
      </c>
      <c r="J1918">
        <v>2019</v>
      </c>
      <c r="K1918">
        <v>4</v>
      </c>
      <c r="L1918">
        <v>276</v>
      </c>
      <c r="M1918" t="s">
        <v>17</v>
      </c>
    </row>
    <row r="1919" spans="1:13" x14ac:dyDescent="0.3">
      <c r="A1919" s="1">
        <v>43558</v>
      </c>
      <c r="B1919">
        <v>5.33</v>
      </c>
      <c r="C1919">
        <v>5.0990000000000002</v>
      </c>
      <c r="D1919">
        <v>1.5</v>
      </c>
      <c r="E1919">
        <v>18.3</v>
      </c>
      <c r="F1919">
        <v>12</v>
      </c>
      <c r="G1919">
        <v>0</v>
      </c>
      <c r="H1919">
        <v>4</v>
      </c>
      <c r="I1919">
        <v>9.3000000000000007</v>
      </c>
      <c r="J1919">
        <v>2019</v>
      </c>
      <c r="K1919">
        <v>4</v>
      </c>
      <c r="L1919">
        <v>276</v>
      </c>
      <c r="M1919" t="s">
        <v>18</v>
      </c>
    </row>
    <row r="1920" spans="1:13" x14ac:dyDescent="0.3">
      <c r="A1920" s="1">
        <v>43559</v>
      </c>
      <c r="B1920">
        <v>4.5</v>
      </c>
      <c r="C1920">
        <v>2.226</v>
      </c>
      <c r="D1920">
        <v>8</v>
      </c>
      <c r="E1920">
        <v>39</v>
      </c>
      <c r="F1920">
        <v>8</v>
      </c>
      <c r="G1920">
        <v>1</v>
      </c>
      <c r="H1920">
        <v>13</v>
      </c>
      <c r="I1920">
        <v>15</v>
      </c>
      <c r="J1920">
        <v>2019</v>
      </c>
      <c r="K1920">
        <v>4</v>
      </c>
      <c r="L1920">
        <v>276</v>
      </c>
      <c r="M1920" t="s">
        <v>12</v>
      </c>
    </row>
    <row r="1921" spans="1:13" x14ac:dyDescent="0.3">
      <c r="A1921" s="1">
        <v>43560</v>
      </c>
      <c r="B1921">
        <v>6.34</v>
      </c>
      <c r="C1921">
        <v>4.1980000000000004</v>
      </c>
      <c r="D1921">
        <v>4</v>
      </c>
      <c r="E1921">
        <v>25.2</v>
      </c>
      <c r="F1921">
        <v>7</v>
      </c>
      <c r="G1921">
        <v>0</v>
      </c>
      <c r="H1921">
        <v>3</v>
      </c>
      <c r="I1921">
        <v>4</v>
      </c>
      <c r="J1921">
        <v>2019</v>
      </c>
      <c r="K1921">
        <v>4</v>
      </c>
      <c r="L1921">
        <v>276</v>
      </c>
      <c r="M1921" t="s">
        <v>13</v>
      </c>
    </row>
    <row r="1922" spans="1:13" x14ac:dyDescent="0.3">
      <c r="A1922" s="1">
        <v>43561</v>
      </c>
      <c r="B1922">
        <v>3.34</v>
      </c>
      <c r="C1922">
        <v>6.01</v>
      </c>
      <c r="D1922">
        <v>3</v>
      </c>
      <c r="E1922">
        <v>13.2</v>
      </c>
      <c r="F1922">
        <v>13</v>
      </c>
      <c r="G1922">
        <v>0</v>
      </c>
      <c r="H1922">
        <v>16</v>
      </c>
      <c r="I1922">
        <v>9.3000000000000007</v>
      </c>
      <c r="J1922">
        <v>2019</v>
      </c>
      <c r="K1922">
        <v>4</v>
      </c>
      <c r="L1922">
        <v>276</v>
      </c>
      <c r="M1922" t="s">
        <v>14</v>
      </c>
    </row>
    <row r="1923" spans="1:13" x14ac:dyDescent="0.3">
      <c r="A1923" s="1">
        <v>43562</v>
      </c>
      <c r="B1923">
        <v>6</v>
      </c>
      <c r="C1923">
        <v>5.1189999999999998</v>
      </c>
      <c r="D1923">
        <v>4</v>
      </c>
      <c r="E1923">
        <v>19</v>
      </c>
      <c r="F1923">
        <v>3</v>
      </c>
      <c r="G1923">
        <v>0</v>
      </c>
      <c r="H1923">
        <v>0</v>
      </c>
      <c r="I1923">
        <v>7</v>
      </c>
      <c r="J1923">
        <v>2019</v>
      </c>
      <c r="K1923">
        <v>4</v>
      </c>
      <c r="L1923">
        <v>276</v>
      </c>
      <c r="M1923" t="s">
        <v>15</v>
      </c>
    </row>
    <row r="1924" spans="1:13" x14ac:dyDescent="0.3">
      <c r="A1924" s="1">
        <v>43563</v>
      </c>
      <c r="B1924">
        <v>5</v>
      </c>
      <c r="C1924">
        <v>4.3499999999999996</v>
      </c>
      <c r="D1924">
        <v>3.3</v>
      </c>
      <c r="E1924">
        <v>10</v>
      </c>
      <c r="F1924">
        <v>8.1999999999999993</v>
      </c>
      <c r="G1924">
        <v>0</v>
      </c>
      <c r="H1924">
        <v>4</v>
      </c>
      <c r="I1924">
        <v>3</v>
      </c>
      <c r="J1924">
        <v>2019</v>
      </c>
      <c r="K1924">
        <v>4</v>
      </c>
      <c r="L1924">
        <v>276</v>
      </c>
      <c r="M1924" t="s">
        <v>16</v>
      </c>
    </row>
    <row r="1925" spans="1:13" x14ac:dyDescent="0.3">
      <c r="A1925" s="1">
        <v>43564</v>
      </c>
      <c r="B1925">
        <v>2.83</v>
      </c>
      <c r="C1925">
        <v>2</v>
      </c>
      <c r="D1925">
        <v>1</v>
      </c>
      <c r="E1925">
        <v>12</v>
      </c>
      <c r="F1925">
        <v>10</v>
      </c>
      <c r="G1925">
        <v>0</v>
      </c>
      <c r="H1925">
        <v>3</v>
      </c>
      <c r="I1925">
        <v>5</v>
      </c>
      <c r="J1925">
        <v>2019</v>
      </c>
      <c r="K1925">
        <v>4</v>
      </c>
      <c r="L1925">
        <v>276</v>
      </c>
      <c r="M1925" t="s">
        <v>17</v>
      </c>
    </row>
    <row r="1926" spans="1:13" x14ac:dyDescent="0.3">
      <c r="A1926" s="1">
        <v>43565</v>
      </c>
      <c r="B1926">
        <v>2.34</v>
      </c>
      <c r="C1926">
        <v>2.746</v>
      </c>
      <c r="D1926">
        <v>2</v>
      </c>
      <c r="E1926">
        <v>34</v>
      </c>
      <c r="F1926">
        <v>16.2</v>
      </c>
      <c r="G1926">
        <v>3</v>
      </c>
      <c r="H1926">
        <v>9</v>
      </c>
      <c r="I1926">
        <v>8</v>
      </c>
      <c r="J1926">
        <v>2019</v>
      </c>
      <c r="K1926">
        <v>4</v>
      </c>
      <c r="L1926">
        <v>276</v>
      </c>
      <c r="M1926" t="s">
        <v>18</v>
      </c>
    </row>
    <row r="1927" spans="1:13" x14ac:dyDescent="0.3">
      <c r="A1927" s="1">
        <v>43566</v>
      </c>
      <c r="B1927">
        <v>7.33</v>
      </c>
      <c r="C1927">
        <v>6.1559999999999997</v>
      </c>
      <c r="D1927">
        <v>2</v>
      </c>
      <c r="E1927">
        <v>15.9</v>
      </c>
      <c r="F1927">
        <v>15</v>
      </c>
      <c r="G1927">
        <v>0</v>
      </c>
      <c r="H1927">
        <v>7</v>
      </c>
      <c r="I1927">
        <v>8</v>
      </c>
      <c r="J1927">
        <v>2019</v>
      </c>
      <c r="K1927">
        <v>4</v>
      </c>
      <c r="L1927">
        <v>276</v>
      </c>
      <c r="M1927" t="s">
        <v>12</v>
      </c>
    </row>
    <row r="1928" spans="1:13" x14ac:dyDescent="0.3">
      <c r="A1928" s="1">
        <v>43567</v>
      </c>
      <c r="B1928">
        <v>4.33</v>
      </c>
      <c r="C1928">
        <v>4.3730000000000002</v>
      </c>
      <c r="D1928">
        <v>4.0999999999999996</v>
      </c>
      <c r="E1928">
        <v>16.600000000000001</v>
      </c>
      <c r="F1928">
        <v>16</v>
      </c>
      <c r="G1928">
        <v>0</v>
      </c>
      <c r="H1928">
        <v>6</v>
      </c>
      <c r="I1928">
        <v>7</v>
      </c>
      <c r="J1928">
        <v>2019</v>
      </c>
      <c r="K1928">
        <v>4</v>
      </c>
      <c r="L1928">
        <v>276</v>
      </c>
      <c r="M1928" t="s">
        <v>13</v>
      </c>
    </row>
    <row r="1929" spans="1:13" x14ac:dyDescent="0.3">
      <c r="A1929" s="1">
        <v>43568</v>
      </c>
      <c r="B1929">
        <v>4.5</v>
      </c>
      <c r="C1929">
        <v>4.1340000000000003</v>
      </c>
      <c r="D1929">
        <v>1.1000000000000001</v>
      </c>
      <c r="E1929">
        <v>14</v>
      </c>
      <c r="F1929">
        <v>4</v>
      </c>
      <c r="G1929">
        <v>0</v>
      </c>
      <c r="H1929">
        <v>6</v>
      </c>
      <c r="I1929">
        <v>4</v>
      </c>
      <c r="J1929">
        <v>2019</v>
      </c>
      <c r="K1929">
        <v>4</v>
      </c>
      <c r="L1929">
        <v>276</v>
      </c>
      <c r="M1929" t="s">
        <v>14</v>
      </c>
    </row>
    <row r="1930" spans="1:13" x14ac:dyDescent="0.3">
      <c r="A1930" s="1">
        <v>43569</v>
      </c>
      <c r="B1930">
        <v>4</v>
      </c>
      <c r="C1930">
        <v>4.4059999999999997</v>
      </c>
      <c r="D1930">
        <v>1</v>
      </c>
      <c r="E1930">
        <v>23</v>
      </c>
      <c r="F1930">
        <v>3</v>
      </c>
      <c r="G1930">
        <v>1</v>
      </c>
      <c r="H1930">
        <v>7</v>
      </c>
      <c r="I1930">
        <v>5.5</v>
      </c>
      <c r="J1930">
        <v>2019</v>
      </c>
      <c r="K1930">
        <v>4</v>
      </c>
      <c r="L1930">
        <v>276</v>
      </c>
      <c r="M1930" t="s">
        <v>15</v>
      </c>
    </row>
    <row r="1931" spans="1:13" x14ac:dyDescent="0.3">
      <c r="A1931" s="1">
        <v>43570</v>
      </c>
      <c r="B1931">
        <v>4.66</v>
      </c>
      <c r="C1931">
        <v>6</v>
      </c>
      <c r="D1931">
        <v>5.3</v>
      </c>
      <c r="E1931">
        <v>8.8000000000000007</v>
      </c>
      <c r="F1931">
        <v>17</v>
      </c>
      <c r="G1931">
        <v>2</v>
      </c>
      <c r="H1931">
        <v>3</v>
      </c>
      <c r="I1931">
        <v>5</v>
      </c>
      <c r="J1931">
        <v>2019</v>
      </c>
      <c r="K1931">
        <v>4</v>
      </c>
      <c r="L1931">
        <v>276</v>
      </c>
      <c r="M1931" t="s">
        <v>16</v>
      </c>
    </row>
    <row r="1932" spans="1:13" x14ac:dyDescent="0.3">
      <c r="A1932" s="1">
        <v>43571</v>
      </c>
      <c r="B1932">
        <v>2</v>
      </c>
      <c r="C1932">
        <v>2.67</v>
      </c>
      <c r="D1932">
        <v>2</v>
      </c>
      <c r="E1932">
        <v>27.2</v>
      </c>
      <c r="F1932">
        <v>12</v>
      </c>
      <c r="G1932">
        <v>3</v>
      </c>
      <c r="H1932">
        <v>1</v>
      </c>
      <c r="I1932">
        <v>3</v>
      </c>
      <c r="J1932">
        <v>2019</v>
      </c>
      <c r="K1932">
        <v>4</v>
      </c>
      <c r="L1932">
        <v>276</v>
      </c>
      <c r="M1932" t="s">
        <v>17</v>
      </c>
    </row>
    <row r="1933" spans="1:13" x14ac:dyDescent="0.3">
      <c r="A1933" s="1">
        <v>43572</v>
      </c>
      <c r="B1933">
        <v>7</v>
      </c>
      <c r="C1933">
        <v>4</v>
      </c>
      <c r="D1933">
        <v>1.25</v>
      </c>
      <c r="E1933">
        <v>13.5</v>
      </c>
      <c r="F1933">
        <v>11</v>
      </c>
      <c r="G1933">
        <v>1</v>
      </c>
      <c r="H1933">
        <v>24</v>
      </c>
      <c r="I1933">
        <v>5</v>
      </c>
      <c r="J1933">
        <v>2019</v>
      </c>
      <c r="K1933">
        <v>4</v>
      </c>
      <c r="L1933">
        <v>276</v>
      </c>
      <c r="M1933" t="s">
        <v>18</v>
      </c>
    </row>
    <row r="1934" spans="1:13" x14ac:dyDescent="0.3">
      <c r="A1934" s="1">
        <v>43573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2019</v>
      </c>
      <c r="K1934">
        <v>4</v>
      </c>
      <c r="L1934">
        <v>276</v>
      </c>
      <c r="M1934" t="s">
        <v>12</v>
      </c>
    </row>
    <row r="1935" spans="1:13" x14ac:dyDescent="0.3">
      <c r="A1935" s="1">
        <v>43574</v>
      </c>
      <c r="B1935">
        <v>3.34</v>
      </c>
      <c r="C1935">
        <v>2.7429999999999999</v>
      </c>
      <c r="D1935">
        <v>1.5</v>
      </c>
      <c r="E1935">
        <v>25</v>
      </c>
      <c r="F1935">
        <v>17</v>
      </c>
      <c r="G1935">
        <v>0</v>
      </c>
      <c r="H1935">
        <v>6</v>
      </c>
      <c r="I1935">
        <v>2</v>
      </c>
      <c r="J1935">
        <v>2019</v>
      </c>
      <c r="K1935">
        <v>4</v>
      </c>
      <c r="L1935">
        <v>276</v>
      </c>
      <c r="M1935" t="s">
        <v>13</v>
      </c>
    </row>
    <row r="1936" spans="1:13" x14ac:dyDescent="0.3">
      <c r="A1936" s="1">
        <v>43575</v>
      </c>
      <c r="B1936">
        <v>9</v>
      </c>
      <c r="C1936">
        <v>3.7690000000000001</v>
      </c>
      <c r="D1936">
        <v>1.5</v>
      </c>
      <c r="E1936">
        <v>22.4</v>
      </c>
      <c r="F1936">
        <v>12</v>
      </c>
      <c r="G1936">
        <v>3</v>
      </c>
      <c r="H1936">
        <v>0</v>
      </c>
      <c r="I1936">
        <v>6</v>
      </c>
      <c r="J1936">
        <v>2019</v>
      </c>
      <c r="K1936">
        <v>4</v>
      </c>
      <c r="L1936">
        <v>276</v>
      </c>
      <c r="M1936" t="s">
        <v>14</v>
      </c>
    </row>
    <row r="1937" spans="1:13" x14ac:dyDescent="0.3">
      <c r="A1937" s="1">
        <v>43576</v>
      </c>
      <c r="B1937">
        <v>3.84</v>
      </c>
      <c r="C1937">
        <v>4.8449999999999998</v>
      </c>
      <c r="D1937">
        <v>3</v>
      </c>
      <c r="E1937">
        <v>21</v>
      </c>
      <c r="F1937">
        <v>11</v>
      </c>
      <c r="G1937">
        <v>0</v>
      </c>
      <c r="H1937">
        <v>2</v>
      </c>
      <c r="I1937">
        <v>12.2</v>
      </c>
      <c r="J1937">
        <v>2019</v>
      </c>
      <c r="K1937">
        <v>4</v>
      </c>
      <c r="L1937">
        <v>276</v>
      </c>
      <c r="M1937" t="s">
        <v>15</v>
      </c>
    </row>
    <row r="1938" spans="1:13" x14ac:dyDescent="0.3">
      <c r="A1938" s="1">
        <v>43577</v>
      </c>
      <c r="B1938">
        <v>8.67</v>
      </c>
      <c r="C1938">
        <v>1.66</v>
      </c>
      <c r="D1938">
        <v>4.5</v>
      </c>
      <c r="E1938">
        <v>51</v>
      </c>
      <c r="F1938">
        <v>12</v>
      </c>
      <c r="G1938">
        <v>0</v>
      </c>
      <c r="H1938">
        <v>31</v>
      </c>
      <c r="I1938">
        <v>9</v>
      </c>
      <c r="J1938">
        <v>2019</v>
      </c>
      <c r="K1938">
        <v>4</v>
      </c>
      <c r="L1938">
        <v>276</v>
      </c>
      <c r="M1938" t="s">
        <v>16</v>
      </c>
    </row>
    <row r="1939" spans="1:13" x14ac:dyDescent="0.3">
      <c r="A1939" s="1">
        <v>43578</v>
      </c>
      <c r="B1939">
        <v>9</v>
      </c>
      <c r="C1939">
        <v>0.34</v>
      </c>
      <c r="D1939">
        <v>6.1</v>
      </c>
      <c r="E1939">
        <v>18.399999999999999</v>
      </c>
      <c r="F1939">
        <v>6</v>
      </c>
      <c r="G1939">
        <v>1</v>
      </c>
      <c r="H1939">
        <v>4</v>
      </c>
      <c r="I1939">
        <v>2</v>
      </c>
      <c r="J1939">
        <v>2019</v>
      </c>
      <c r="K1939">
        <v>4</v>
      </c>
      <c r="L1939">
        <v>276</v>
      </c>
      <c r="M1939" t="s">
        <v>17</v>
      </c>
    </row>
    <row r="1940" spans="1:13" x14ac:dyDescent="0.3">
      <c r="A1940" s="1">
        <v>43579</v>
      </c>
      <c r="B1940">
        <v>2.34</v>
      </c>
      <c r="C1940">
        <v>4.7469999999999999</v>
      </c>
      <c r="D1940">
        <v>3</v>
      </c>
      <c r="E1940">
        <v>39.1</v>
      </c>
      <c r="F1940">
        <v>13</v>
      </c>
      <c r="G1940">
        <v>3</v>
      </c>
      <c r="H1940">
        <v>12</v>
      </c>
      <c r="I1940">
        <v>2</v>
      </c>
      <c r="J1940">
        <v>2019</v>
      </c>
      <c r="K1940">
        <v>4</v>
      </c>
      <c r="L1940">
        <v>276</v>
      </c>
      <c r="M1940" t="s">
        <v>18</v>
      </c>
    </row>
    <row r="1941" spans="1:13" x14ac:dyDescent="0.3">
      <c r="A1941" s="1">
        <v>43580</v>
      </c>
      <c r="B1941">
        <v>14.01</v>
      </c>
      <c r="C1941">
        <v>3.59</v>
      </c>
      <c r="D1941">
        <v>2</v>
      </c>
      <c r="E1941">
        <v>15</v>
      </c>
      <c r="F1941">
        <v>17</v>
      </c>
      <c r="G1941">
        <v>1</v>
      </c>
      <c r="H1941">
        <v>7</v>
      </c>
      <c r="I1941">
        <v>5.4</v>
      </c>
      <c r="J1941">
        <v>2019</v>
      </c>
      <c r="K1941">
        <v>4</v>
      </c>
      <c r="L1941">
        <v>276</v>
      </c>
      <c r="M1941" t="s">
        <v>12</v>
      </c>
    </row>
    <row r="1942" spans="1:13" x14ac:dyDescent="0.3">
      <c r="A1942" s="1">
        <v>43581</v>
      </c>
      <c r="B1942">
        <v>6.34</v>
      </c>
      <c r="C1942">
        <v>1.68</v>
      </c>
      <c r="D1942">
        <v>3.25</v>
      </c>
      <c r="E1942">
        <v>32.6</v>
      </c>
      <c r="F1942">
        <v>6</v>
      </c>
      <c r="G1942">
        <v>0</v>
      </c>
      <c r="H1942">
        <v>1</v>
      </c>
      <c r="I1942">
        <v>11</v>
      </c>
      <c r="J1942">
        <v>2019</v>
      </c>
      <c r="K1942">
        <v>4</v>
      </c>
      <c r="L1942">
        <v>276</v>
      </c>
      <c r="M1942" t="s">
        <v>13</v>
      </c>
    </row>
    <row r="1943" spans="1:13" x14ac:dyDescent="0.3">
      <c r="A1943" s="1">
        <v>43582</v>
      </c>
      <c r="B1943">
        <v>17.34</v>
      </c>
      <c r="C1943">
        <v>2.4969999999999999</v>
      </c>
      <c r="D1943">
        <v>3.1</v>
      </c>
      <c r="E1943">
        <v>25.2</v>
      </c>
      <c r="F1943">
        <v>13</v>
      </c>
      <c r="G1943">
        <v>1</v>
      </c>
      <c r="H1943">
        <v>7</v>
      </c>
      <c r="I1943">
        <v>7</v>
      </c>
      <c r="J1943">
        <v>2019</v>
      </c>
      <c r="K1943">
        <v>4</v>
      </c>
      <c r="L1943">
        <v>276</v>
      </c>
      <c r="M1943" t="s">
        <v>14</v>
      </c>
    </row>
    <row r="1944" spans="1:13" x14ac:dyDescent="0.3">
      <c r="A1944" s="1">
        <v>43583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2019</v>
      </c>
      <c r="K1944">
        <v>4</v>
      </c>
      <c r="L1944">
        <v>276</v>
      </c>
      <c r="M1944" t="s">
        <v>15</v>
      </c>
    </row>
    <row r="1945" spans="1:13" x14ac:dyDescent="0.3">
      <c r="A1945" s="1">
        <v>43584</v>
      </c>
      <c r="B1945">
        <v>5.33</v>
      </c>
      <c r="C1945">
        <v>6.367</v>
      </c>
      <c r="D1945">
        <v>2.6</v>
      </c>
      <c r="E1945">
        <v>27.6</v>
      </c>
      <c r="F1945">
        <v>5</v>
      </c>
      <c r="G1945">
        <v>0</v>
      </c>
      <c r="H1945">
        <v>0</v>
      </c>
      <c r="I1945">
        <v>3</v>
      </c>
      <c r="J1945">
        <v>2019</v>
      </c>
      <c r="K1945">
        <v>4</v>
      </c>
      <c r="L1945">
        <v>276</v>
      </c>
      <c r="M1945" t="s">
        <v>16</v>
      </c>
    </row>
    <row r="1946" spans="1:13" x14ac:dyDescent="0.3">
      <c r="A1946" s="1">
        <v>43585</v>
      </c>
      <c r="B1946">
        <v>2</v>
      </c>
      <c r="C1946">
        <v>1.407</v>
      </c>
      <c r="D1946">
        <v>8</v>
      </c>
      <c r="E1946">
        <v>22</v>
      </c>
      <c r="F1946">
        <v>13</v>
      </c>
      <c r="G1946">
        <v>2</v>
      </c>
      <c r="H1946">
        <v>28</v>
      </c>
      <c r="I1946">
        <v>8.4</v>
      </c>
      <c r="J1946">
        <v>2019</v>
      </c>
      <c r="K1946">
        <v>4</v>
      </c>
      <c r="L1946">
        <v>276</v>
      </c>
      <c r="M1946" t="s">
        <v>17</v>
      </c>
    </row>
    <row r="1947" spans="1:13" x14ac:dyDescent="0.3">
      <c r="A1947" s="1">
        <v>43586</v>
      </c>
      <c r="B1947">
        <v>2.34</v>
      </c>
      <c r="C1947">
        <v>4.0199999999999996</v>
      </c>
      <c r="D1947">
        <v>1</v>
      </c>
      <c r="E1947">
        <v>8</v>
      </c>
      <c r="F1947">
        <v>1</v>
      </c>
      <c r="G1947">
        <v>0</v>
      </c>
      <c r="H1947">
        <v>1</v>
      </c>
      <c r="I1947">
        <v>3</v>
      </c>
      <c r="J1947">
        <v>2019</v>
      </c>
      <c r="K1947">
        <v>5</v>
      </c>
      <c r="L1947">
        <v>276</v>
      </c>
      <c r="M1947" t="s">
        <v>18</v>
      </c>
    </row>
    <row r="1948" spans="1:13" x14ac:dyDescent="0.3">
      <c r="A1948" s="1">
        <v>43587</v>
      </c>
      <c r="B1948">
        <v>1.68</v>
      </c>
      <c r="C1948">
        <v>5.4290000000000003</v>
      </c>
      <c r="D1948">
        <v>5.5</v>
      </c>
      <c r="E1948">
        <v>20</v>
      </c>
      <c r="F1948">
        <v>15</v>
      </c>
      <c r="G1948">
        <v>1</v>
      </c>
      <c r="H1948">
        <v>3</v>
      </c>
      <c r="I1948">
        <v>9</v>
      </c>
      <c r="J1948">
        <v>2019</v>
      </c>
      <c r="K1948">
        <v>5</v>
      </c>
      <c r="L1948">
        <v>276</v>
      </c>
      <c r="M1948" t="s">
        <v>12</v>
      </c>
    </row>
    <row r="1949" spans="1:13" x14ac:dyDescent="0.3">
      <c r="A1949" s="1">
        <v>43588</v>
      </c>
      <c r="B1949">
        <v>4.01</v>
      </c>
      <c r="C1949">
        <v>2.34</v>
      </c>
      <c r="D1949">
        <v>3</v>
      </c>
      <c r="E1949">
        <v>24</v>
      </c>
      <c r="F1949">
        <v>11</v>
      </c>
      <c r="G1949">
        <v>3</v>
      </c>
      <c r="H1949">
        <v>16</v>
      </c>
      <c r="I1949">
        <v>8</v>
      </c>
      <c r="J1949">
        <v>2019</v>
      </c>
      <c r="K1949">
        <v>5</v>
      </c>
      <c r="L1949">
        <v>276</v>
      </c>
      <c r="M1949" t="s">
        <v>13</v>
      </c>
    </row>
    <row r="1950" spans="1:13" x14ac:dyDescent="0.3">
      <c r="A1950" s="1">
        <v>43589</v>
      </c>
      <c r="B1950">
        <v>9</v>
      </c>
      <c r="C1950">
        <v>5.43</v>
      </c>
      <c r="D1950">
        <v>4.25</v>
      </c>
      <c r="E1950">
        <v>25</v>
      </c>
      <c r="F1950">
        <v>5</v>
      </c>
      <c r="G1950">
        <v>1</v>
      </c>
      <c r="H1950">
        <v>16</v>
      </c>
      <c r="I1950">
        <v>9</v>
      </c>
      <c r="J1950">
        <v>2019</v>
      </c>
      <c r="K1950">
        <v>5</v>
      </c>
      <c r="L1950">
        <v>276</v>
      </c>
      <c r="M1950" t="s">
        <v>14</v>
      </c>
    </row>
    <row r="1951" spans="1:13" x14ac:dyDescent="0.3">
      <c r="A1951" s="1">
        <v>43590</v>
      </c>
      <c r="B1951">
        <v>7</v>
      </c>
      <c r="C1951">
        <v>2.42</v>
      </c>
      <c r="D1951">
        <v>4.2</v>
      </c>
      <c r="E1951">
        <v>31</v>
      </c>
      <c r="F1951">
        <v>2</v>
      </c>
      <c r="G1951">
        <v>0</v>
      </c>
      <c r="H1951">
        <v>0</v>
      </c>
      <c r="I1951">
        <v>5</v>
      </c>
      <c r="J1951">
        <v>2019</v>
      </c>
      <c r="K1951">
        <v>5</v>
      </c>
      <c r="L1951">
        <v>276</v>
      </c>
      <c r="M1951" t="s">
        <v>15</v>
      </c>
    </row>
    <row r="1952" spans="1:13" x14ac:dyDescent="0.3">
      <c r="A1952" s="1">
        <v>43591</v>
      </c>
      <c r="B1952">
        <v>4.68</v>
      </c>
      <c r="C1952">
        <v>6.6000000000000003E-2</v>
      </c>
      <c r="D1952">
        <v>2</v>
      </c>
      <c r="E1952">
        <v>23</v>
      </c>
      <c r="F1952">
        <v>11</v>
      </c>
      <c r="G1952">
        <v>2</v>
      </c>
      <c r="H1952">
        <v>9</v>
      </c>
      <c r="I1952">
        <v>3</v>
      </c>
      <c r="J1952">
        <v>2019</v>
      </c>
      <c r="K1952">
        <v>5</v>
      </c>
      <c r="L1952">
        <v>276</v>
      </c>
      <c r="M1952" t="s">
        <v>16</v>
      </c>
    </row>
    <row r="1953" spans="1:13" x14ac:dyDescent="0.3">
      <c r="A1953" s="1">
        <v>43592</v>
      </c>
      <c r="B1953">
        <v>2.66</v>
      </c>
      <c r="C1953">
        <v>5.5190000000000001</v>
      </c>
      <c r="D1953">
        <v>1</v>
      </c>
      <c r="E1953">
        <v>33.4</v>
      </c>
      <c r="F1953">
        <v>19</v>
      </c>
      <c r="G1953">
        <v>0</v>
      </c>
      <c r="H1953">
        <v>6</v>
      </c>
      <c r="I1953">
        <v>5</v>
      </c>
      <c r="J1953">
        <v>2019</v>
      </c>
      <c r="K1953">
        <v>5</v>
      </c>
      <c r="L1953">
        <v>276</v>
      </c>
      <c r="M1953" t="s">
        <v>17</v>
      </c>
    </row>
    <row r="1954" spans="1:13" x14ac:dyDescent="0.3">
      <c r="A1954" s="1">
        <v>43593</v>
      </c>
      <c r="B1954">
        <v>9</v>
      </c>
      <c r="C1954">
        <v>4.0330000000000004</v>
      </c>
      <c r="D1954">
        <v>3</v>
      </c>
      <c r="E1954">
        <v>13</v>
      </c>
      <c r="F1954">
        <v>15</v>
      </c>
      <c r="G1954">
        <v>2</v>
      </c>
      <c r="H1954">
        <v>20</v>
      </c>
      <c r="I1954">
        <v>0</v>
      </c>
      <c r="J1954">
        <v>2019</v>
      </c>
      <c r="K1954">
        <v>5</v>
      </c>
      <c r="L1954">
        <v>276</v>
      </c>
      <c r="M1954" t="s">
        <v>18</v>
      </c>
    </row>
    <row r="1955" spans="1:13" x14ac:dyDescent="0.3">
      <c r="A1955" s="1">
        <v>43594</v>
      </c>
      <c r="B1955">
        <v>5</v>
      </c>
      <c r="C1955">
        <v>2.33</v>
      </c>
      <c r="D1955">
        <v>2.1</v>
      </c>
      <c r="E1955">
        <v>12.5</v>
      </c>
      <c r="F1955">
        <v>10</v>
      </c>
      <c r="G1955">
        <v>1</v>
      </c>
      <c r="H1955">
        <v>31</v>
      </c>
      <c r="I1955">
        <v>4</v>
      </c>
      <c r="J1955">
        <v>2019</v>
      </c>
      <c r="K1955">
        <v>5</v>
      </c>
      <c r="L1955">
        <v>276</v>
      </c>
      <c r="M1955" t="s">
        <v>12</v>
      </c>
    </row>
    <row r="1956" spans="1:13" x14ac:dyDescent="0.3">
      <c r="A1956" s="1">
        <v>43595</v>
      </c>
      <c r="B1956">
        <v>5</v>
      </c>
      <c r="C1956">
        <v>1.34</v>
      </c>
      <c r="D1956">
        <v>5.5</v>
      </c>
      <c r="E1956">
        <v>11.6</v>
      </c>
      <c r="F1956">
        <v>13</v>
      </c>
      <c r="G1956">
        <v>2</v>
      </c>
      <c r="H1956">
        <v>26</v>
      </c>
      <c r="I1956">
        <v>2</v>
      </c>
      <c r="J1956">
        <v>2019</v>
      </c>
      <c r="K1956">
        <v>5</v>
      </c>
      <c r="L1956">
        <v>276</v>
      </c>
      <c r="M1956" t="s">
        <v>13</v>
      </c>
    </row>
    <row r="1957" spans="1:13" x14ac:dyDescent="0.3">
      <c r="A1957" s="1">
        <v>43596</v>
      </c>
      <c r="B1957">
        <v>5.34</v>
      </c>
      <c r="C1957">
        <v>5</v>
      </c>
      <c r="D1957">
        <v>5.5</v>
      </c>
      <c r="E1957">
        <v>16.8</v>
      </c>
      <c r="F1957">
        <v>9</v>
      </c>
      <c r="G1957">
        <v>0</v>
      </c>
      <c r="H1957">
        <v>12</v>
      </c>
      <c r="I1957">
        <v>5</v>
      </c>
      <c r="J1957">
        <v>2019</v>
      </c>
      <c r="K1957">
        <v>5</v>
      </c>
      <c r="L1957">
        <v>276</v>
      </c>
      <c r="M1957" t="s">
        <v>14</v>
      </c>
    </row>
    <row r="1958" spans="1:13" x14ac:dyDescent="0.3">
      <c r="A1958" s="1">
        <v>43597</v>
      </c>
      <c r="B1958">
        <v>4.67</v>
      </c>
      <c r="C1958">
        <v>1.68</v>
      </c>
      <c r="D1958">
        <v>3.1</v>
      </c>
      <c r="E1958">
        <v>38.799999999999997</v>
      </c>
      <c r="F1958">
        <v>2</v>
      </c>
      <c r="G1958">
        <v>1</v>
      </c>
      <c r="H1958">
        <v>19</v>
      </c>
      <c r="I1958">
        <v>5</v>
      </c>
      <c r="J1958">
        <v>2019</v>
      </c>
      <c r="K1958">
        <v>5</v>
      </c>
      <c r="L1958">
        <v>276</v>
      </c>
      <c r="M1958" t="s">
        <v>15</v>
      </c>
    </row>
    <row r="1959" spans="1:13" x14ac:dyDescent="0.3">
      <c r="A1959" s="1">
        <v>43598</v>
      </c>
      <c r="B1959">
        <v>5</v>
      </c>
      <c r="C1959">
        <v>4.5270000000000001</v>
      </c>
      <c r="D1959">
        <v>2</v>
      </c>
      <c r="E1959">
        <v>26.2</v>
      </c>
      <c r="F1959">
        <v>11</v>
      </c>
      <c r="G1959">
        <v>0</v>
      </c>
      <c r="H1959">
        <v>11</v>
      </c>
      <c r="I1959">
        <v>3</v>
      </c>
      <c r="J1959">
        <v>2019</v>
      </c>
      <c r="K1959">
        <v>5</v>
      </c>
      <c r="L1959">
        <v>276</v>
      </c>
      <c r="M1959" t="s">
        <v>16</v>
      </c>
    </row>
    <row r="1960" spans="1:13" x14ac:dyDescent="0.3">
      <c r="A1960" s="1">
        <v>43599</v>
      </c>
      <c r="B1960">
        <v>6.67</v>
      </c>
      <c r="C1960">
        <v>4.3630000000000004</v>
      </c>
      <c r="D1960">
        <v>4</v>
      </c>
      <c r="E1960">
        <v>25</v>
      </c>
      <c r="F1960">
        <v>5</v>
      </c>
      <c r="G1960">
        <v>0</v>
      </c>
      <c r="H1960">
        <v>11</v>
      </c>
      <c r="I1960">
        <v>3</v>
      </c>
      <c r="J1960">
        <v>2019</v>
      </c>
      <c r="K1960">
        <v>5</v>
      </c>
      <c r="L1960">
        <v>276</v>
      </c>
      <c r="M1960" t="s">
        <v>17</v>
      </c>
    </row>
    <row r="1961" spans="1:13" x14ac:dyDescent="0.3">
      <c r="A1961" s="1">
        <v>43600</v>
      </c>
      <c r="B1961">
        <v>4</v>
      </c>
      <c r="C1961">
        <v>1.0660000000000001</v>
      </c>
      <c r="D1961">
        <v>4.1500000000000004</v>
      </c>
      <c r="E1961">
        <v>28.4</v>
      </c>
      <c r="F1961">
        <v>7</v>
      </c>
      <c r="G1961">
        <v>0</v>
      </c>
      <c r="H1961">
        <v>5</v>
      </c>
      <c r="I1961">
        <v>3</v>
      </c>
      <c r="J1961">
        <v>2019</v>
      </c>
      <c r="K1961">
        <v>5</v>
      </c>
      <c r="L1961">
        <v>276</v>
      </c>
      <c r="M1961" t="s">
        <v>18</v>
      </c>
    </row>
    <row r="1962" spans="1:13" x14ac:dyDescent="0.3">
      <c r="A1962" s="1">
        <v>43601</v>
      </c>
      <c r="B1962">
        <v>5</v>
      </c>
      <c r="C1962">
        <v>1.0669999999999999</v>
      </c>
      <c r="D1962">
        <v>2</v>
      </c>
      <c r="E1962">
        <v>12</v>
      </c>
      <c r="F1962">
        <v>9</v>
      </c>
      <c r="G1962">
        <v>1</v>
      </c>
      <c r="H1962">
        <v>16.291666670000001</v>
      </c>
      <c r="I1962">
        <v>5</v>
      </c>
      <c r="J1962">
        <v>2019</v>
      </c>
      <c r="K1962">
        <v>5</v>
      </c>
      <c r="L1962">
        <v>276</v>
      </c>
      <c r="M1962" t="s">
        <v>12</v>
      </c>
    </row>
    <row r="1963" spans="1:13" x14ac:dyDescent="0.3">
      <c r="A1963" s="1">
        <v>43602</v>
      </c>
      <c r="B1963">
        <v>2.66</v>
      </c>
      <c r="C1963">
        <v>1.66</v>
      </c>
      <c r="D1963">
        <v>2.4</v>
      </c>
      <c r="E1963">
        <v>28</v>
      </c>
      <c r="F1963">
        <v>18</v>
      </c>
      <c r="G1963">
        <v>2</v>
      </c>
      <c r="H1963">
        <v>4</v>
      </c>
      <c r="I1963">
        <v>2.2000000000000002</v>
      </c>
      <c r="J1963">
        <v>2019</v>
      </c>
      <c r="K1963">
        <v>5</v>
      </c>
      <c r="L1963">
        <v>276</v>
      </c>
      <c r="M1963" t="s">
        <v>13</v>
      </c>
    </row>
    <row r="1964" spans="1:13" x14ac:dyDescent="0.3">
      <c r="A1964" s="1">
        <v>43603</v>
      </c>
      <c r="B1964">
        <v>10</v>
      </c>
      <c r="C1964">
        <v>0.34</v>
      </c>
      <c r="D1964">
        <v>5.0999999999999996</v>
      </c>
      <c r="E1964">
        <v>14</v>
      </c>
      <c r="F1964">
        <v>9</v>
      </c>
      <c r="G1964">
        <v>2</v>
      </c>
      <c r="H1964">
        <v>5</v>
      </c>
      <c r="I1964">
        <v>3</v>
      </c>
      <c r="J1964">
        <v>2019</v>
      </c>
      <c r="K1964">
        <v>5</v>
      </c>
      <c r="L1964">
        <v>276</v>
      </c>
      <c r="M1964" t="s">
        <v>14</v>
      </c>
    </row>
    <row r="1965" spans="1:13" x14ac:dyDescent="0.3">
      <c r="A1965" s="1">
        <v>43604</v>
      </c>
      <c r="B1965">
        <v>6.67</v>
      </c>
      <c r="C1965">
        <v>5</v>
      </c>
      <c r="D1965">
        <v>4</v>
      </c>
      <c r="E1965">
        <v>26.4</v>
      </c>
      <c r="F1965">
        <v>9</v>
      </c>
      <c r="G1965">
        <v>0</v>
      </c>
      <c r="H1965">
        <v>9</v>
      </c>
      <c r="I1965">
        <v>4.2</v>
      </c>
      <c r="J1965">
        <v>2019</v>
      </c>
      <c r="K1965">
        <v>5</v>
      </c>
      <c r="L1965">
        <v>276</v>
      </c>
      <c r="M1965" t="s">
        <v>15</v>
      </c>
    </row>
    <row r="1966" spans="1:13" x14ac:dyDescent="0.3">
      <c r="A1966" s="1">
        <v>43605</v>
      </c>
      <c r="B1966">
        <v>3.67</v>
      </c>
      <c r="C1966">
        <v>6.3959999999999999</v>
      </c>
      <c r="D1966">
        <v>5</v>
      </c>
      <c r="E1966">
        <v>21.3</v>
      </c>
      <c r="F1966">
        <v>11</v>
      </c>
      <c r="G1966">
        <v>4</v>
      </c>
      <c r="H1966">
        <v>13</v>
      </c>
      <c r="I1966">
        <v>5</v>
      </c>
      <c r="J1966">
        <v>2019</v>
      </c>
      <c r="K1966">
        <v>5</v>
      </c>
      <c r="L1966">
        <v>276</v>
      </c>
      <c r="M1966" t="s">
        <v>16</v>
      </c>
    </row>
    <row r="1967" spans="1:13" x14ac:dyDescent="0.3">
      <c r="A1967" s="1">
        <v>43606</v>
      </c>
      <c r="B1967">
        <v>5.34</v>
      </c>
      <c r="C1967">
        <v>4</v>
      </c>
      <c r="D1967">
        <v>5.0999999999999996</v>
      </c>
      <c r="E1967">
        <v>17.600000000000001</v>
      </c>
      <c r="F1967">
        <v>12.2</v>
      </c>
      <c r="G1967">
        <v>0</v>
      </c>
      <c r="H1967">
        <v>1</v>
      </c>
      <c r="I1967">
        <v>7</v>
      </c>
      <c r="J1967">
        <v>2019</v>
      </c>
      <c r="K1967">
        <v>5</v>
      </c>
      <c r="L1967">
        <v>276</v>
      </c>
      <c r="M1967" t="s">
        <v>17</v>
      </c>
    </row>
    <row r="1968" spans="1:13" x14ac:dyDescent="0.3">
      <c r="A1968" s="1">
        <v>43607</v>
      </c>
      <c r="B1968">
        <v>8.16</v>
      </c>
      <c r="C1968">
        <v>2.8359999999999999</v>
      </c>
      <c r="D1968">
        <v>3.15</v>
      </c>
      <c r="E1968">
        <v>28.2</v>
      </c>
      <c r="F1968">
        <v>8</v>
      </c>
      <c r="G1968">
        <v>0</v>
      </c>
      <c r="H1968">
        <v>9</v>
      </c>
      <c r="I1968">
        <v>5</v>
      </c>
      <c r="J1968">
        <v>2019</v>
      </c>
      <c r="K1968">
        <v>5</v>
      </c>
      <c r="L1968">
        <v>276</v>
      </c>
      <c r="M1968" t="s">
        <v>18</v>
      </c>
    </row>
    <row r="1969" spans="1:13" x14ac:dyDescent="0.3">
      <c r="A1969" s="1">
        <v>43608</v>
      </c>
      <c r="B1969">
        <v>2.33</v>
      </c>
      <c r="C1969">
        <v>3.34</v>
      </c>
      <c r="D1969">
        <v>2</v>
      </c>
      <c r="E1969">
        <v>26.1</v>
      </c>
      <c r="F1969">
        <v>4</v>
      </c>
      <c r="G1969">
        <v>0</v>
      </c>
      <c r="H1969">
        <v>10</v>
      </c>
      <c r="I1969">
        <v>6</v>
      </c>
      <c r="J1969">
        <v>2019</v>
      </c>
      <c r="K1969">
        <v>5</v>
      </c>
      <c r="L1969">
        <v>276</v>
      </c>
      <c r="M1969" t="s">
        <v>12</v>
      </c>
    </row>
    <row r="1970" spans="1:13" x14ac:dyDescent="0.3">
      <c r="A1970" s="1">
        <v>43609</v>
      </c>
      <c r="B1970">
        <v>5.34</v>
      </c>
      <c r="C1970">
        <v>3.7029999999999998</v>
      </c>
      <c r="D1970">
        <v>3</v>
      </c>
      <c r="E1970">
        <v>36.200000000000003</v>
      </c>
      <c r="F1970">
        <v>8</v>
      </c>
      <c r="G1970">
        <v>1</v>
      </c>
      <c r="H1970">
        <v>5</v>
      </c>
      <c r="I1970">
        <v>3</v>
      </c>
      <c r="J1970">
        <v>2019</v>
      </c>
      <c r="K1970">
        <v>5</v>
      </c>
      <c r="L1970">
        <v>276</v>
      </c>
      <c r="M1970" t="s">
        <v>13</v>
      </c>
    </row>
    <row r="1971" spans="1:13" x14ac:dyDescent="0.3">
      <c r="A1971" s="1">
        <v>43610</v>
      </c>
      <c r="B1971">
        <v>11</v>
      </c>
      <c r="C1971">
        <v>3.34</v>
      </c>
      <c r="D1971">
        <v>4.0999999999999996</v>
      </c>
      <c r="E1971">
        <v>35</v>
      </c>
      <c r="F1971">
        <v>4</v>
      </c>
      <c r="G1971">
        <v>0</v>
      </c>
      <c r="H1971">
        <v>16</v>
      </c>
      <c r="I1971">
        <v>2</v>
      </c>
      <c r="J1971">
        <v>2019</v>
      </c>
      <c r="K1971">
        <v>5</v>
      </c>
      <c r="L1971">
        <v>276</v>
      </c>
      <c r="M1971" t="s">
        <v>14</v>
      </c>
    </row>
    <row r="1972" spans="1:13" x14ac:dyDescent="0.3">
      <c r="A1972" s="1">
        <v>43611</v>
      </c>
      <c r="B1972">
        <v>6.33</v>
      </c>
      <c r="C1972">
        <v>5.31</v>
      </c>
      <c r="D1972">
        <v>2</v>
      </c>
      <c r="E1972">
        <v>30</v>
      </c>
      <c r="F1972">
        <v>2.6</v>
      </c>
      <c r="G1972">
        <v>0</v>
      </c>
      <c r="H1972">
        <v>11</v>
      </c>
      <c r="I1972">
        <v>6</v>
      </c>
      <c r="J1972">
        <v>2019</v>
      </c>
      <c r="K1972">
        <v>5</v>
      </c>
      <c r="L1972">
        <v>276</v>
      </c>
      <c r="M1972" t="s">
        <v>15</v>
      </c>
    </row>
    <row r="1973" spans="1:13" x14ac:dyDescent="0.3">
      <c r="A1973" s="1">
        <v>43612</v>
      </c>
      <c r="B1973">
        <v>4.67</v>
      </c>
      <c r="C1973">
        <v>0.67</v>
      </c>
      <c r="D1973">
        <v>1.2</v>
      </c>
      <c r="E1973">
        <v>19</v>
      </c>
      <c r="F1973">
        <v>8</v>
      </c>
      <c r="G1973">
        <v>0</v>
      </c>
      <c r="H1973">
        <v>0</v>
      </c>
      <c r="I1973">
        <v>2</v>
      </c>
      <c r="J1973">
        <v>2019</v>
      </c>
      <c r="K1973">
        <v>5</v>
      </c>
      <c r="L1973">
        <v>276</v>
      </c>
      <c r="M1973" t="s">
        <v>16</v>
      </c>
    </row>
    <row r="1974" spans="1:13" x14ac:dyDescent="0.3">
      <c r="A1974" s="1">
        <v>43613</v>
      </c>
      <c r="B1974">
        <v>4.33</v>
      </c>
      <c r="C1974">
        <v>3.99</v>
      </c>
      <c r="D1974">
        <v>6.3</v>
      </c>
      <c r="E1974">
        <v>18.2</v>
      </c>
      <c r="F1974">
        <v>10</v>
      </c>
      <c r="G1974">
        <v>2</v>
      </c>
      <c r="H1974">
        <v>5</v>
      </c>
      <c r="I1974">
        <v>6</v>
      </c>
      <c r="J1974">
        <v>2019</v>
      </c>
      <c r="K1974">
        <v>5</v>
      </c>
      <c r="L1974">
        <v>276</v>
      </c>
      <c r="M1974" t="s">
        <v>17</v>
      </c>
    </row>
    <row r="1975" spans="1:13" x14ac:dyDescent="0.3">
      <c r="A1975" s="1">
        <v>43614</v>
      </c>
      <c r="B1975">
        <v>5.5</v>
      </c>
      <c r="C1975">
        <v>2.34</v>
      </c>
      <c r="D1975">
        <v>4.05</v>
      </c>
      <c r="E1975">
        <v>15</v>
      </c>
      <c r="F1975">
        <v>10</v>
      </c>
      <c r="G1975">
        <v>1</v>
      </c>
      <c r="H1975">
        <v>0</v>
      </c>
      <c r="I1975">
        <v>3</v>
      </c>
      <c r="J1975">
        <v>2019</v>
      </c>
      <c r="K1975">
        <v>5</v>
      </c>
      <c r="L1975">
        <v>276</v>
      </c>
      <c r="M1975" t="s">
        <v>18</v>
      </c>
    </row>
    <row r="1976" spans="1:13" x14ac:dyDescent="0.3">
      <c r="A1976" s="1">
        <v>43615</v>
      </c>
      <c r="B1976">
        <v>5</v>
      </c>
      <c r="C1976">
        <v>0.34</v>
      </c>
      <c r="D1976">
        <v>3.4</v>
      </c>
      <c r="E1976">
        <v>17.2</v>
      </c>
      <c r="F1976">
        <v>5</v>
      </c>
      <c r="G1976">
        <v>0</v>
      </c>
      <c r="H1976">
        <v>6</v>
      </c>
      <c r="I1976">
        <v>4</v>
      </c>
      <c r="J1976">
        <v>2019</v>
      </c>
      <c r="K1976">
        <v>5</v>
      </c>
      <c r="L1976">
        <v>276</v>
      </c>
      <c r="M1976" t="s">
        <v>12</v>
      </c>
    </row>
    <row r="1977" spans="1:13" x14ac:dyDescent="0.3">
      <c r="A1977" s="1">
        <v>43616</v>
      </c>
      <c r="B1977">
        <v>5.99</v>
      </c>
      <c r="C1977">
        <v>3.363</v>
      </c>
      <c r="D1977">
        <v>1</v>
      </c>
      <c r="E1977">
        <v>22.661999999999999</v>
      </c>
      <c r="F1977">
        <v>2</v>
      </c>
      <c r="G1977">
        <v>0</v>
      </c>
      <c r="H1977">
        <v>2</v>
      </c>
      <c r="I1977">
        <v>5</v>
      </c>
      <c r="J1977">
        <v>2019</v>
      </c>
      <c r="K1977">
        <v>5</v>
      </c>
      <c r="L1977">
        <v>276</v>
      </c>
      <c r="M1977" t="s">
        <v>13</v>
      </c>
    </row>
    <row r="1978" spans="1:13" x14ac:dyDescent="0.3">
      <c r="A1978" s="1">
        <v>43617</v>
      </c>
      <c r="B1978">
        <v>3</v>
      </c>
      <c r="C1978">
        <v>1.34</v>
      </c>
      <c r="D1978">
        <v>6</v>
      </c>
      <c r="E1978">
        <v>21.4</v>
      </c>
      <c r="F1978">
        <v>1</v>
      </c>
      <c r="G1978">
        <v>0</v>
      </c>
      <c r="H1978">
        <v>8</v>
      </c>
      <c r="I1978">
        <v>4</v>
      </c>
      <c r="J1978">
        <v>2019</v>
      </c>
      <c r="K1978">
        <v>6</v>
      </c>
      <c r="L1978">
        <v>276</v>
      </c>
      <c r="M1978" t="s">
        <v>14</v>
      </c>
    </row>
    <row r="1979" spans="1:13" x14ac:dyDescent="0.3">
      <c r="A1979" s="1">
        <v>43618</v>
      </c>
      <c r="B1979">
        <v>4</v>
      </c>
      <c r="C1979">
        <v>2.66</v>
      </c>
      <c r="D1979">
        <v>3.05</v>
      </c>
      <c r="E1979">
        <v>28</v>
      </c>
      <c r="F1979">
        <v>4</v>
      </c>
      <c r="G1979">
        <v>1</v>
      </c>
      <c r="H1979">
        <v>6</v>
      </c>
      <c r="I1979">
        <v>4</v>
      </c>
      <c r="J1979">
        <v>2019</v>
      </c>
      <c r="K1979">
        <v>6</v>
      </c>
      <c r="L1979">
        <v>276</v>
      </c>
      <c r="M1979" t="s">
        <v>15</v>
      </c>
    </row>
    <row r="1980" spans="1:13" x14ac:dyDescent="0.3">
      <c r="A1980" s="1">
        <v>43619</v>
      </c>
      <c r="B1980">
        <v>0.33</v>
      </c>
      <c r="C1980">
        <v>2.5049999999999999</v>
      </c>
      <c r="D1980">
        <v>4</v>
      </c>
      <c r="E1980">
        <v>15.4</v>
      </c>
      <c r="F1980">
        <v>4</v>
      </c>
      <c r="G1980">
        <v>0</v>
      </c>
      <c r="H1980">
        <v>5</v>
      </c>
      <c r="I1980">
        <v>10</v>
      </c>
      <c r="J1980">
        <v>2019</v>
      </c>
      <c r="K1980">
        <v>6</v>
      </c>
      <c r="L1980">
        <v>276</v>
      </c>
      <c r="M1980" t="s">
        <v>16</v>
      </c>
    </row>
    <row r="1981" spans="1:13" x14ac:dyDescent="0.3">
      <c r="A1981" s="1">
        <v>43620</v>
      </c>
      <c r="B1981">
        <v>6.34</v>
      </c>
      <c r="C1981">
        <v>2.823</v>
      </c>
      <c r="D1981">
        <v>5.35</v>
      </c>
      <c r="E1981">
        <v>28.2</v>
      </c>
      <c r="F1981">
        <v>9</v>
      </c>
      <c r="G1981">
        <v>1</v>
      </c>
      <c r="H1981">
        <v>12</v>
      </c>
      <c r="I1981">
        <v>5</v>
      </c>
      <c r="J1981">
        <v>2019</v>
      </c>
      <c r="K1981">
        <v>6</v>
      </c>
      <c r="L1981">
        <v>276</v>
      </c>
      <c r="M1981" t="s">
        <v>17</v>
      </c>
    </row>
    <row r="1982" spans="1:13" x14ac:dyDescent="0.3">
      <c r="A1982" s="1">
        <v>43621</v>
      </c>
      <c r="B1982">
        <v>5</v>
      </c>
      <c r="C1982">
        <v>1.77</v>
      </c>
      <c r="D1982">
        <v>2.1</v>
      </c>
      <c r="E1982">
        <v>26.1</v>
      </c>
      <c r="F1982">
        <v>7</v>
      </c>
      <c r="G1982">
        <v>0</v>
      </c>
      <c r="H1982">
        <v>1</v>
      </c>
      <c r="I1982">
        <v>2</v>
      </c>
      <c r="J1982">
        <v>2019</v>
      </c>
      <c r="K1982">
        <v>6</v>
      </c>
      <c r="L1982">
        <v>276</v>
      </c>
      <c r="M1982" t="s">
        <v>18</v>
      </c>
    </row>
    <row r="1983" spans="1:13" x14ac:dyDescent="0.3">
      <c r="A1983" s="1">
        <v>43622</v>
      </c>
      <c r="B1983">
        <v>7.67</v>
      </c>
      <c r="C1983">
        <v>2.0760000000000001</v>
      </c>
      <c r="D1983">
        <v>6.35</v>
      </c>
      <c r="E1983">
        <v>27</v>
      </c>
      <c r="F1983">
        <v>7</v>
      </c>
      <c r="G1983">
        <v>2</v>
      </c>
      <c r="H1983">
        <v>11</v>
      </c>
      <c r="I1983">
        <v>4</v>
      </c>
      <c r="J1983">
        <v>2019</v>
      </c>
      <c r="K1983">
        <v>6</v>
      </c>
      <c r="L1983">
        <v>276</v>
      </c>
      <c r="M1983" t="s">
        <v>12</v>
      </c>
    </row>
    <row r="1984" spans="1:13" x14ac:dyDescent="0.3">
      <c r="A1984" s="1">
        <v>43623</v>
      </c>
      <c r="B1984">
        <v>6</v>
      </c>
      <c r="C1984">
        <v>2.67</v>
      </c>
      <c r="D1984">
        <v>2</v>
      </c>
      <c r="E1984">
        <v>22</v>
      </c>
      <c r="F1984">
        <v>6</v>
      </c>
      <c r="G1984">
        <v>0</v>
      </c>
      <c r="H1984">
        <v>16</v>
      </c>
      <c r="I1984">
        <v>0</v>
      </c>
      <c r="J1984">
        <v>2019</v>
      </c>
      <c r="K1984">
        <v>6</v>
      </c>
      <c r="L1984">
        <v>276</v>
      </c>
      <c r="M1984" t="s">
        <v>13</v>
      </c>
    </row>
    <row r="1985" spans="1:13" x14ac:dyDescent="0.3">
      <c r="A1985" s="1">
        <v>43624</v>
      </c>
      <c r="B1985">
        <v>3</v>
      </c>
      <c r="C1985">
        <v>3.66</v>
      </c>
      <c r="D1985">
        <v>1</v>
      </c>
      <c r="E1985">
        <v>22.4</v>
      </c>
      <c r="F1985">
        <v>12</v>
      </c>
      <c r="G1985">
        <v>0</v>
      </c>
      <c r="H1985">
        <v>0</v>
      </c>
      <c r="I1985">
        <v>2.1</v>
      </c>
      <c r="J1985">
        <v>2019</v>
      </c>
      <c r="K1985">
        <v>6</v>
      </c>
      <c r="L1985">
        <v>276</v>
      </c>
      <c r="M1985" t="s">
        <v>14</v>
      </c>
    </row>
    <row r="1986" spans="1:13" x14ac:dyDescent="0.3">
      <c r="A1986" s="1">
        <v>43625</v>
      </c>
      <c r="B1986">
        <v>9.33</v>
      </c>
      <c r="C1986">
        <v>1.0329999999999999</v>
      </c>
      <c r="D1986">
        <v>8</v>
      </c>
      <c r="E1986">
        <v>16.5</v>
      </c>
      <c r="F1986">
        <v>7</v>
      </c>
      <c r="G1986">
        <v>4</v>
      </c>
      <c r="H1986">
        <v>0</v>
      </c>
      <c r="I1986">
        <v>5</v>
      </c>
      <c r="J1986">
        <v>2019</v>
      </c>
      <c r="K1986">
        <v>6</v>
      </c>
      <c r="L1986">
        <v>276</v>
      </c>
      <c r="M1986" t="s">
        <v>15</v>
      </c>
    </row>
    <row r="1987" spans="1:13" x14ac:dyDescent="0.3">
      <c r="A1987" s="1">
        <v>43626</v>
      </c>
      <c r="B1987">
        <v>3</v>
      </c>
      <c r="C1987">
        <v>1.34</v>
      </c>
      <c r="D1987">
        <v>2</v>
      </c>
      <c r="E1987">
        <v>15</v>
      </c>
      <c r="F1987">
        <v>7</v>
      </c>
      <c r="G1987">
        <v>0</v>
      </c>
      <c r="H1987">
        <v>6</v>
      </c>
      <c r="I1987">
        <v>12</v>
      </c>
      <c r="J1987">
        <v>2019</v>
      </c>
      <c r="K1987">
        <v>6</v>
      </c>
      <c r="L1987">
        <v>276</v>
      </c>
      <c r="M1987" t="s">
        <v>16</v>
      </c>
    </row>
    <row r="1988" spans="1:13" x14ac:dyDescent="0.3">
      <c r="A1988" s="1">
        <v>43627</v>
      </c>
      <c r="B1988">
        <v>11.34</v>
      </c>
      <c r="C1988">
        <v>3.33</v>
      </c>
      <c r="D1988">
        <v>10.5</v>
      </c>
      <c r="E1988">
        <v>25</v>
      </c>
      <c r="F1988">
        <v>9</v>
      </c>
      <c r="G1988">
        <v>0</v>
      </c>
      <c r="H1988">
        <v>7</v>
      </c>
      <c r="I1988">
        <v>6</v>
      </c>
      <c r="J1988">
        <v>2019</v>
      </c>
      <c r="K1988">
        <v>6</v>
      </c>
      <c r="L1988">
        <v>276</v>
      </c>
      <c r="M1988" t="s">
        <v>17</v>
      </c>
    </row>
    <row r="1989" spans="1:13" x14ac:dyDescent="0.3">
      <c r="A1989" s="1">
        <v>43628</v>
      </c>
      <c r="B1989">
        <v>8</v>
      </c>
      <c r="C1989">
        <v>3.4060000000000001</v>
      </c>
      <c r="D1989">
        <v>1</v>
      </c>
      <c r="E1989">
        <v>16.2</v>
      </c>
      <c r="F1989">
        <v>11</v>
      </c>
      <c r="G1989">
        <v>0</v>
      </c>
      <c r="H1989">
        <v>1</v>
      </c>
      <c r="I1989">
        <v>7</v>
      </c>
      <c r="J1989">
        <v>2019</v>
      </c>
      <c r="K1989">
        <v>6</v>
      </c>
      <c r="L1989">
        <v>276</v>
      </c>
      <c r="M1989" t="s">
        <v>18</v>
      </c>
    </row>
    <row r="1990" spans="1:13" x14ac:dyDescent="0.3">
      <c r="A1990" s="1">
        <v>43629</v>
      </c>
      <c r="B1990">
        <v>0.68</v>
      </c>
      <c r="C1990">
        <v>3.02</v>
      </c>
      <c r="D1990">
        <v>0.25</v>
      </c>
      <c r="E1990">
        <v>19.399999999999999</v>
      </c>
      <c r="F1990">
        <v>2</v>
      </c>
      <c r="G1990">
        <v>0</v>
      </c>
      <c r="H1990">
        <v>2</v>
      </c>
      <c r="I1990">
        <v>9</v>
      </c>
      <c r="J1990">
        <v>2019</v>
      </c>
      <c r="K1990">
        <v>6</v>
      </c>
      <c r="L1990">
        <v>276</v>
      </c>
      <c r="M1990" t="s">
        <v>12</v>
      </c>
    </row>
    <row r="1991" spans="1:13" x14ac:dyDescent="0.3">
      <c r="A1991" s="1">
        <v>43630</v>
      </c>
      <c r="B1991">
        <v>3.18</v>
      </c>
      <c r="C1991">
        <v>3.35</v>
      </c>
      <c r="D1991">
        <v>3</v>
      </c>
      <c r="E1991">
        <v>15</v>
      </c>
      <c r="F1991">
        <v>2</v>
      </c>
      <c r="G1991">
        <v>1</v>
      </c>
      <c r="H1991">
        <v>0</v>
      </c>
      <c r="I1991">
        <v>6</v>
      </c>
      <c r="J1991">
        <v>2019</v>
      </c>
      <c r="K1991">
        <v>6</v>
      </c>
      <c r="L1991">
        <v>276</v>
      </c>
      <c r="M1991" t="s">
        <v>13</v>
      </c>
    </row>
    <row r="1992" spans="1:13" x14ac:dyDescent="0.3">
      <c r="A1992" s="1">
        <v>43631</v>
      </c>
      <c r="B1992">
        <v>7</v>
      </c>
      <c r="C1992">
        <v>3.4630000000000001</v>
      </c>
      <c r="D1992">
        <v>5</v>
      </c>
      <c r="E1992">
        <v>15</v>
      </c>
      <c r="F1992">
        <v>13</v>
      </c>
      <c r="G1992">
        <v>0</v>
      </c>
      <c r="H1992">
        <v>7</v>
      </c>
      <c r="I1992">
        <v>8</v>
      </c>
      <c r="J1992">
        <v>2019</v>
      </c>
      <c r="K1992">
        <v>6</v>
      </c>
      <c r="L1992">
        <v>276</v>
      </c>
      <c r="M1992" t="s">
        <v>14</v>
      </c>
    </row>
    <row r="1993" spans="1:13" x14ac:dyDescent="0.3">
      <c r="A1993" s="1">
        <v>43632</v>
      </c>
      <c r="B1993">
        <v>4</v>
      </c>
      <c r="C1993">
        <v>5.35</v>
      </c>
      <c r="D1993">
        <v>3</v>
      </c>
      <c r="E1993">
        <v>18</v>
      </c>
      <c r="F1993">
        <v>2</v>
      </c>
      <c r="G1993">
        <v>0</v>
      </c>
      <c r="H1993">
        <v>0</v>
      </c>
      <c r="I1993">
        <v>9</v>
      </c>
      <c r="J1993">
        <v>2019</v>
      </c>
      <c r="K1993">
        <v>6</v>
      </c>
      <c r="L1993">
        <v>276</v>
      </c>
      <c r="M1993" t="s">
        <v>15</v>
      </c>
    </row>
    <row r="1994" spans="1:13" x14ac:dyDescent="0.3">
      <c r="A1994" s="1">
        <v>43633</v>
      </c>
      <c r="B1994">
        <v>6.66</v>
      </c>
      <c r="C1994">
        <v>4.66</v>
      </c>
      <c r="D1994">
        <v>3</v>
      </c>
      <c r="E1994">
        <v>18</v>
      </c>
      <c r="F1994">
        <v>6</v>
      </c>
      <c r="G1994">
        <v>0</v>
      </c>
      <c r="H1994">
        <v>2</v>
      </c>
      <c r="I1994">
        <v>2.34</v>
      </c>
      <c r="J1994">
        <v>2019</v>
      </c>
      <c r="K1994">
        <v>6</v>
      </c>
      <c r="L1994">
        <v>276</v>
      </c>
      <c r="M1994" t="s">
        <v>16</v>
      </c>
    </row>
    <row r="1995" spans="1:13" x14ac:dyDescent="0.3">
      <c r="A1995" s="1">
        <v>43634</v>
      </c>
      <c r="B1995">
        <v>5</v>
      </c>
      <c r="C1995">
        <v>4.21</v>
      </c>
      <c r="D1995">
        <v>3</v>
      </c>
      <c r="E1995">
        <v>29.5</v>
      </c>
      <c r="F1995">
        <v>8</v>
      </c>
      <c r="G1995">
        <v>0</v>
      </c>
      <c r="H1995">
        <v>2</v>
      </c>
      <c r="I1995">
        <v>12.1</v>
      </c>
      <c r="J1995">
        <v>2019</v>
      </c>
      <c r="K1995">
        <v>6</v>
      </c>
      <c r="L1995">
        <v>276</v>
      </c>
      <c r="M1995" t="s">
        <v>17</v>
      </c>
    </row>
    <row r="1996" spans="1:13" x14ac:dyDescent="0.3">
      <c r="A1996" s="1">
        <v>43635</v>
      </c>
      <c r="B1996">
        <v>3.67</v>
      </c>
      <c r="C1996">
        <v>3.0329999999999999</v>
      </c>
      <c r="D1996">
        <v>3</v>
      </c>
      <c r="E1996">
        <v>18</v>
      </c>
      <c r="F1996">
        <v>6</v>
      </c>
      <c r="G1996">
        <v>1</v>
      </c>
      <c r="H1996">
        <v>2</v>
      </c>
      <c r="I1996">
        <v>5.5</v>
      </c>
      <c r="J1996">
        <v>2019</v>
      </c>
      <c r="K1996">
        <v>6</v>
      </c>
      <c r="L1996">
        <v>276</v>
      </c>
      <c r="M1996" t="s">
        <v>18</v>
      </c>
    </row>
    <row r="1997" spans="1:13" x14ac:dyDescent="0.3">
      <c r="A1997" s="1">
        <v>43636</v>
      </c>
      <c r="B1997">
        <v>5</v>
      </c>
      <c r="C1997">
        <v>4.3630000000000004</v>
      </c>
      <c r="D1997">
        <v>3</v>
      </c>
      <c r="E1997">
        <v>15</v>
      </c>
      <c r="F1997">
        <v>9</v>
      </c>
      <c r="G1997">
        <v>4</v>
      </c>
      <c r="H1997">
        <v>0</v>
      </c>
      <c r="I1997">
        <v>4</v>
      </c>
      <c r="J1997">
        <v>2019</v>
      </c>
      <c r="K1997">
        <v>6</v>
      </c>
      <c r="L1997">
        <v>276</v>
      </c>
      <c r="M1997" t="s">
        <v>12</v>
      </c>
    </row>
    <row r="1998" spans="1:13" x14ac:dyDescent="0.3">
      <c r="A1998" s="1">
        <v>43637</v>
      </c>
      <c r="B1998">
        <v>3</v>
      </c>
      <c r="C1998">
        <v>2.33</v>
      </c>
      <c r="D1998">
        <v>3</v>
      </c>
      <c r="E1998">
        <v>24.8</v>
      </c>
      <c r="F1998">
        <v>8</v>
      </c>
      <c r="G1998">
        <v>3</v>
      </c>
      <c r="H1998">
        <v>4</v>
      </c>
      <c r="I1998">
        <v>6</v>
      </c>
      <c r="J1998">
        <v>2019</v>
      </c>
      <c r="K1998">
        <v>6</v>
      </c>
      <c r="L1998">
        <v>276</v>
      </c>
      <c r="M1998" t="s">
        <v>13</v>
      </c>
    </row>
    <row r="1999" spans="1:13" x14ac:dyDescent="0.3">
      <c r="A1999" s="1">
        <v>43638</v>
      </c>
      <c r="B1999">
        <v>3</v>
      </c>
      <c r="C1999">
        <v>4</v>
      </c>
      <c r="D1999">
        <v>0</v>
      </c>
      <c r="E1999">
        <v>25</v>
      </c>
      <c r="F1999">
        <v>11</v>
      </c>
      <c r="G1999">
        <v>2</v>
      </c>
      <c r="H1999">
        <v>12</v>
      </c>
      <c r="I1999">
        <v>5</v>
      </c>
      <c r="J1999">
        <v>2019</v>
      </c>
      <c r="K1999">
        <v>6</v>
      </c>
      <c r="L1999">
        <v>276</v>
      </c>
      <c r="M1999" t="s">
        <v>14</v>
      </c>
    </row>
    <row r="2000" spans="1:13" x14ac:dyDescent="0.3">
      <c r="A2000" s="1">
        <v>43639</v>
      </c>
      <c r="B2000">
        <v>9.33</v>
      </c>
      <c r="C2000">
        <v>4.7919999999999998</v>
      </c>
      <c r="D2000">
        <v>5.5</v>
      </c>
      <c r="E2000">
        <v>18.2</v>
      </c>
      <c r="F2000">
        <v>1</v>
      </c>
      <c r="G2000">
        <v>0</v>
      </c>
      <c r="H2000">
        <v>10</v>
      </c>
      <c r="I2000">
        <v>1</v>
      </c>
      <c r="J2000">
        <v>2019</v>
      </c>
      <c r="K2000">
        <v>6</v>
      </c>
      <c r="L2000">
        <v>276</v>
      </c>
      <c r="M2000" t="s">
        <v>15</v>
      </c>
    </row>
    <row r="2001" spans="1:13" x14ac:dyDescent="0.3">
      <c r="A2001" s="1">
        <v>43640</v>
      </c>
      <c r="B2001">
        <v>10</v>
      </c>
      <c r="C2001">
        <v>4.68</v>
      </c>
      <c r="D2001">
        <v>3.1</v>
      </c>
      <c r="E2001">
        <v>19</v>
      </c>
      <c r="F2001">
        <v>9</v>
      </c>
      <c r="G2001">
        <v>3</v>
      </c>
      <c r="H2001">
        <v>3</v>
      </c>
      <c r="I2001">
        <v>7</v>
      </c>
      <c r="J2001">
        <v>2019</v>
      </c>
      <c r="K2001">
        <v>6</v>
      </c>
      <c r="L2001">
        <v>276</v>
      </c>
      <c r="M2001" t="s">
        <v>16</v>
      </c>
    </row>
    <row r="2002" spans="1:13" x14ac:dyDescent="0.3">
      <c r="A2002" s="1">
        <v>43641</v>
      </c>
      <c r="B2002">
        <v>2.34</v>
      </c>
      <c r="C2002">
        <v>2.6379999999999999</v>
      </c>
      <c r="D2002">
        <v>5</v>
      </c>
      <c r="E2002">
        <v>12</v>
      </c>
      <c r="F2002">
        <v>10</v>
      </c>
      <c r="G2002">
        <v>1</v>
      </c>
      <c r="H2002">
        <v>0</v>
      </c>
      <c r="I2002">
        <v>3</v>
      </c>
      <c r="J2002">
        <v>2019</v>
      </c>
      <c r="K2002">
        <v>6</v>
      </c>
      <c r="L2002">
        <v>276</v>
      </c>
      <c r="M2002" t="s">
        <v>17</v>
      </c>
    </row>
    <row r="2003" spans="1:13" x14ac:dyDescent="0.3">
      <c r="A2003" s="1">
        <v>43642</v>
      </c>
      <c r="B2003">
        <v>2</v>
      </c>
      <c r="C2003">
        <v>3.44</v>
      </c>
      <c r="D2003">
        <v>1</v>
      </c>
      <c r="E2003">
        <v>11.6</v>
      </c>
      <c r="F2003">
        <v>5</v>
      </c>
      <c r="G2003">
        <v>1</v>
      </c>
      <c r="H2003">
        <v>0</v>
      </c>
      <c r="I2003">
        <v>5</v>
      </c>
      <c r="J2003">
        <v>2019</v>
      </c>
      <c r="K2003">
        <v>6</v>
      </c>
      <c r="L2003">
        <v>276</v>
      </c>
      <c r="M2003" t="s">
        <v>18</v>
      </c>
    </row>
    <row r="2004" spans="1:13" x14ac:dyDescent="0.3">
      <c r="A2004" s="1">
        <v>43643</v>
      </c>
      <c r="B2004">
        <v>8.16</v>
      </c>
      <c r="C2004">
        <v>6.33</v>
      </c>
      <c r="D2004">
        <v>4</v>
      </c>
      <c r="E2004">
        <v>15</v>
      </c>
      <c r="F2004">
        <v>5</v>
      </c>
      <c r="G2004">
        <v>1</v>
      </c>
      <c r="H2004">
        <v>7</v>
      </c>
      <c r="I2004">
        <v>2</v>
      </c>
      <c r="J2004">
        <v>2019</v>
      </c>
      <c r="K2004">
        <v>6</v>
      </c>
      <c r="L2004">
        <v>276</v>
      </c>
      <c r="M2004" t="s">
        <v>12</v>
      </c>
    </row>
    <row r="2005" spans="1:13" x14ac:dyDescent="0.3">
      <c r="A2005" s="1">
        <v>43644</v>
      </c>
      <c r="B2005">
        <v>4.33</v>
      </c>
      <c r="C2005">
        <v>1.496</v>
      </c>
      <c r="D2005">
        <v>2</v>
      </c>
      <c r="E2005">
        <v>15</v>
      </c>
      <c r="F2005">
        <v>5</v>
      </c>
      <c r="G2005">
        <v>0</v>
      </c>
      <c r="H2005">
        <v>2</v>
      </c>
      <c r="I2005">
        <v>3</v>
      </c>
      <c r="J2005">
        <v>2019</v>
      </c>
      <c r="K2005">
        <v>6</v>
      </c>
      <c r="L2005">
        <v>276</v>
      </c>
      <c r="M2005" t="s">
        <v>13</v>
      </c>
    </row>
    <row r="2006" spans="1:13" x14ac:dyDescent="0.3">
      <c r="A2006" s="1">
        <v>43645</v>
      </c>
      <c r="B2006">
        <v>1.18</v>
      </c>
      <c r="C2006">
        <v>5.7</v>
      </c>
      <c r="D2006">
        <v>5</v>
      </c>
      <c r="E2006">
        <v>18.3</v>
      </c>
      <c r="F2006">
        <v>2</v>
      </c>
      <c r="G2006">
        <v>0</v>
      </c>
      <c r="H2006">
        <v>5</v>
      </c>
      <c r="I2006">
        <v>2</v>
      </c>
      <c r="J2006">
        <v>2019</v>
      </c>
      <c r="K2006">
        <v>6</v>
      </c>
      <c r="L2006">
        <v>276</v>
      </c>
      <c r="M2006" t="s">
        <v>14</v>
      </c>
    </row>
    <row r="2007" spans="1:13" x14ac:dyDescent="0.3">
      <c r="A2007" s="1">
        <v>43646</v>
      </c>
      <c r="B2007">
        <v>6</v>
      </c>
      <c r="C2007">
        <v>6.1589999999999998</v>
      </c>
      <c r="D2007">
        <v>0</v>
      </c>
      <c r="E2007">
        <v>40</v>
      </c>
      <c r="F2007">
        <v>5</v>
      </c>
      <c r="G2007">
        <v>0</v>
      </c>
      <c r="H2007">
        <v>11</v>
      </c>
      <c r="I2007">
        <v>5</v>
      </c>
      <c r="J2007">
        <v>2019</v>
      </c>
      <c r="K2007">
        <v>6</v>
      </c>
      <c r="L2007">
        <v>276</v>
      </c>
      <c r="M2007" t="s">
        <v>15</v>
      </c>
    </row>
    <row r="2008" spans="1:13" x14ac:dyDescent="0.3">
      <c r="A2008" s="1">
        <v>43647</v>
      </c>
      <c r="B2008">
        <v>5.33</v>
      </c>
      <c r="C2008">
        <v>2</v>
      </c>
      <c r="D2008">
        <v>1</v>
      </c>
      <c r="E2008">
        <v>14</v>
      </c>
      <c r="F2008">
        <v>7</v>
      </c>
      <c r="G2008">
        <v>0</v>
      </c>
      <c r="H2008">
        <v>8</v>
      </c>
      <c r="I2008">
        <v>4</v>
      </c>
      <c r="J2008">
        <v>2019</v>
      </c>
      <c r="K2008">
        <v>7</v>
      </c>
      <c r="L2008">
        <v>276</v>
      </c>
      <c r="M2008" t="s">
        <v>16</v>
      </c>
    </row>
    <row r="2009" spans="1:13" x14ac:dyDescent="0.3">
      <c r="A2009" s="1">
        <v>43648</v>
      </c>
      <c r="B2009">
        <v>5.66</v>
      </c>
      <c r="C2009">
        <v>3.012</v>
      </c>
      <c r="D2009">
        <v>4</v>
      </c>
      <c r="E2009">
        <v>14</v>
      </c>
      <c r="F2009">
        <v>9</v>
      </c>
      <c r="G2009">
        <v>0</v>
      </c>
      <c r="H2009">
        <v>1</v>
      </c>
      <c r="I2009">
        <v>4.3</v>
      </c>
      <c r="J2009">
        <v>2019</v>
      </c>
      <c r="K2009">
        <v>7</v>
      </c>
      <c r="L2009">
        <v>276</v>
      </c>
      <c r="M2009" t="s">
        <v>17</v>
      </c>
    </row>
    <row r="2010" spans="1:13" x14ac:dyDescent="0.3">
      <c r="A2010" s="1">
        <v>43649</v>
      </c>
      <c r="B2010">
        <v>4</v>
      </c>
      <c r="C2010">
        <v>2.8490000000000002</v>
      </c>
      <c r="D2010">
        <v>4</v>
      </c>
      <c r="E2010">
        <v>30.05</v>
      </c>
      <c r="F2010">
        <v>9</v>
      </c>
      <c r="G2010">
        <v>0</v>
      </c>
      <c r="H2010">
        <v>1</v>
      </c>
      <c r="I2010">
        <v>4</v>
      </c>
      <c r="J2010">
        <v>2019</v>
      </c>
      <c r="K2010">
        <v>7</v>
      </c>
      <c r="L2010">
        <v>276</v>
      </c>
      <c r="M2010" t="s">
        <v>18</v>
      </c>
    </row>
    <row r="2011" spans="1:13" x14ac:dyDescent="0.3">
      <c r="A2011" s="1">
        <v>43650</v>
      </c>
      <c r="B2011">
        <v>5.33</v>
      </c>
      <c r="C2011">
        <v>1.67</v>
      </c>
      <c r="D2011">
        <v>0</v>
      </c>
      <c r="E2011">
        <v>13</v>
      </c>
      <c r="F2011">
        <v>7</v>
      </c>
      <c r="G2011">
        <v>1</v>
      </c>
      <c r="H2011">
        <v>3</v>
      </c>
      <c r="I2011">
        <v>6.5</v>
      </c>
      <c r="J2011">
        <v>2019</v>
      </c>
      <c r="K2011">
        <v>7</v>
      </c>
      <c r="L2011">
        <v>276</v>
      </c>
      <c r="M2011" t="s">
        <v>12</v>
      </c>
    </row>
    <row r="2012" spans="1:13" x14ac:dyDescent="0.3">
      <c r="A2012" s="1">
        <v>43651</v>
      </c>
      <c r="B2012">
        <v>4.33</v>
      </c>
      <c r="C2012">
        <v>3.08</v>
      </c>
      <c r="D2012">
        <v>4</v>
      </c>
      <c r="E2012">
        <v>20</v>
      </c>
      <c r="F2012">
        <v>11</v>
      </c>
      <c r="G2012">
        <v>0</v>
      </c>
      <c r="H2012">
        <v>0</v>
      </c>
      <c r="I2012">
        <v>2</v>
      </c>
      <c r="J2012">
        <v>2019</v>
      </c>
      <c r="K2012">
        <v>7</v>
      </c>
      <c r="L2012">
        <v>276</v>
      </c>
      <c r="M2012" t="s">
        <v>13</v>
      </c>
    </row>
    <row r="2013" spans="1:13" x14ac:dyDescent="0.3">
      <c r="A2013" s="1">
        <v>43652</v>
      </c>
      <c r="B2013">
        <v>4.34</v>
      </c>
      <c r="C2013">
        <v>1.7030000000000001</v>
      </c>
      <c r="D2013">
        <v>3</v>
      </c>
      <c r="E2013">
        <v>16</v>
      </c>
      <c r="F2013">
        <v>2</v>
      </c>
      <c r="G2013">
        <v>0</v>
      </c>
      <c r="H2013">
        <v>1</v>
      </c>
      <c r="I2013">
        <v>3</v>
      </c>
      <c r="J2013">
        <v>2019</v>
      </c>
      <c r="K2013">
        <v>7</v>
      </c>
      <c r="L2013">
        <v>276</v>
      </c>
      <c r="M2013" t="s">
        <v>14</v>
      </c>
    </row>
    <row r="2014" spans="1:13" x14ac:dyDescent="0.3">
      <c r="A2014" s="1">
        <v>43653</v>
      </c>
      <c r="B2014">
        <v>5.66</v>
      </c>
      <c r="C2014">
        <v>6.4630000000000001</v>
      </c>
      <c r="D2014">
        <v>3</v>
      </c>
      <c r="E2014">
        <v>25</v>
      </c>
      <c r="F2014">
        <v>2</v>
      </c>
      <c r="G2014">
        <v>0</v>
      </c>
      <c r="H2014">
        <v>3</v>
      </c>
      <c r="I2014">
        <v>5</v>
      </c>
      <c r="J2014">
        <v>2019</v>
      </c>
      <c r="K2014">
        <v>7</v>
      </c>
      <c r="L2014">
        <v>276</v>
      </c>
      <c r="M2014" t="s">
        <v>15</v>
      </c>
    </row>
    <row r="2015" spans="1:13" x14ac:dyDescent="0.3">
      <c r="A2015" s="1">
        <v>43654</v>
      </c>
      <c r="B2015">
        <v>6</v>
      </c>
      <c r="C2015">
        <v>4.3730000000000002</v>
      </c>
      <c r="D2015">
        <v>2</v>
      </c>
      <c r="E2015">
        <v>21.4</v>
      </c>
      <c r="F2015">
        <v>9.1999999999999993</v>
      </c>
      <c r="G2015">
        <v>1</v>
      </c>
      <c r="H2015">
        <v>4</v>
      </c>
      <c r="I2015">
        <v>4</v>
      </c>
      <c r="J2015">
        <v>2019</v>
      </c>
      <c r="K2015">
        <v>7</v>
      </c>
      <c r="L2015">
        <v>276</v>
      </c>
      <c r="M2015" t="s">
        <v>16</v>
      </c>
    </row>
    <row r="2016" spans="1:13" x14ac:dyDescent="0.3">
      <c r="A2016" s="1">
        <v>43655</v>
      </c>
      <c r="B2016">
        <v>2.67</v>
      </c>
      <c r="C2016">
        <v>2.7029999999999998</v>
      </c>
      <c r="D2016">
        <v>8</v>
      </c>
      <c r="E2016">
        <v>15</v>
      </c>
      <c r="F2016">
        <v>12</v>
      </c>
      <c r="G2016">
        <v>4</v>
      </c>
      <c r="H2016">
        <v>3</v>
      </c>
      <c r="I2016">
        <v>2</v>
      </c>
      <c r="J2016">
        <v>2019</v>
      </c>
      <c r="K2016">
        <v>7</v>
      </c>
      <c r="L2016">
        <v>276</v>
      </c>
      <c r="M2016" t="s">
        <v>17</v>
      </c>
    </row>
    <row r="2017" spans="1:13" x14ac:dyDescent="0.3">
      <c r="A2017" s="1">
        <v>43656</v>
      </c>
      <c r="B2017">
        <v>10</v>
      </c>
      <c r="C2017">
        <v>5.67</v>
      </c>
      <c r="D2017">
        <v>5</v>
      </c>
      <c r="E2017">
        <v>19.600000000000001</v>
      </c>
      <c r="F2017">
        <v>10.199999999999999</v>
      </c>
      <c r="G2017">
        <v>0</v>
      </c>
      <c r="H2017">
        <v>1</v>
      </c>
      <c r="I2017">
        <v>4</v>
      </c>
      <c r="J2017">
        <v>2019</v>
      </c>
      <c r="K2017">
        <v>7</v>
      </c>
      <c r="L2017">
        <v>276</v>
      </c>
      <c r="M2017" t="s">
        <v>18</v>
      </c>
    </row>
    <row r="2018" spans="1:13" x14ac:dyDescent="0.3">
      <c r="A2018" s="1">
        <v>43657</v>
      </c>
      <c r="B2018">
        <v>3.33</v>
      </c>
      <c r="C2018">
        <v>4.726</v>
      </c>
      <c r="D2018">
        <v>4</v>
      </c>
      <c r="E2018">
        <v>19</v>
      </c>
      <c r="F2018">
        <v>7</v>
      </c>
      <c r="G2018">
        <v>0</v>
      </c>
      <c r="H2018">
        <v>0</v>
      </c>
      <c r="I2018">
        <v>3</v>
      </c>
      <c r="J2018">
        <v>2019</v>
      </c>
      <c r="K2018">
        <v>7</v>
      </c>
      <c r="L2018">
        <v>276</v>
      </c>
      <c r="M2018" t="s">
        <v>12</v>
      </c>
    </row>
    <row r="2019" spans="1:13" x14ac:dyDescent="0.3">
      <c r="A2019" s="1">
        <v>43658</v>
      </c>
      <c r="B2019">
        <v>11</v>
      </c>
      <c r="C2019">
        <v>5.09</v>
      </c>
      <c r="D2019">
        <v>4.05</v>
      </c>
      <c r="E2019">
        <v>34</v>
      </c>
      <c r="F2019">
        <v>7.2</v>
      </c>
      <c r="G2019">
        <v>0</v>
      </c>
      <c r="H2019">
        <v>2</v>
      </c>
      <c r="I2019">
        <v>2</v>
      </c>
      <c r="J2019">
        <v>2019</v>
      </c>
      <c r="K2019">
        <v>7</v>
      </c>
      <c r="L2019">
        <v>276</v>
      </c>
      <c r="M2019" t="s">
        <v>13</v>
      </c>
    </row>
    <row r="2020" spans="1:13" x14ac:dyDescent="0.3">
      <c r="A2020" s="1">
        <v>43659</v>
      </c>
      <c r="B2020">
        <v>5</v>
      </c>
      <c r="C2020">
        <v>3.4169999999999998</v>
      </c>
      <c r="D2020">
        <v>1</v>
      </c>
      <c r="E2020">
        <v>17.600000000000001</v>
      </c>
      <c r="F2020">
        <v>5</v>
      </c>
      <c r="G2020">
        <v>3</v>
      </c>
      <c r="H2020">
        <v>0</v>
      </c>
      <c r="I2020">
        <v>5</v>
      </c>
      <c r="J2020">
        <v>2019</v>
      </c>
      <c r="K2020">
        <v>7</v>
      </c>
      <c r="L2020">
        <v>276</v>
      </c>
      <c r="M2020" t="s">
        <v>14</v>
      </c>
    </row>
    <row r="2021" spans="1:13" x14ac:dyDescent="0.3">
      <c r="A2021" s="1">
        <v>43660</v>
      </c>
      <c r="B2021">
        <v>6</v>
      </c>
      <c r="C2021">
        <v>5.34</v>
      </c>
      <c r="D2021">
        <v>4</v>
      </c>
      <c r="E2021">
        <v>23</v>
      </c>
      <c r="F2021">
        <v>3</v>
      </c>
      <c r="G2021">
        <v>0</v>
      </c>
      <c r="H2021">
        <v>5</v>
      </c>
      <c r="I2021">
        <v>1</v>
      </c>
      <c r="J2021">
        <v>2019</v>
      </c>
      <c r="K2021">
        <v>7</v>
      </c>
      <c r="L2021">
        <v>276</v>
      </c>
      <c r="M2021" t="s">
        <v>15</v>
      </c>
    </row>
    <row r="2022" spans="1:13" x14ac:dyDescent="0.3">
      <c r="A2022" s="1">
        <v>43661</v>
      </c>
      <c r="B2022">
        <v>7.33</v>
      </c>
      <c r="C2022">
        <v>1.67</v>
      </c>
      <c r="D2022">
        <v>4.55</v>
      </c>
      <c r="E2022">
        <v>24</v>
      </c>
      <c r="F2022">
        <v>6</v>
      </c>
      <c r="G2022">
        <v>1</v>
      </c>
      <c r="H2022">
        <v>0</v>
      </c>
      <c r="I2022">
        <v>7</v>
      </c>
      <c r="J2022">
        <v>2019</v>
      </c>
      <c r="K2022">
        <v>7</v>
      </c>
      <c r="L2022">
        <v>276</v>
      </c>
      <c r="M2022" t="s">
        <v>16</v>
      </c>
    </row>
    <row r="2023" spans="1:13" x14ac:dyDescent="0.3">
      <c r="A2023" s="1">
        <v>43662</v>
      </c>
      <c r="B2023">
        <v>7</v>
      </c>
      <c r="C2023">
        <v>3.34</v>
      </c>
      <c r="D2023">
        <v>3</v>
      </c>
      <c r="E2023">
        <v>14</v>
      </c>
      <c r="F2023">
        <v>7</v>
      </c>
      <c r="G2023">
        <v>0</v>
      </c>
      <c r="H2023">
        <v>2</v>
      </c>
      <c r="I2023">
        <v>4</v>
      </c>
      <c r="J2023">
        <v>2019</v>
      </c>
      <c r="K2023">
        <v>7</v>
      </c>
      <c r="L2023">
        <v>276</v>
      </c>
      <c r="M2023" t="s">
        <v>17</v>
      </c>
    </row>
    <row r="2024" spans="1:13" x14ac:dyDescent="0.3">
      <c r="A2024" s="1">
        <v>43663</v>
      </c>
      <c r="B2024">
        <v>3.99</v>
      </c>
      <c r="C2024">
        <v>0.157</v>
      </c>
      <c r="D2024">
        <v>2.5</v>
      </c>
      <c r="E2024">
        <v>26</v>
      </c>
      <c r="F2024">
        <v>7</v>
      </c>
      <c r="G2024">
        <v>1</v>
      </c>
      <c r="H2024">
        <v>0</v>
      </c>
      <c r="I2024">
        <v>2</v>
      </c>
      <c r="J2024">
        <v>2019</v>
      </c>
      <c r="K2024">
        <v>7</v>
      </c>
      <c r="L2024">
        <v>276</v>
      </c>
      <c r="M2024" t="s">
        <v>18</v>
      </c>
    </row>
    <row r="2025" spans="1:13" x14ac:dyDescent="0.3">
      <c r="A2025" s="1">
        <v>43664</v>
      </c>
      <c r="B2025">
        <v>11</v>
      </c>
      <c r="C2025">
        <v>3.33</v>
      </c>
      <c r="D2025">
        <v>1.3</v>
      </c>
      <c r="E2025">
        <v>24</v>
      </c>
      <c r="F2025">
        <v>11</v>
      </c>
      <c r="G2025">
        <v>0</v>
      </c>
      <c r="H2025">
        <v>3</v>
      </c>
      <c r="I2025">
        <v>3</v>
      </c>
      <c r="J2025">
        <v>2019</v>
      </c>
      <c r="K2025">
        <v>7</v>
      </c>
      <c r="L2025">
        <v>276</v>
      </c>
      <c r="M2025" t="s">
        <v>12</v>
      </c>
    </row>
    <row r="2026" spans="1:13" x14ac:dyDescent="0.3">
      <c r="A2026" s="1">
        <v>43665</v>
      </c>
      <c r="B2026">
        <v>7.33</v>
      </c>
      <c r="C2026">
        <v>5.34</v>
      </c>
      <c r="D2026">
        <v>4</v>
      </c>
      <c r="E2026">
        <v>28</v>
      </c>
      <c r="F2026">
        <v>15</v>
      </c>
      <c r="G2026">
        <v>0</v>
      </c>
      <c r="H2026">
        <v>3</v>
      </c>
      <c r="I2026">
        <v>7</v>
      </c>
      <c r="J2026">
        <v>2019</v>
      </c>
      <c r="K2026">
        <v>7</v>
      </c>
      <c r="L2026">
        <v>276</v>
      </c>
      <c r="M2026" t="s">
        <v>13</v>
      </c>
    </row>
    <row r="2027" spans="1:13" x14ac:dyDescent="0.3">
      <c r="A2027" s="1">
        <v>43666</v>
      </c>
      <c r="B2027">
        <v>4.34</v>
      </c>
      <c r="C2027">
        <v>4.4489999999999998</v>
      </c>
      <c r="D2027">
        <v>1</v>
      </c>
      <c r="E2027">
        <v>17.2</v>
      </c>
      <c r="F2027">
        <v>4</v>
      </c>
      <c r="G2027">
        <v>0</v>
      </c>
      <c r="H2027">
        <v>6</v>
      </c>
      <c r="I2027">
        <v>2</v>
      </c>
      <c r="J2027">
        <v>2019</v>
      </c>
      <c r="K2027">
        <v>7</v>
      </c>
      <c r="L2027">
        <v>276</v>
      </c>
      <c r="M2027" t="s">
        <v>14</v>
      </c>
    </row>
    <row r="2028" spans="1:13" x14ac:dyDescent="0.3">
      <c r="A2028" s="1">
        <v>43667</v>
      </c>
      <c r="B2028">
        <v>6.34</v>
      </c>
      <c r="C2028">
        <v>0.36299999999999999</v>
      </c>
      <c r="D2028">
        <v>1.1000000000000001</v>
      </c>
      <c r="E2028">
        <v>16</v>
      </c>
      <c r="F2028">
        <v>5</v>
      </c>
      <c r="G2028">
        <v>0</v>
      </c>
      <c r="H2028">
        <v>1</v>
      </c>
      <c r="I2028">
        <v>3</v>
      </c>
      <c r="J2028">
        <v>2019</v>
      </c>
      <c r="K2028">
        <v>7</v>
      </c>
      <c r="L2028">
        <v>276</v>
      </c>
      <c r="M2028" t="s">
        <v>15</v>
      </c>
    </row>
    <row r="2029" spans="1:13" x14ac:dyDescent="0.3">
      <c r="A2029" s="1">
        <v>43668</v>
      </c>
      <c r="B2029">
        <v>1</v>
      </c>
      <c r="C2029">
        <v>2.66</v>
      </c>
      <c r="D2029">
        <v>2</v>
      </c>
      <c r="E2029">
        <v>14.25</v>
      </c>
      <c r="F2029">
        <v>10</v>
      </c>
      <c r="G2029">
        <v>0</v>
      </c>
      <c r="H2029">
        <v>0</v>
      </c>
      <c r="I2029">
        <v>6</v>
      </c>
      <c r="J2029">
        <v>2019</v>
      </c>
      <c r="K2029">
        <v>7</v>
      </c>
      <c r="L2029">
        <v>276</v>
      </c>
      <c r="M2029" t="s">
        <v>16</v>
      </c>
    </row>
    <row r="2030" spans="1:13" x14ac:dyDescent="0.3">
      <c r="A2030" s="1">
        <v>43669</v>
      </c>
      <c r="B2030">
        <v>1.34</v>
      </c>
      <c r="C2030">
        <v>0.67</v>
      </c>
      <c r="D2030">
        <v>5.2</v>
      </c>
      <c r="E2030">
        <v>7.25</v>
      </c>
      <c r="F2030">
        <v>11</v>
      </c>
      <c r="G2030">
        <v>0</v>
      </c>
      <c r="H2030">
        <v>7</v>
      </c>
      <c r="I2030">
        <v>2.4</v>
      </c>
      <c r="J2030">
        <v>2019</v>
      </c>
      <c r="K2030">
        <v>7</v>
      </c>
      <c r="L2030">
        <v>276</v>
      </c>
      <c r="M2030" t="s">
        <v>17</v>
      </c>
    </row>
    <row r="2031" spans="1:13" x14ac:dyDescent="0.3">
      <c r="A2031" s="1">
        <v>43670</v>
      </c>
      <c r="B2031">
        <v>8</v>
      </c>
      <c r="C2031">
        <v>3.7690000000000001</v>
      </c>
      <c r="D2031">
        <v>2</v>
      </c>
      <c r="E2031">
        <v>30.875</v>
      </c>
      <c r="F2031">
        <v>19</v>
      </c>
      <c r="G2031">
        <v>0</v>
      </c>
      <c r="H2031">
        <v>2</v>
      </c>
      <c r="I2031">
        <v>1</v>
      </c>
      <c r="J2031">
        <v>2019</v>
      </c>
      <c r="K2031">
        <v>7</v>
      </c>
      <c r="L2031">
        <v>276</v>
      </c>
      <c r="M2031" t="s">
        <v>18</v>
      </c>
    </row>
    <row r="2032" spans="1:13" x14ac:dyDescent="0.3">
      <c r="A2032" s="1">
        <v>43671</v>
      </c>
      <c r="B2032">
        <v>6</v>
      </c>
      <c r="C2032">
        <v>7</v>
      </c>
      <c r="D2032">
        <v>5</v>
      </c>
      <c r="E2032">
        <v>20</v>
      </c>
      <c r="F2032">
        <v>9</v>
      </c>
      <c r="G2032">
        <v>1</v>
      </c>
      <c r="H2032">
        <v>11</v>
      </c>
      <c r="I2032">
        <v>2</v>
      </c>
      <c r="J2032">
        <v>2019</v>
      </c>
      <c r="K2032">
        <v>7</v>
      </c>
      <c r="L2032">
        <v>276</v>
      </c>
      <c r="M2032" t="s">
        <v>12</v>
      </c>
    </row>
    <row r="2033" spans="1:13" x14ac:dyDescent="0.3">
      <c r="A2033" s="1">
        <v>43672</v>
      </c>
      <c r="B2033">
        <v>12.5</v>
      </c>
      <c r="C2033">
        <v>4</v>
      </c>
      <c r="D2033">
        <v>0.1</v>
      </c>
      <c r="E2033">
        <v>17</v>
      </c>
      <c r="F2033">
        <v>12</v>
      </c>
      <c r="G2033">
        <v>0</v>
      </c>
      <c r="H2033">
        <v>8</v>
      </c>
      <c r="I2033">
        <v>3</v>
      </c>
      <c r="J2033">
        <v>2019</v>
      </c>
      <c r="K2033">
        <v>7</v>
      </c>
      <c r="L2033">
        <v>276</v>
      </c>
      <c r="M2033" t="s">
        <v>13</v>
      </c>
    </row>
    <row r="2034" spans="1:13" x14ac:dyDescent="0.3">
      <c r="A2034" s="1">
        <v>43673</v>
      </c>
      <c r="B2034">
        <v>3.34</v>
      </c>
      <c r="C2034">
        <v>0</v>
      </c>
      <c r="D2034">
        <v>1</v>
      </c>
      <c r="E2034">
        <v>22</v>
      </c>
      <c r="F2034">
        <v>6</v>
      </c>
      <c r="G2034">
        <v>3</v>
      </c>
      <c r="H2034">
        <v>2</v>
      </c>
      <c r="I2034">
        <v>3.4</v>
      </c>
      <c r="J2034">
        <v>2019</v>
      </c>
      <c r="K2034">
        <v>7</v>
      </c>
      <c r="L2034">
        <v>276</v>
      </c>
      <c r="M2034" t="s">
        <v>14</v>
      </c>
    </row>
    <row r="2035" spans="1:13" x14ac:dyDescent="0.3">
      <c r="A2035" s="1">
        <v>43674</v>
      </c>
      <c r="B2035">
        <v>4.34</v>
      </c>
      <c r="C2035">
        <v>1.34</v>
      </c>
      <c r="D2035">
        <v>4</v>
      </c>
      <c r="E2035">
        <v>13</v>
      </c>
      <c r="F2035">
        <v>3</v>
      </c>
      <c r="G2035">
        <v>1</v>
      </c>
      <c r="H2035">
        <v>0</v>
      </c>
      <c r="I2035">
        <v>0.6</v>
      </c>
      <c r="J2035">
        <v>2019</v>
      </c>
      <c r="K2035">
        <v>7</v>
      </c>
      <c r="L2035">
        <v>276</v>
      </c>
      <c r="M2035" t="s">
        <v>15</v>
      </c>
    </row>
    <row r="2036" spans="1:13" x14ac:dyDescent="0.3">
      <c r="A2036" s="1">
        <v>43675</v>
      </c>
      <c r="B2036">
        <v>9</v>
      </c>
      <c r="C2036">
        <v>4.33</v>
      </c>
      <c r="D2036">
        <v>2</v>
      </c>
      <c r="E2036">
        <v>25.45</v>
      </c>
      <c r="F2036">
        <v>12</v>
      </c>
      <c r="G2036">
        <v>0</v>
      </c>
      <c r="H2036">
        <v>1</v>
      </c>
      <c r="I2036">
        <v>2</v>
      </c>
      <c r="J2036">
        <v>2019</v>
      </c>
      <c r="K2036">
        <v>7</v>
      </c>
      <c r="L2036">
        <v>276</v>
      </c>
      <c r="M2036" t="s">
        <v>16</v>
      </c>
    </row>
    <row r="2037" spans="1:13" x14ac:dyDescent="0.3">
      <c r="A2037" s="1">
        <v>43676</v>
      </c>
      <c r="B2037">
        <v>9.5</v>
      </c>
      <c r="C2037">
        <v>6.1870000000000003</v>
      </c>
      <c r="D2037">
        <v>5</v>
      </c>
      <c r="E2037">
        <v>19</v>
      </c>
      <c r="F2037">
        <v>9</v>
      </c>
      <c r="G2037">
        <v>4</v>
      </c>
      <c r="H2037">
        <v>33</v>
      </c>
      <c r="I2037">
        <v>5</v>
      </c>
      <c r="J2037">
        <v>2019</v>
      </c>
      <c r="K2037">
        <v>7</v>
      </c>
      <c r="L2037">
        <v>276</v>
      </c>
      <c r="M2037" t="s">
        <v>17</v>
      </c>
    </row>
    <row r="2038" spans="1:13" x14ac:dyDescent="0.3">
      <c r="A2038" s="1">
        <v>43677</v>
      </c>
      <c r="B2038">
        <v>0</v>
      </c>
      <c r="C2038">
        <v>2.84</v>
      </c>
      <c r="D2038">
        <v>2</v>
      </c>
      <c r="E2038">
        <v>21</v>
      </c>
      <c r="F2038">
        <v>4</v>
      </c>
      <c r="G2038">
        <v>0</v>
      </c>
      <c r="H2038">
        <v>4</v>
      </c>
      <c r="I2038">
        <v>2</v>
      </c>
      <c r="J2038">
        <v>2019</v>
      </c>
      <c r="K2038">
        <v>7</v>
      </c>
      <c r="L2038">
        <v>276</v>
      </c>
      <c r="M2038" t="s">
        <v>18</v>
      </c>
    </row>
    <row r="2039" spans="1:13" x14ac:dyDescent="0.3">
      <c r="A2039" s="1">
        <v>43678</v>
      </c>
      <c r="B2039">
        <v>8.67</v>
      </c>
      <c r="C2039">
        <v>0.91300000000000003</v>
      </c>
      <c r="D2039">
        <v>2</v>
      </c>
      <c r="E2039">
        <v>37</v>
      </c>
      <c r="F2039">
        <v>6</v>
      </c>
      <c r="G2039">
        <v>0</v>
      </c>
      <c r="H2039">
        <v>1</v>
      </c>
      <c r="I2039">
        <v>2</v>
      </c>
      <c r="J2039">
        <v>2019</v>
      </c>
      <c r="K2039">
        <v>8</v>
      </c>
      <c r="L2039">
        <v>276</v>
      </c>
      <c r="M2039" t="s">
        <v>12</v>
      </c>
    </row>
    <row r="2040" spans="1:13" x14ac:dyDescent="0.3">
      <c r="A2040" s="1">
        <v>43679</v>
      </c>
      <c r="B2040">
        <v>5</v>
      </c>
      <c r="C2040">
        <v>1.68</v>
      </c>
      <c r="D2040">
        <v>3</v>
      </c>
      <c r="E2040">
        <v>18</v>
      </c>
      <c r="F2040">
        <v>7</v>
      </c>
      <c r="G2040">
        <v>2</v>
      </c>
      <c r="H2040">
        <v>6</v>
      </c>
      <c r="I2040">
        <v>1</v>
      </c>
      <c r="J2040">
        <v>2019</v>
      </c>
      <c r="K2040">
        <v>8</v>
      </c>
      <c r="L2040">
        <v>276</v>
      </c>
      <c r="M2040" t="s">
        <v>13</v>
      </c>
    </row>
    <row r="2041" spans="1:13" x14ac:dyDescent="0.3">
      <c r="A2041" s="1">
        <v>43680</v>
      </c>
      <c r="B2041">
        <v>5.34</v>
      </c>
      <c r="C2041">
        <v>4.68</v>
      </c>
      <c r="D2041">
        <v>2.2999999999999998</v>
      </c>
      <c r="E2041">
        <v>12</v>
      </c>
      <c r="F2041">
        <v>6</v>
      </c>
      <c r="G2041">
        <v>5</v>
      </c>
      <c r="H2041">
        <v>1</v>
      </c>
      <c r="I2041">
        <v>3.4</v>
      </c>
      <c r="J2041">
        <v>2019</v>
      </c>
      <c r="K2041">
        <v>8</v>
      </c>
      <c r="L2041">
        <v>276</v>
      </c>
      <c r="M2041" t="s">
        <v>14</v>
      </c>
    </row>
    <row r="2042" spans="1:13" x14ac:dyDescent="0.3">
      <c r="A2042" s="1">
        <v>43681</v>
      </c>
      <c r="B2042">
        <v>6.5</v>
      </c>
      <c r="C2042">
        <v>2.67</v>
      </c>
      <c r="D2042">
        <v>5</v>
      </c>
      <c r="E2042">
        <v>24</v>
      </c>
      <c r="F2042">
        <v>10</v>
      </c>
      <c r="G2042">
        <v>0</v>
      </c>
      <c r="H2042">
        <v>2</v>
      </c>
      <c r="I2042">
        <v>4.3</v>
      </c>
      <c r="J2042">
        <v>2019</v>
      </c>
      <c r="K2042">
        <v>8</v>
      </c>
      <c r="L2042">
        <v>276</v>
      </c>
      <c r="M2042" t="s">
        <v>15</v>
      </c>
    </row>
    <row r="2043" spans="1:13" x14ac:dyDescent="0.3">
      <c r="A2043" s="1">
        <v>43682</v>
      </c>
      <c r="B2043">
        <v>4</v>
      </c>
      <c r="C2043">
        <v>1</v>
      </c>
      <c r="D2043">
        <v>4.3</v>
      </c>
      <c r="E2043">
        <v>6</v>
      </c>
      <c r="F2043">
        <v>7</v>
      </c>
      <c r="G2043">
        <v>1</v>
      </c>
      <c r="H2043">
        <v>5</v>
      </c>
      <c r="I2043">
        <v>0</v>
      </c>
      <c r="J2043">
        <v>2019</v>
      </c>
      <c r="K2043">
        <v>8</v>
      </c>
      <c r="L2043">
        <v>276</v>
      </c>
      <c r="M2043" t="s">
        <v>16</v>
      </c>
    </row>
    <row r="2044" spans="1:13" x14ac:dyDescent="0.3">
      <c r="A2044" s="1">
        <v>43683</v>
      </c>
      <c r="B2044">
        <v>10</v>
      </c>
      <c r="C2044">
        <v>4.67</v>
      </c>
      <c r="D2044">
        <v>2</v>
      </c>
      <c r="E2044">
        <v>17.25</v>
      </c>
      <c r="F2044">
        <v>4</v>
      </c>
      <c r="G2044">
        <v>0</v>
      </c>
      <c r="H2044">
        <v>6</v>
      </c>
      <c r="I2044">
        <v>6</v>
      </c>
      <c r="J2044">
        <v>2019</v>
      </c>
      <c r="K2044">
        <v>8</v>
      </c>
      <c r="L2044">
        <v>276</v>
      </c>
      <c r="M2044" t="s">
        <v>17</v>
      </c>
    </row>
    <row r="2045" spans="1:13" x14ac:dyDescent="0.3">
      <c r="A2045" s="1">
        <v>43684</v>
      </c>
      <c r="B2045">
        <v>6</v>
      </c>
      <c r="C2045">
        <v>1.7589999999999999</v>
      </c>
      <c r="D2045">
        <v>2</v>
      </c>
      <c r="E2045">
        <v>9</v>
      </c>
      <c r="F2045">
        <v>7</v>
      </c>
      <c r="G2045">
        <v>0</v>
      </c>
      <c r="H2045">
        <v>21</v>
      </c>
      <c r="I2045">
        <v>3</v>
      </c>
      <c r="J2045">
        <v>2019</v>
      </c>
      <c r="K2045">
        <v>8</v>
      </c>
      <c r="L2045">
        <v>276</v>
      </c>
      <c r="M2045" t="s">
        <v>18</v>
      </c>
    </row>
    <row r="2046" spans="1:13" x14ac:dyDescent="0.3">
      <c r="A2046" s="1">
        <v>43685</v>
      </c>
      <c r="B2046">
        <v>7.66</v>
      </c>
      <c r="C2046">
        <v>1.01</v>
      </c>
      <c r="D2046">
        <v>3</v>
      </c>
      <c r="E2046">
        <v>15</v>
      </c>
      <c r="F2046">
        <v>10</v>
      </c>
      <c r="G2046">
        <v>0</v>
      </c>
      <c r="H2046">
        <v>31</v>
      </c>
      <c r="I2046">
        <v>3</v>
      </c>
      <c r="J2046">
        <v>2019</v>
      </c>
      <c r="K2046">
        <v>8</v>
      </c>
      <c r="L2046">
        <v>276</v>
      </c>
      <c r="M2046" t="s">
        <v>12</v>
      </c>
    </row>
    <row r="2047" spans="1:13" x14ac:dyDescent="0.3">
      <c r="A2047" s="1">
        <v>43686</v>
      </c>
      <c r="B2047">
        <v>3</v>
      </c>
      <c r="C2047">
        <v>3.25</v>
      </c>
      <c r="D2047">
        <v>0</v>
      </c>
      <c r="E2047">
        <v>8</v>
      </c>
      <c r="F2047">
        <v>13</v>
      </c>
      <c r="G2047">
        <v>5</v>
      </c>
      <c r="H2047">
        <v>1</v>
      </c>
      <c r="I2047">
        <v>5</v>
      </c>
      <c r="J2047">
        <v>2019</v>
      </c>
      <c r="K2047">
        <v>8</v>
      </c>
      <c r="L2047">
        <v>276</v>
      </c>
      <c r="M2047" t="s">
        <v>13</v>
      </c>
    </row>
    <row r="2048" spans="1:13" x14ac:dyDescent="0.3">
      <c r="A2048" s="1">
        <v>43687</v>
      </c>
      <c r="B2048">
        <v>3.33</v>
      </c>
      <c r="C2048">
        <v>0.68</v>
      </c>
      <c r="D2048">
        <v>6</v>
      </c>
      <c r="E2048">
        <v>15</v>
      </c>
      <c r="F2048">
        <v>11</v>
      </c>
      <c r="G2048">
        <v>0</v>
      </c>
      <c r="H2048">
        <v>0</v>
      </c>
      <c r="I2048">
        <v>0</v>
      </c>
      <c r="J2048">
        <v>2019</v>
      </c>
      <c r="K2048">
        <v>8</v>
      </c>
      <c r="L2048">
        <v>276</v>
      </c>
      <c r="M2048" t="s">
        <v>14</v>
      </c>
    </row>
    <row r="2049" spans="1:13" x14ac:dyDescent="0.3">
      <c r="A2049" s="1">
        <v>43688</v>
      </c>
      <c r="B2049">
        <v>7</v>
      </c>
      <c r="C2049">
        <v>6.85</v>
      </c>
      <c r="D2049">
        <v>4</v>
      </c>
      <c r="E2049">
        <v>16</v>
      </c>
      <c r="F2049">
        <v>5</v>
      </c>
      <c r="G2049">
        <v>2</v>
      </c>
      <c r="H2049">
        <v>2</v>
      </c>
      <c r="I2049">
        <v>3</v>
      </c>
      <c r="J2049">
        <v>2019</v>
      </c>
      <c r="K2049">
        <v>8</v>
      </c>
      <c r="L2049">
        <v>276</v>
      </c>
      <c r="M2049" t="s">
        <v>15</v>
      </c>
    </row>
    <row r="2050" spans="1:13" x14ac:dyDescent="0.3">
      <c r="A2050" s="1">
        <v>43689</v>
      </c>
      <c r="B2050">
        <v>8.33</v>
      </c>
      <c r="C2050">
        <v>4.4960000000000004</v>
      </c>
      <c r="D2050">
        <v>1</v>
      </c>
      <c r="E2050">
        <v>36</v>
      </c>
      <c r="F2050">
        <v>11</v>
      </c>
      <c r="G2050">
        <v>1</v>
      </c>
      <c r="H2050">
        <v>5</v>
      </c>
      <c r="I2050">
        <v>3.5</v>
      </c>
      <c r="J2050">
        <v>2019</v>
      </c>
      <c r="K2050">
        <v>8</v>
      </c>
      <c r="L2050">
        <v>276</v>
      </c>
      <c r="M2050" t="s">
        <v>16</v>
      </c>
    </row>
    <row r="2051" spans="1:13" x14ac:dyDescent="0.3">
      <c r="A2051" s="1">
        <v>43690</v>
      </c>
      <c r="B2051">
        <v>8</v>
      </c>
      <c r="C2051">
        <v>1.8959999999999999</v>
      </c>
      <c r="D2051">
        <v>2</v>
      </c>
      <c r="E2051">
        <v>15</v>
      </c>
      <c r="F2051">
        <v>3</v>
      </c>
      <c r="G2051">
        <v>0</v>
      </c>
      <c r="H2051">
        <v>2</v>
      </c>
      <c r="I2051">
        <v>1</v>
      </c>
      <c r="J2051">
        <v>2019</v>
      </c>
      <c r="K2051">
        <v>8</v>
      </c>
      <c r="L2051">
        <v>276</v>
      </c>
      <c r="M2051" t="s">
        <v>17</v>
      </c>
    </row>
    <row r="2052" spans="1:13" x14ac:dyDescent="0.3">
      <c r="A2052" s="1">
        <v>43691</v>
      </c>
      <c r="B2052">
        <v>4.34</v>
      </c>
      <c r="C2052">
        <v>0.67</v>
      </c>
      <c r="D2052">
        <v>3.1</v>
      </c>
      <c r="E2052">
        <v>20</v>
      </c>
      <c r="F2052">
        <v>6</v>
      </c>
      <c r="G2052">
        <v>0</v>
      </c>
      <c r="H2052">
        <v>0</v>
      </c>
      <c r="I2052">
        <v>3</v>
      </c>
      <c r="J2052">
        <v>2019</v>
      </c>
      <c r="K2052">
        <v>8</v>
      </c>
      <c r="L2052">
        <v>276</v>
      </c>
      <c r="M2052" t="s">
        <v>18</v>
      </c>
    </row>
    <row r="2053" spans="1:13" x14ac:dyDescent="0.3">
      <c r="A2053" s="1">
        <v>43692</v>
      </c>
      <c r="B2053">
        <v>8.67</v>
      </c>
      <c r="C2053">
        <v>1.99</v>
      </c>
      <c r="D2053">
        <v>2</v>
      </c>
      <c r="E2053">
        <v>12</v>
      </c>
      <c r="F2053">
        <v>9</v>
      </c>
      <c r="G2053">
        <v>0</v>
      </c>
      <c r="H2053">
        <v>11</v>
      </c>
      <c r="I2053">
        <v>2</v>
      </c>
      <c r="J2053">
        <v>2019</v>
      </c>
      <c r="K2053">
        <v>8</v>
      </c>
      <c r="L2053">
        <v>276</v>
      </c>
      <c r="M2053" t="s">
        <v>12</v>
      </c>
    </row>
    <row r="2054" spans="1:13" x14ac:dyDescent="0.3">
      <c r="A2054" s="1">
        <v>43693</v>
      </c>
      <c r="B2054">
        <v>3.33</v>
      </c>
      <c r="C2054">
        <v>2.68</v>
      </c>
      <c r="D2054">
        <v>2</v>
      </c>
      <c r="E2054">
        <v>13</v>
      </c>
      <c r="F2054">
        <v>15</v>
      </c>
      <c r="G2054">
        <v>0</v>
      </c>
      <c r="H2054">
        <v>10</v>
      </c>
      <c r="I2054">
        <v>7</v>
      </c>
      <c r="J2054">
        <v>2019</v>
      </c>
      <c r="K2054">
        <v>8</v>
      </c>
      <c r="L2054">
        <v>276</v>
      </c>
      <c r="M2054" t="s">
        <v>13</v>
      </c>
    </row>
    <row r="2055" spans="1:13" x14ac:dyDescent="0.3">
      <c r="A2055" s="1">
        <v>43694</v>
      </c>
      <c r="B2055">
        <v>7.67</v>
      </c>
      <c r="C2055">
        <v>4.5309999999999997</v>
      </c>
      <c r="D2055">
        <v>2.4500000000000002</v>
      </c>
      <c r="E2055">
        <v>18</v>
      </c>
      <c r="F2055">
        <v>5</v>
      </c>
      <c r="G2055">
        <v>1</v>
      </c>
      <c r="H2055">
        <v>0</v>
      </c>
      <c r="I2055">
        <v>2.5</v>
      </c>
      <c r="J2055">
        <v>2019</v>
      </c>
      <c r="K2055">
        <v>8</v>
      </c>
      <c r="L2055">
        <v>276</v>
      </c>
      <c r="M2055" t="s">
        <v>14</v>
      </c>
    </row>
    <row r="2056" spans="1:13" x14ac:dyDescent="0.3">
      <c r="A2056" s="1">
        <v>43695</v>
      </c>
      <c r="B2056">
        <v>4.84</v>
      </c>
      <c r="C2056">
        <v>2.8460000000000001</v>
      </c>
      <c r="D2056">
        <v>1</v>
      </c>
      <c r="E2056">
        <v>11</v>
      </c>
      <c r="F2056">
        <v>4</v>
      </c>
      <c r="G2056">
        <v>0</v>
      </c>
      <c r="H2056">
        <v>7</v>
      </c>
      <c r="I2056">
        <v>4</v>
      </c>
      <c r="J2056">
        <v>2019</v>
      </c>
      <c r="K2056">
        <v>8</v>
      </c>
      <c r="L2056">
        <v>276</v>
      </c>
      <c r="M2056" t="s">
        <v>15</v>
      </c>
    </row>
    <row r="2057" spans="1:13" x14ac:dyDescent="0.3">
      <c r="A2057" s="1">
        <v>43696</v>
      </c>
      <c r="B2057">
        <v>3.68</v>
      </c>
      <c r="C2057">
        <v>3.67</v>
      </c>
      <c r="D2057">
        <v>4</v>
      </c>
      <c r="E2057">
        <v>9</v>
      </c>
      <c r="F2057">
        <v>11</v>
      </c>
      <c r="G2057">
        <v>2</v>
      </c>
      <c r="H2057">
        <v>0</v>
      </c>
      <c r="I2057">
        <v>4</v>
      </c>
      <c r="J2057">
        <v>2019</v>
      </c>
      <c r="K2057">
        <v>8</v>
      </c>
      <c r="L2057">
        <v>276</v>
      </c>
      <c r="M2057" t="s">
        <v>16</v>
      </c>
    </row>
    <row r="2058" spans="1:13" x14ac:dyDescent="0.3">
      <c r="A2058" s="1">
        <v>43697</v>
      </c>
      <c r="B2058">
        <v>2</v>
      </c>
      <c r="C2058">
        <v>1.32</v>
      </c>
      <c r="D2058">
        <v>2</v>
      </c>
      <c r="E2058">
        <v>13.4</v>
      </c>
      <c r="F2058">
        <v>8</v>
      </c>
      <c r="G2058">
        <v>0</v>
      </c>
      <c r="H2058">
        <v>2</v>
      </c>
      <c r="I2058">
        <v>3</v>
      </c>
      <c r="J2058">
        <v>2019</v>
      </c>
      <c r="K2058">
        <v>8</v>
      </c>
      <c r="L2058">
        <v>276</v>
      </c>
      <c r="M2058" t="s">
        <v>17</v>
      </c>
    </row>
    <row r="2059" spans="1:13" x14ac:dyDescent="0.3">
      <c r="A2059" s="1">
        <v>43698</v>
      </c>
      <c r="B2059">
        <v>4.34</v>
      </c>
      <c r="C2059">
        <v>4</v>
      </c>
      <c r="D2059">
        <v>0</v>
      </c>
      <c r="E2059">
        <v>19.45</v>
      </c>
      <c r="F2059">
        <v>10</v>
      </c>
      <c r="G2059">
        <v>0</v>
      </c>
      <c r="H2059">
        <v>5</v>
      </c>
      <c r="I2059">
        <v>3</v>
      </c>
      <c r="J2059">
        <v>2019</v>
      </c>
      <c r="K2059">
        <v>8</v>
      </c>
      <c r="L2059">
        <v>276</v>
      </c>
      <c r="M2059" t="s">
        <v>18</v>
      </c>
    </row>
    <row r="2060" spans="1:13" x14ac:dyDescent="0.3">
      <c r="A2060" s="1">
        <v>43699</v>
      </c>
      <c r="B2060">
        <v>5.34</v>
      </c>
      <c r="C2060">
        <v>4</v>
      </c>
      <c r="D2060">
        <v>2</v>
      </c>
      <c r="E2060">
        <v>20</v>
      </c>
      <c r="F2060">
        <v>8</v>
      </c>
      <c r="G2060">
        <v>2</v>
      </c>
      <c r="H2060">
        <v>10</v>
      </c>
      <c r="I2060">
        <v>3</v>
      </c>
      <c r="J2060">
        <v>2019</v>
      </c>
      <c r="K2060">
        <v>8</v>
      </c>
      <c r="L2060">
        <v>276</v>
      </c>
      <c r="M2060" t="s">
        <v>12</v>
      </c>
    </row>
    <row r="2061" spans="1:13" x14ac:dyDescent="0.3">
      <c r="A2061" s="1">
        <v>43700</v>
      </c>
      <c r="B2061">
        <v>9.67</v>
      </c>
      <c r="C2061">
        <v>5.1559999999999997</v>
      </c>
      <c r="D2061">
        <v>4.05</v>
      </c>
      <c r="E2061">
        <v>12</v>
      </c>
      <c r="F2061">
        <v>11</v>
      </c>
      <c r="G2061">
        <v>2</v>
      </c>
      <c r="H2061">
        <v>4</v>
      </c>
      <c r="I2061">
        <v>2</v>
      </c>
      <c r="J2061">
        <v>2019</v>
      </c>
      <c r="K2061">
        <v>8</v>
      </c>
      <c r="L2061">
        <v>276</v>
      </c>
      <c r="M2061" t="s">
        <v>13</v>
      </c>
    </row>
    <row r="2062" spans="1:13" x14ac:dyDescent="0.3">
      <c r="A2062" s="1">
        <v>43701</v>
      </c>
      <c r="B2062">
        <v>13.84</v>
      </c>
      <c r="C2062">
        <v>6.02</v>
      </c>
      <c r="D2062">
        <v>3</v>
      </c>
      <c r="E2062">
        <v>24.6</v>
      </c>
      <c r="F2062">
        <v>9</v>
      </c>
      <c r="G2062">
        <v>0</v>
      </c>
      <c r="H2062">
        <v>0</v>
      </c>
      <c r="I2062">
        <v>5.5</v>
      </c>
      <c r="J2062">
        <v>2019</v>
      </c>
      <c r="K2062">
        <v>8</v>
      </c>
      <c r="L2062">
        <v>276</v>
      </c>
      <c r="M2062" t="s">
        <v>14</v>
      </c>
    </row>
    <row r="2063" spans="1:13" x14ac:dyDescent="0.3">
      <c r="A2063" s="1">
        <v>43702</v>
      </c>
      <c r="B2063">
        <v>3</v>
      </c>
      <c r="C2063">
        <v>3.35</v>
      </c>
      <c r="D2063">
        <v>2</v>
      </c>
      <c r="E2063">
        <v>17</v>
      </c>
      <c r="F2063">
        <v>4</v>
      </c>
      <c r="G2063">
        <v>0</v>
      </c>
      <c r="H2063">
        <v>3</v>
      </c>
      <c r="I2063">
        <v>0</v>
      </c>
      <c r="J2063">
        <v>2019</v>
      </c>
      <c r="K2063">
        <v>8</v>
      </c>
      <c r="L2063">
        <v>276</v>
      </c>
      <c r="M2063" t="s">
        <v>15</v>
      </c>
    </row>
    <row r="2064" spans="1:13" x14ac:dyDescent="0.3">
      <c r="A2064" s="1">
        <v>43703</v>
      </c>
      <c r="B2064">
        <v>2.67</v>
      </c>
      <c r="C2064">
        <v>2.3730000000000002</v>
      </c>
      <c r="D2064">
        <v>3</v>
      </c>
      <c r="E2064">
        <v>18</v>
      </c>
      <c r="F2064">
        <v>11</v>
      </c>
      <c r="G2064">
        <v>0</v>
      </c>
      <c r="H2064">
        <v>3</v>
      </c>
      <c r="I2064">
        <v>3</v>
      </c>
      <c r="J2064">
        <v>2019</v>
      </c>
      <c r="K2064">
        <v>8</v>
      </c>
      <c r="L2064">
        <v>276</v>
      </c>
      <c r="M2064" t="s">
        <v>16</v>
      </c>
    </row>
    <row r="2065" spans="1:13" x14ac:dyDescent="0.3">
      <c r="A2065" s="1">
        <v>43704</v>
      </c>
      <c r="B2065">
        <v>2.34</v>
      </c>
      <c r="C2065">
        <v>2.0099999999999998</v>
      </c>
      <c r="D2065">
        <v>3</v>
      </c>
      <c r="E2065">
        <v>21</v>
      </c>
      <c r="F2065">
        <v>3</v>
      </c>
      <c r="G2065">
        <v>0</v>
      </c>
      <c r="H2065">
        <v>0</v>
      </c>
      <c r="I2065">
        <v>5</v>
      </c>
      <c r="J2065">
        <v>2019</v>
      </c>
      <c r="K2065">
        <v>8</v>
      </c>
      <c r="L2065">
        <v>276</v>
      </c>
      <c r="M2065" t="s">
        <v>17</v>
      </c>
    </row>
    <row r="2066" spans="1:13" x14ac:dyDescent="0.3">
      <c r="A2066" s="1">
        <v>43705</v>
      </c>
      <c r="B2066">
        <v>3.33</v>
      </c>
      <c r="C2066">
        <v>1.427</v>
      </c>
      <c r="D2066">
        <v>5</v>
      </c>
      <c r="E2066">
        <v>10</v>
      </c>
      <c r="F2066">
        <v>6</v>
      </c>
      <c r="G2066">
        <v>1</v>
      </c>
      <c r="H2066">
        <v>0</v>
      </c>
      <c r="I2066">
        <v>2</v>
      </c>
      <c r="J2066">
        <v>2019</v>
      </c>
      <c r="K2066">
        <v>8</v>
      </c>
      <c r="L2066">
        <v>276</v>
      </c>
      <c r="M2066" t="s">
        <v>18</v>
      </c>
    </row>
    <row r="2067" spans="1:13" x14ac:dyDescent="0.3">
      <c r="A2067" s="1">
        <v>43706</v>
      </c>
      <c r="B2067">
        <v>9</v>
      </c>
      <c r="C2067">
        <v>1.68</v>
      </c>
      <c r="D2067">
        <v>5</v>
      </c>
      <c r="E2067">
        <v>17.399999999999999</v>
      </c>
      <c r="F2067">
        <v>9</v>
      </c>
      <c r="G2067">
        <v>1</v>
      </c>
      <c r="H2067">
        <v>1</v>
      </c>
      <c r="I2067">
        <v>2</v>
      </c>
      <c r="J2067">
        <v>2019</v>
      </c>
      <c r="K2067">
        <v>8</v>
      </c>
      <c r="L2067">
        <v>276</v>
      </c>
      <c r="M2067" t="s">
        <v>12</v>
      </c>
    </row>
    <row r="2068" spans="1:13" x14ac:dyDescent="0.3">
      <c r="A2068" s="1">
        <v>43707</v>
      </c>
      <c r="B2068">
        <v>6.34</v>
      </c>
      <c r="C2068">
        <v>1.056</v>
      </c>
      <c r="D2068">
        <v>2</v>
      </c>
      <c r="E2068">
        <v>19</v>
      </c>
      <c r="F2068">
        <v>3</v>
      </c>
      <c r="G2068">
        <v>0</v>
      </c>
      <c r="H2068">
        <v>2</v>
      </c>
      <c r="I2068">
        <v>5.0999999999999996</v>
      </c>
      <c r="J2068">
        <v>2019</v>
      </c>
      <c r="K2068">
        <v>8</v>
      </c>
      <c r="L2068">
        <v>276</v>
      </c>
      <c r="M2068" t="s">
        <v>13</v>
      </c>
    </row>
    <row r="2069" spans="1:13" x14ac:dyDescent="0.3">
      <c r="A2069" s="1">
        <v>43708</v>
      </c>
      <c r="B2069">
        <v>4.68</v>
      </c>
      <c r="C2069">
        <v>3.9359999999999999</v>
      </c>
      <c r="D2069">
        <v>2</v>
      </c>
      <c r="E2069">
        <v>15</v>
      </c>
      <c r="F2069">
        <v>5</v>
      </c>
      <c r="G2069">
        <v>1</v>
      </c>
      <c r="H2069">
        <v>4</v>
      </c>
      <c r="I2069">
        <v>6</v>
      </c>
      <c r="J2069">
        <v>2019</v>
      </c>
      <c r="K2069">
        <v>8</v>
      </c>
      <c r="L2069">
        <v>276</v>
      </c>
      <c r="M2069" t="s">
        <v>14</v>
      </c>
    </row>
    <row r="2070" spans="1:13" x14ac:dyDescent="0.3">
      <c r="A2070" s="1">
        <v>43709</v>
      </c>
      <c r="B2070">
        <v>2</v>
      </c>
      <c r="C2070">
        <v>4.3600000000000003</v>
      </c>
      <c r="D2070">
        <v>5</v>
      </c>
      <c r="E2070">
        <v>17</v>
      </c>
      <c r="F2070">
        <v>8.1999999999999993</v>
      </c>
      <c r="G2070">
        <v>1</v>
      </c>
      <c r="H2070">
        <v>5</v>
      </c>
      <c r="I2070">
        <v>4</v>
      </c>
      <c r="J2070">
        <v>2019</v>
      </c>
      <c r="K2070">
        <v>9</v>
      </c>
      <c r="L2070">
        <v>276</v>
      </c>
      <c r="M2070" t="s">
        <v>15</v>
      </c>
    </row>
    <row r="2071" spans="1:13" x14ac:dyDescent="0.3">
      <c r="A2071" s="1">
        <v>43710</v>
      </c>
      <c r="B2071">
        <v>5.33</v>
      </c>
      <c r="C2071">
        <v>2.0870000000000002</v>
      </c>
      <c r="D2071">
        <v>2.5</v>
      </c>
      <c r="E2071">
        <v>18</v>
      </c>
      <c r="F2071">
        <v>7</v>
      </c>
      <c r="G2071">
        <v>0</v>
      </c>
      <c r="H2071">
        <v>1</v>
      </c>
      <c r="I2071">
        <v>9</v>
      </c>
      <c r="J2071">
        <v>2019</v>
      </c>
      <c r="K2071">
        <v>9</v>
      </c>
      <c r="L2071">
        <v>276</v>
      </c>
      <c r="M2071" t="s">
        <v>16</v>
      </c>
    </row>
    <row r="2072" spans="1:13" x14ac:dyDescent="0.3">
      <c r="A2072" s="1">
        <v>43711</v>
      </c>
      <c r="B2072">
        <v>9.36</v>
      </c>
      <c r="C2072">
        <v>2.35</v>
      </c>
      <c r="D2072">
        <v>3.1</v>
      </c>
      <c r="E2072">
        <v>12.125</v>
      </c>
      <c r="F2072">
        <v>8</v>
      </c>
      <c r="G2072">
        <v>3</v>
      </c>
      <c r="H2072">
        <v>1</v>
      </c>
      <c r="I2072">
        <v>2</v>
      </c>
      <c r="J2072">
        <v>2019</v>
      </c>
      <c r="K2072">
        <v>9</v>
      </c>
      <c r="L2072">
        <v>276</v>
      </c>
      <c r="M2072" t="s">
        <v>17</v>
      </c>
    </row>
    <row r="2073" spans="1:13" x14ac:dyDescent="0.3">
      <c r="A2073" s="1">
        <v>43712</v>
      </c>
      <c r="B2073">
        <v>2</v>
      </c>
      <c r="C2073">
        <v>0.373</v>
      </c>
      <c r="D2073">
        <v>2.15</v>
      </c>
      <c r="E2073">
        <v>29.23</v>
      </c>
      <c r="F2073">
        <v>7</v>
      </c>
      <c r="G2073">
        <v>0</v>
      </c>
      <c r="H2073">
        <v>3</v>
      </c>
      <c r="I2073">
        <v>3</v>
      </c>
      <c r="J2073">
        <v>2019</v>
      </c>
      <c r="K2073">
        <v>9</v>
      </c>
      <c r="L2073">
        <v>276</v>
      </c>
      <c r="M2073" t="s">
        <v>18</v>
      </c>
    </row>
    <row r="2074" spans="1:13" x14ac:dyDescent="0.3">
      <c r="A2074" s="1">
        <v>43713</v>
      </c>
      <c r="B2074">
        <v>7</v>
      </c>
      <c r="C2074">
        <v>9.5299999999999994</v>
      </c>
      <c r="D2074">
        <v>2</v>
      </c>
      <c r="E2074">
        <v>14</v>
      </c>
      <c r="F2074">
        <v>1</v>
      </c>
      <c r="G2074">
        <v>0</v>
      </c>
      <c r="H2074">
        <v>1</v>
      </c>
      <c r="I2074">
        <v>8</v>
      </c>
      <c r="J2074">
        <v>2019</v>
      </c>
      <c r="K2074">
        <v>9</v>
      </c>
      <c r="L2074">
        <v>276</v>
      </c>
      <c r="M2074" t="s">
        <v>12</v>
      </c>
    </row>
    <row r="2075" spans="1:13" x14ac:dyDescent="0.3">
      <c r="A2075" s="1">
        <v>43714</v>
      </c>
      <c r="B2075">
        <v>1.68</v>
      </c>
      <c r="C2075">
        <v>2.67</v>
      </c>
      <c r="D2075">
        <v>1</v>
      </c>
      <c r="E2075">
        <v>28.4</v>
      </c>
      <c r="F2075">
        <v>7</v>
      </c>
      <c r="G2075">
        <v>0</v>
      </c>
      <c r="H2075">
        <v>0</v>
      </c>
      <c r="I2075">
        <v>1.5</v>
      </c>
      <c r="J2075">
        <v>2019</v>
      </c>
      <c r="K2075">
        <v>9</v>
      </c>
      <c r="L2075">
        <v>276</v>
      </c>
      <c r="M2075" t="s">
        <v>13</v>
      </c>
    </row>
    <row r="2076" spans="1:13" x14ac:dyDescent="0.3">
      <c r="A2076" s="1">
        <v>43715</v>
      </c>
      <c r="B2076">
        <v>8.33</v>
      </c>
      <c r="C2076">
        <v>3.67</v>
      </c>
      <c r="D2076">
        <v>2</v>
      </c>
      <c r="E2076">
        <v>27</v>
      </c>
      <c r="F2076">
        <v>14</v>
      </c>
      <c r="G2076">
        <v>3</v>
      </c>
      <c r="H2076">
        <v>6</v>
      </c>
      <c r="I2076">
        <v>2</v>
      </c>
      <c r="J2076">
        <v>2019</v>
      </c>
      <c r="K2076">
        <v>9</v>
      </c>
      <c r="L2076">
        <v>276</v>
      </c>
      <c r="M2076" t="s">
        <v>14</v>
      </c>
    </row>
    <row r="2077" spans="1:13" x14ac:dyDescent="0.3">
      <c r="A2077" s="1">
        <v>43716</v>
      </c>
      <c r="B2077">
        <v>7.01</v>
      </c>
      <c r="C2077">
        <v>6.0869999999999997</v>
      </c>
      <c r="D2077">
        <v>3</v>
      </c>
      <c r="E2077">
        <v>26</v>
      </c>
      <c r="F2077">
        <v>7</v>
      </c>
      <c r="G2077">
        <v>0</v>
      </c>
      <c r="H2077">
        <v>3</v>
      </c>
      <c r="I2077">
        <v>3</v>
      </c>
      <c r="J2077">
        <v>2019</v>
      </c>
      <c r="K2077">
        <v>9</v>
      </c>
      <c r="L2077">
        <v>276</v>
      </c>
      <c r="M2077" t="s">
        <v>15</v>
      </c>
    </row>
    <row r="2078" spans="1:13" x14ac:dyDescent="0.3">
      <c r="A2078" s="1">
        <v>43717</v>
      </c>
      <c r="B2078">
        <v>1.18</v>
      </c>
      <c r="C2078">
        <v>2.1240000000000001</v>
      </c>
      <c r="D2078">
        <v>3</v>
      </c>
      <c r="E2078">
        <v>26</v>
      </c>
      <c r="F2078">
        <v>4</v>
      </c>
      <c r="G2078">
        <v>3</v>
      </c>
      <c r="H2078">
        <v>5</v>
      </c>
      <c r="I2078">
        <v>2</v>
      </c>
      <c r="J2078">
        <v>2019</v>
      </c>
      <c r="K2078">
        <v>9</v>
      </c>
      <c r="L2078">
        <v>276</v>
      </c>
      <c r="M2078" t="s">
        <v>16</v>
      </c>
    </row>
    <row r="2079" spans="1:13" x14ac:dyDescent="0.3">
      <c r="A2079" s="1">
        <v>43718</v>
      </c>
      <c r="B2079">
        <v>8.66</v>
      </c>
      <c r="C2079">
        <v>6.68</v>
      </c>
      <c r="D2079">
        <v>4.2</v>
      </c>
      <c r="E2079">
        <v>22</v>
      </c>
      <c r="F2079">
        <v>17</v>
      </c>
      <c r="G2079">
        <v>0</v>
      </c>
      <c r="H2079">
        <v>1</v>
      </c>
      <c r="I2079">
        <v>1</v>
      </c>
      <c r="J2079">
        <v>2019</v>
      </c>
      <c r="K2079">
        <v>9</v>
      </c>
      <c r="L2079">
        <v>276</v>
      </c>
      <c r="M2079" t="s">
        <v>17</v>
      </c>
    </row>
    <row r="2080" spans="1:13" x14ac:dyDescent="0.3">
      <c r="A2080" s="1">
        <v>43719</v>
      </c>
      <c r="B2080">
        <v>2.67</v>
      </c>
      <c r="C2080">
        <v>5.0759999999999996</v>
      </c>
      <c r="D2080">
        <v>3</v>
      </c>
      <c r="E2080">
        <v>42</v>
      </c>
      <c r="F2080">
        <v>5</v>
      </c>
      <c r="G2080">
        <v>0</v>
      </c>
      <c r="H2080">
        <v>5</v>
      </c>
      <c r="I2080">
        <v>2.5</v>
      </c>
      <c r="J2080">
        <v>2019</v>
      </c>
      <c r="K2080">
        <v>9</v>
      </c>
      <c r="L2080">
        <v>276</v>
      </c>
      <c r="M2080" t="s">
        <v>18</v>
      </c>
    </row>
    <row r="2081" spans="1:13" x14ac:dyDescent="0.3">
      <c r="A2081" s="1">
        <v>43720</v>
      </c>
      <c r="B2081">
        <v>2.33</v>
      </c>
      <c r="C2081">
        <v>1.34</v>
      </c>
      <c r="D2081">
        <v>2</v>
      </c>
      <c r="E2081">
        <v>21.975000000000001</v>
      </c>
      <c r="F2081">
        <v>11.2</v>
      </c>
      <c r="G2081">
        <v>0</v>
      </c>
      <c r="H2081">
        <v>10</v>
      </c>
      <c r="I2081">
        <v>4</v>
      </c>
      <c r="J2081">
        <v>2019</v>
      </c>
      <c r="K2081">
        <v>9</v>
      </c>
      <c r="L2081">
        <v>276</v>
      </c>
      <c r="M2081" t="s">
        <v>12</v>
      </c>
    </row>
    <row r="2082" spans="1:13" x14ac:dyDescent="0.3">
      <c r="A2082" s="1">
        <v>43721</v>
      </c>
      <c r="B2082">
        <v>6.34</v>
      </c>
      <c r="C2082">
        <v>3.35</v>
      </c>
      <c r="D2082">
        <v>2</v>
      </c>
      <c r="E2082">
        <v>17</v>
      </c>
      <c r="F2082">
        <v>12</v>
      </c>
      <c r="G2082">
        <v>2</v>
      </c>
      <c r="H2082">
        <v>5</v>
      </c>
      <c r="I2082">
        <v>5</v>
      </c>
      <c r="J2082">
        <v>2019</v>
      </c>
      <c r="K2082">
        <v>9</v>
      </c>
      <c r="L2082">
        <v>276</v>
      </c>
      <c r="M2082" t="s">
        <v>13</v>
      </c>
    </row>
    <row r="2083" spans="1:13" x14ac:dyDescent="0.3">
      <c r="A2083" s="1">
        <v>43722</v>
      </c>
      <c r="B2083">
        <v>8.99</v>
      </c>
      <c r="C2083">
        <v>6.3970000000000002</v>
      </c>
      <c r="D2083">
        <v>3.45</v>
      </c>
      <c r="E2083">
        <v>24</v>
      </c>
      <c r="F2083">
        <v>12</v>
      </c>
      <c r="G2083">
        <v>0</v>
      </c>
      <c r="H2083">
        <v>2</v>
      </c>
      <c r="I2083">
        <v>10</v>
      </c>
      <c r="J2083">
        <v>2019</v>
      </c>
      <c r="K2083">
        <v>9</v>
      </c>
      <c r="L2083">
        <v>276</v>
      </c>
      <c r="M2083" t="s">
        <v>14</v>
      </c>
    </row>
    <row r="2084" spans="1:13" x14ac:dyDescent="0.3">
      <c r="A2084" s="1">
        <v>43723</v>
      </c>
      <c r="B2084">
        <v>5.34</v>
      </c>
      <c r="C2084">
        <v>6.01</v>
      </c>
      <c r="D2084">
        <v>2</v>
      </c>
      <c r="E2084">
        <v>25.4</v>
      </c>
      <c r="F2084">
        <v>6</v>
      </c>
      <c r="G2084">
        <v>0</v>
      </c>
      <c r="H2084">
        <v>2</v>
      </c>
      <c r="I2084">
        <v>6</v>
      </c>
      <c r="J2084">
        <v>2019</v>
      </c>
      <c r="K2084">
        <v>9</v>
      </c>
      <c r="L2084">
        <v>276</v>
      </c>
      <c r="M2084" t="s">
        <v>15</v>
      </c>
    </row>
    <row r="2085" spans="1:13" x14ac:dyDescent="0.3">
      <c r="A2085" s="1">
        <v>43724</v>
      </c>
      <c r="B2085">
        <v>9.33</v>
      </c>
      <c r="C2085">
        <v>2.3159999999999998</v>
      </c>
      <c r="D2085">
        <v>3</v>
      </c>
      <c r="E2085">
        <v>22</v>
      </c>
      <c r="F2085">
        <v>5</v>
      </c>
      <c r="G2085">
        <v>1</v>
      </c>
      <c r="H2085">
        <v>0</v>
      </c>
      <c r="I2085">
        <v>2</v>
      </c>
      <c r="J2085">
        <v>2019</v>
      </c>
      <c r="K2085">
        <v>9</v>
      </c>
      <c r="L2085">
        <v>276</v>
      </c>
      <c r="M2085" t="s">
        <v>16</v>
      </c>
    </row>
    <row r="2086" spans="1:13" x14ac:dyDescent="0.3">
      <c r="A2086" s="1">
        <v>43725</v>
      </c>
      <c r="B2086">
        <v>4.5</v>
      </c>
      <c r="C2086">
        <v>3.0070000000000001</v>
      </c>
      <c r="D2086">
        <v>6.5</v>
      </c>
      <c r="E2086">
        <v>19.2</v>
      </c>
      <c r="F2086">
        <v>8.1999999999999993</v>
      </c>
      <c r="G2086">
        <v>0</v>
      </c>
      <c r="H2086">
        <v>6</v>
      </c>
      <c r="I2086">
        <v>2</v>
      </c>
      <c r="J2086">
        <v>2019</v>
      </c>
      <c r="K2086">
        <v>9</v>
      </c>
      <c r="L2086">
        <v>276</v>
      </c>
      <c r="M2086" t="s">
        <v>17</v>
      </c>
    </row>
    <row r="2087" spans="1:13" x14ac:dyDescent="0.3">
      <c r="A2087" s="1">
        <v>43726</v>
      </c>
      <c r="B2087">
        <v>6.33</v>
      </c>
      <c r="C2087">
        <v>4.33</v>
      </c>
      <c r="D2087">
        <v>7</v>
      </c>
      <c r="E2087">
        <v>22</v>
      </c>
      <c r="F2087">
        <v>4</v>
      </c>
      <c r="G2087">
        <v>0</v>
      </c>
      <c r="H2087">
        <v>2</v>
      </c>
      <c r="I2087">
        <v>2</v>
      </c>
      <c r="J2087">
        <v>2019</v>
      </c>
      <c r="K2087">
        <v>9</v>
      </c>
      <c r="L2087">
        <v>276</v>
      </c>
      <c r="M2087" t="s">
        <v>18</v>
      </c>
    </row>
    <row r="2088" spans="1:13" x14ac:dyDescent="0.3">
      <c r="A2088" s="1">
        <v>43727</v>
      </c>
      <c r="B2088">
        <v>7.33</v>
      </c>
      <c r="C2088">
        <v>3.34</v>
      </c>
      <c r="D2088">
        <v>3</v>
      </c>
      <c r="E2088">
        <v>33</v>
      </c>
      <c r="F2088">
        <v>5</v>
      </c>
      <c r="G2088">
        <v>2</v>
      </c>
      <c r="H2088">
        <v>3</v>
      </c>
      <c r="I2088">
        <v>4</v>
      </c>
      <c r="J2088">
        <v>2019</v>
      </c>
      <c r="K2088">
        <v>9</v>
      </c>
      <c r="L2088">
        <v>276</v>
      </c>
      <c r="M2088" t="s">
        <v>12</v>
      </c>
    </row>
    <row r="2089" spans="1:13" x14ac:dyDescent="0.3">
      <c r="A2089" s="1">
        <v>43728</v>
      </c>
      <c r="B2089">
        <v>5.34</v>
      </c>
      <c r="C2089">
        <v>3.383</v>
      </c>
      <c r="D2089">
        <v>2</v>
      </c>
      <c r="E2089">
        <v>51.3</v>
      </c>
      <c r="F2089">
        <v>3</v>
      </c>
      <c r="G2089">
        <v>0</v>
      </c>
      <c r="H2089">
        <v>1</v>
      </c>
      <c r="I2089">
        <v>3</v>
      </c>
      <c r="J2089">
        <v>2019</v>
      </c>
      <c r="K2089">
        <v>9</v>
      </c>
      <c r="L2089">
        <v>276</v>
      </c>
      <c r="M2089" t="s">
        <v>13</v>
      </c>
    </row>
    <row r="2090" spans="1:13" x14ac:dyDescent="0.3">
      <c r="A2090" s="1">
        <v>43729</v>
      </c>
      <c r="B2090">
        <v>10.68</v>
      </c>
      <c r="C2090">
        <v>5.68</v>
      </c>
      <c r="D2090">
        <v>1</v>
      </c>
      <c r="E2090">
        <v>44.25</v>
      </c>
      <c r="F2090">
        <v>3</v>
      </c>
      <c r="G2090">
        <v>0</v>
      </c>
      <c r="H2090">
        <v>6</v>
      </c>
      <c r="I2090">
        <v>4</v>
      </c>
      <c r="J2090">
        <v>2019</v>
      </c>
      <c r="K2090">
        <v>9</v>
      </c>
      <c r="L2090">
        <v>276</v>
      </c>
      <c r="M2090" t="s">
        <v>14</v>
      </c>
    </row>
    <row r="2091" spans="1:13" x14ac:dyDescent="0.3">
      <c r="A2091" s="1">
        <v>43730</v>
      </c>
      <c r="B2091">
        <v>3.33</v>
      </c>
      <c r="C2091">
        <v>3.34</v>
      </c>
      <c r="D2091">
        <v>1.9</v>
      </c>
      <c r="E2091">
        <v>56.5</v>
      </c>
      <c r="F2091">
        <v>3</v>
      </c>
      <c r="G2091">
        <v>0</v>
      </c>
      <c r="H2091">
        <v>8</v>
      </c>
      <c r="I2091">
        <v>4</v>
      </c>
      <c r="J2091">
        <v>2019</v>
      </c>
      <c r="K2091">
        <v>9</v>
      </c>
      <c r="L2091">
        <v>276</v>
      </c>
      <c r="M2091" t="s">
        <v>15</v>
      </c>
    </row>
    <row r="2092" spans="1:13" x14ac:dyDescent="0.3">
      <c r="A2092" s="1">
        <v>43731</v>
      </c>
      <c r="B2092">
        <v>5.34</v>
      </c>
      <c r="C2092">
        <v>4.5490000000000004</v>
      </c>
      <c r="D2092">
        <v>3.3</v>
      </c>
      <c r="E2092">
        <v>55</v>
      </c>
      <c r="F2092">
        <v>6</v>
      </c>
      <c r="G2092">
        <v>0</v>
      </c>
      <c r="H2092">
        <v>1</v>
      </c>
      <c r="I2092">
        <v>4</v>
      </c>
      <c r="J2092">
        <v>2019</v>
      </c>
      <c r="K2092">
        <v>9</v>
      </c>
      <c r="L2092">
        <v>276</v>
      </c>
      <c r="M2092" t="s">
        <v>16</v>
      </c>
    </row>
    <row r="2093" spans="1:13" x14ac:dyDescent="0.3">
      <c r="A2093" s="1">
        <v>43732</v>
      </c>
      <c r="B2093">
        <v>2</v>
      </c>
      <c r="C2093">
        <v>1.34</v>
      </c>
      <c r="D2093">
        <v>6</v>
      </c>
      <c r="E2093">
        <v>61.3</v>
      </c>
      <c r="F2093">
        <v>12</v>
      </c>
      <c r="G2093">
        <v>0</v>
      </c>
      <c r="H2093">
        <v>1</v>
      </c>
      <c r="I2093">
        <v>6</v>
      </c>
      <c r="J2093">
        <v>2019</v>
      </c>
      <c r="K2093">
        <v>9</v>
      </c>
      <c r="L2093">
        <v>276</v>
      </c>
      <c r="M2093" t="s">
        <v>17</v>
      </c>
    </row>
    <row r="2094" spans="1:13" x14ac:dyDescent="0.3">
      <c r="A2094" s="1">
        <v>43733</v>
      </c>
      <c r="B2094">
        <v>6</v>
      </c>
      <c r="C2094">
        <v>3.67</v>
      </c>
      <c r="D2094">
        <v>4.2</v>
      </c>
      <c r="E2094">
        <v>32.5</v>
      </c>
      <c r="F2094">
        <v>14</v>
      </c>
      <c r="G2094">
        <v>1</v>
      </c>
      <c r="H2094">
        <v>1.4166666670000001</v>
      </c>
      <c r="I2094">
        <v>4</v>
      </c>
      <c r="J2094">
        <v>2019</v>
      </c>
      <c r="K2094">
        <v>9</v>
      </c>
      <c r="L2094">
        <v>276</v>
      </c>
      <c r="M2094" t="s">
        <v>18</v>
      </c>
    </row>
    <row r="2095" spans="1:13" x14ac:dyDescent="0.3">
      <c r="A2095" s="1">
        <v>43734</v>
      </c>
      <c r="B2095">
        <v>5.5</v>
      </c>
      <c r="C2095">
        <v>3.0329999999999999</v>
      </c>
      <c r="D2095">
        <v>2</v>
      </c>
      <c r="E2095">
        <v>31</v>
      </c>
      <c r="F2095">
        <v>13</v>
      </c>
      <c r="G2095">
        <v>0</v>
      </c>
      <c r="H2095">
        <v>31</v>
      </c>
      <c r="I2095">
        <v>0</v>
      </c>
      <c r="J2095">
        <v>2019</v>
      </c>
      <c r="K2095">
        <v>9</v>
      </c>
      <c r="L2095">
        <v>276</v>
      </c>
      <c r="M2095" t="s">
        <v>12</v>
      </c>
    </row>
    <row r="2096" spans="1:13" x14ac:dyDescent="0.3">
      <c r="A2096" s="1">
        <v>43735</v>
      </c>
      <c r="B2096">
        <v>4.66</v>
      </c>
      <c r="C2096">
        <v>4.359</v>
      </c>
      <c r="D2096">
        <v>4</v>
      </c>
      <c r="E2096">
        <v>41.1</v>
      </c>
      <c r="F2096">
        <v>4</v>
      </c>
      <c r="G2096">
        <v>0</v>
      </c>
      <c r="H2096">
        <v>2</v>
      </c>
      <c r="I2096">
        <v>4</v>
      </c>
      <c r="J2096">
        <v>2019</v>
      </c>
      <c r="K2096">
        <v>9</v>
      </c>
      <c r="L2096">
        <v>276</v>
      </c>
      <c r="M2096" t="s">
        <v>13</v>
      </c>
    </row>
    <row r="2097" spans="1:13" x14ac:dyDescent="0.3">
      <c r="A2097" s="1">
        <v>43736</v>
      </c>
      <c r="B2097">
        <v>7</v>
      </c>
      <c r="C2097">
        <v>1.68</v>
      </c>
      <c r="D2097">
        <v>4.0999999999999996</v>
      </c>
      <c r="E2097">
        <v>48</v>
      </c>
      <c r="F2097">
        <v>6.2</v>
      </c>
      <c r="G2097">
        <v>0</v>
      </c>
      <c r="H2097">
        <v>1</v>
      </c>
      <c r="I2097">
        <v>3</v>
      </c>
      <c r="J2097">
        <v>2019</v>
      </c>
      <c r="K2097">
        <v>9</v>
      </c>
      <c r="L2097">
        <v>276</v>
      </c>
      <c r="M2097" t="s">
        <v>14</v>
      </c>
    </row>
    <row r="2098" spans="1:13" x14ac:dyDescent="0.3">
      <c r="A2098" s="1">
        <v>43737</v>
      </c>
      <c r="B2098">
        <v>3.51</v>
      </c>
      <c r="C2098">
        <v>3.867</v>
      </c>
      <c r="D2098">
        <v>3</v>
      </c>
      <c r="E2098">
        <v>67.8</v>
      </c>
      <c r="F2098">
        <v>6</v>
      </c>
      <c r="G2098">
        <v>0</v>
      </c>
      <c r="H2098">
        <v>3</v>
      </c>
      <c r="I2098">
        <v>2.1</v>
      </c>
      <c r="J2098">
        <v>2019</v>
      </c>
      <c r="K2098">
        <v>9</v>
      </c>
      <c r="L2098">
        <v>276</v>
      </c>
      <c r="M2098" t="s">
        <v>15</v>
      </c>
    </row>
    <row r="2099" spans="1:13" x14ac:dyDescent="0.3">
      <c r="A2099" s="1">
        <v>43738</v>
      </c>
      <c r="B2099">
        <v>2</v>
      </c>
      <c r="C2099">
        <v>1.4390000000000001</v>
      </c>
      <c r="D2099">
        <v>2.1</v>
      </c>
      <c r="E2099">
        <v>49.4</v>
      </c>
      <c r="F2099">
        <v>9</v>
      </c>
      <c r="G2099">
        <v>0</v>
      </c>
      <c r="H2099">
        <v>5</v>
      </c>
      <c r="I2099">
        <v>2</v>
      </c>
      <c r="J2099">
        <v>2019</v>
      </c>
      <c r="K2099">
        <v>9</v>
      </c>
      <c r="L2099">
        <v>276</v>
      </c>
      <c r="M2099" t="s">
        <v>16</v>
      </c>
    </row>
    <row r="2100" spans="1:13" x14ac:dyDescent="0.3">
      <c r="A2100" s="1">
        <v>43739</v>
      </c>
      <c r="B2100">
        <v>11.34</v>
      </c>
      <c r="C2100">
        <v>2.4060000000000001</v>
      </c>
      <c r="D2100">
        <v>0.1</v>
      </c>
      <c r="E2100">
        <v>47</v>
      </c>
      <c r="F2100">
        <v>15</v>
      </c>
      <c r="G2100">
        <v>4</v>
      </c>
      <c r="H2100">
        <v>17</v>
      </c>
      <c r="I2100">
        <v>1.5</v>
      </c>
      <c r="J2100">
        <v>2019</v>
      </c>
      <c r="K2100">
        <v>10</v>
      </c>
      <c r="L2100">
        <v>276</v>
      </c>
      <c r="M2100" t="s">
        <v>17</v>
      </c>
    </row>
    <row r="2101" spans="1:13" x14ac:dyDescent="0.3">
      <c r="A2101" s="1">
        <v>43740</v>
      </c>
      <c r="B2101">
        <v>5.18</v>
      </c>
      <c r="C2101">
        <v>3.274</v>
      </c>
      <c r="D2101">
        <v>2.8</v>
      </c>
      <c r="E2101">
        <v>30.2</v>
      </c>
      <c r="F2101">
        <v>9</v>
      </c>
      <c r="G2101">
        <v>1</v>
      </c>
      <c r="H2101">
        <v>0</v>
      </c>
      <c r="I2101">
        <v>1.1000000000000001</v>
      </c>
      <c r="J2101">
        <v>2019</v>
      </c>
      <c r="K2101">
        <v>10</v>
      </c>
      <c r="L2101">
        <v>276</v>
      </c>
      <c r="M2101" t="s">
        <v>18</v>
      </c>
    </row>
    <row r="2102" spans="1:13" x14ac:dyDescent="0.3">
      <c r="A2102" s="1">
        <v>43741</v>
      </c>
      <c r="B2102">
        <v>5</v>
      </c>
      <c r="C2102">
        <v>3</v>
      </c>
      <c r="D2102">
        <v>4</v>
      </c>
      <c r="E2102">
        <v>40.4</v>
      </c>
      <c r="F2102">
        <v>10</v>
      </c>
      <c r="G2102">
        <v>0</v>
      </c>
      <c r="H2102">
        <v>2</v>
      </c>
      <c r="I2102">
        <v>2</v>
      </c>
      <c r="J2102">
        <v>2019</v>
      </c>
      <c r="K2102">
        <v>10</v>
      </c>
      <c r="L2102">
        <v>276</v>
      </c>
      <c r="M2102" t="s">
        <v>12</v>
      </c>
    </row>
    <row r="2103" spans="1:13" x14ac:dyDescent="0.3">
      <c r="A2103" s="1">
        <v>43742</v>
      </c>
      <c r="B2103">
        <v>7.34</v>
      </c>
      <c r="C2103">
        <v>5.6829999999999998</v>
      </c>
      <c r="D2103">
        <v>2.25</v>
      </c>
      <c r="E2103">
        <v>22.45</v>
      </c>
      <c r="F2103">
        <v>13</v>
      </c>
      <c r="G2103">
        <v>0</v>
      </c>
      <c r="H2103">
        <v>1</v>
      </c>
      <c r="I2103">
        <v>1</v>
      </c>
      <c r="J2103">
        <v>2019</v>
      </c>
      <c r="K2103">
        <v>10</v>
      </c>
      <c r="L2103">
        <v>276</v>
      </c>
      <c r="M2103" t="s">
        <v>13</v>
      </c>
    </row>
    <row r="2104" spans="1:13" x14ac:dyDescent="0.3">
      <c r="A2104" s="1">
        <v>43743</v>
      </c>
      <c r="B2104">
        <v>3.84</v>
      </c>
      <c r="C2104">
        <v>5.01</v>
      </c>
      <c r="D2104">
        <v>6</v>
      </c>
      <c r="E2104">
        <v>25.4</v>
      </c>
      <c r="F2104">
        <v>7</v>
      </c>
      <c r="G2104">
        <v>0</v>
      </c>
      <c r="H2104">
        <v>0</v>
      </c>
      <c r="I2104">
        <v>0.33</v>
      </c>
      <c r="J2104">
        <v>2019</v>
      </c>
      <c r="K2104">
        <v>10</v>
      </c>
      <c r="L2104">
        <v>276</v>
      </c>
      <c r="M2104" t="s">
        <v>14</v>
      </c>
    </row>
    <row r="2105" spans="1:13" x14ac:dyDescent="0.3">
      <c r="A2105" s="1">
        <v>43744</v>
      </c>
      <c r="B2105">
        <v>4</v>
      </c>
      <c r="C2105">
        <v>11.69</v>
      </c>
      <c r="D2105">
        <v>2</v>
      </c>
      <c r="E2105">
        <v>34.6</v>
      </c>
      <c r="F2105">
        <v>6</v>
      </c>
      <c r="G2105">
        <v>0</v>
      </c>
      <c r="H2105">
        <v>5</v>
      </c>
      <c r="I2105">
        <v>4.2</v>
      </c>
      <c r="J2105">
        <v>2019</v>
      </c>
      <c r="K2105">
        <v>10</v>
      </c>
      <c r="L2105">
        <v>276</v>
      </c>
      <c r="M2105" t="s">
        <v>15</v>
      </c>
    </row>
    <row r="2106" spans="1:13" x14ac:dyDescent="0.3">
      <c r="A2106" s="1">
        <v>43745</v>
      </c>
      <c r="B2106">
        <v>7.34</v>
      </c>
      <c r="C2106">
        <v>4.5069999999999997</v>
      </c>
      <c r="D2106">
        <v>3</v>
      </c>
      <c r="E2106">
        <v>50.8</v>
      </c>
      <c r="F2106">
        <v>6</v>
      </c>
      <c r="G2106">
        <v>0</v>
      </c>
      <c r="H2106">
        <v>10</v>
      </c>
      <c r="I2106">
        <v>1</v>
      </c>
      <c r="J2106">
        <v>2019</v>
      </c>
      <c r="K2106">
        <v>10</v>
      </c>
      <c r="L2106">
        <v>276</v>
      </c>
      <c r="M2106" t="s">
        <v>16</v>
      </c>
    </row>
    <row r="2107" spans="1:13" x14ac:dyDescent="0.3">
      <c r="A2107" s="1">
        <v>43746</v>
      </c>
      <c r="B2107">
        <v>0.33</v>
      </c>
      <c r="C2107">
        <v>1.73</v>
      </c>
      <c r="D2107">
        <v>0.5</v>
      </c>
      <c r="E2107">
        <v>44.3</v>
      </c>
      <c r="F2107">
        <v>20</v>
      </c>
      <c r="G2107">
        <v>2</v>
      </c>
      <c r="H2107">
        <v>2</v>
      </c>
      <c r="I2107">
        <v>0</v>
      </c>
      <c r="J2107">
        <v>2019</v>
      </c>
      <c r="K2107">
        <v>10</v>
      </c>
      <c r="L2107">
        <v>190</v>
      </c>
      <c r="M210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8A40-555D-4254-B5AE-F9DA135A4B35}">
  <dimension ref="A1:P2107"/>
  <sheetViews>
    <sheetView workbookViewId="0">
      <selection activeCell="S3" sqref="S3"/>
    </sheetView>
  </sheetViews>
  <sheetFormatPr defaultRowHeight="14.4" x14ac:dyDescent="0.3"/>
  <cols>
    <col min="1" max="1" width="10.33203125" bestFit="1" customWidth="1"/>
    <col min="2" max="9" width="12" bestFit="1" customWidth="1"/>
    <col min="10" max="10" width="9.21875" customWidth="1"/>
    <col min="11" max="11" width="6" bestFit="1" customWidth="1"/>
    <col min="13" max="13" width="14.109375" bestFit="1" customWidth="1"/>
    <col min="14" max="14" width="10" bestFit="1" customWidth="1"/>
    <col min="15" max="15" width="11.44140625" bestFit="1" customWidth="1"/>
  </cols>
  <sheetData>
    <row r="1" spans="1:16" x14ac:dyDescent="0.3">
      <c r="A1" s="2" t="s">
        <v>19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20</v>
      </c>
      <c r="O1" s="2" t="s">
        <v>21</v>
      </c>
      <c r="P1" s="2" t="s">
        <v>22</v>
      </c>
    </row>
    <row r="2" spans="1:16" x14ac:dyDescent="0.3">
      <c r="A2" s="1">
        <v>41641</v>
      </c>
      <c r="B2">
        <v>0</v>
      </c>
      <c r="C2">
        <v>3.67</v>
      </c>
      <c r="D2">
        <v>3.4</v>
      </c>
      <c r="E2">
        <v>32.4</v>
      </c>
      <c r="F2">
        <v>7</v>
      </c>
      <c r="G2">
        <v>0</v>
      </c>
      <c r="H2">
        <v>0</v>
      </c>
      <c r="I2">
        <v>2</v>
      </c>
      <c r="J2">
        <v>2014</v>
      </c>
      <c r="K2">
        <v>1</v>
      </c>
      <c r="L2">
        <v>248</v>
      </c>
      <c r="M2" t="s">
        <v>12</v>
      </c>
      <c r="N2">
        <f>SUM(B2:I2)</f>
        <v>48.47</v>
      </c>
      <c r="O2" t="str">
        <f>TEXT(A2,"mmmm")</f>
        <v>January</v>
      </c>
      <c r="P2" t="str">
        <f>IF(OR(M2="Saturday",M2="Sunday"),"Weekend","Weekday")</f>
        <v>Weekday</v>
      </c>
    </row>
    <row r="3" spans="1:16" x14ac:dyDescent="0.3">
      <c r="A3" s="1">
        <v>41642</v>
      </c>
      <c r="B3">
        <v>8</v>
      </c>
      <c r="C3">
        <v>4</v>
      </c>
      <c r="D3">
        <v>4.4000000000000004</v>
      </c>
      <c r="E3">
        <v>50.6</v>
      </c>
      <c r="F3">
        <v>16</v>
      </c>
      <c r="G3">
        <v>0</v>
      </c>
      <c r="H3">
        <v>20</v>
      </c>
      <c r="I3">
        <v>4</v>
      </c>
      <c r="J3">
        <v>2014</v>
      </c>
      <c r="K3">
        <v>1</v>
      </c>
      <c r="L3">
        <v>276</v>
      </c>
      <c r="M3" t="s">
        <v>13</v>
      </c>
      <c r="N3">
        <f t="shared" ref="N3:N66" si="0">SUM(B3:I3)</f>
        <v>107</v>
      </c>
      <c r="O3" t="str">
        <f t="shared" ref="O3:O66" si="1">TEXT(A3,"mmmm")</f>
        <v>January</v>
      </c>
      <c r="P3" t="str">
        <f t="shared" ref="P3:P66" si="2">IF(OR(M3="Saturday",M3="Sunday"),"Weekend","Weekday")</f>
        <v>Weekday</v>
      </c>
    </row>
    <row r="4" spans="1:16" x14ac:dyDescent="0.3">
      <c r="A4" s="1">
        <v>41643</v>
      </c>
      <c r="B4">
        <v>2</v>
      </c>
      <c r="C4">
        <v>1</v>
      </c>
      <c r="D4">
        <v>6.5</v>
      </c>
      <c r="E4">
        <v>61.85</v>
      </c>
      <c r="F4">
        <v>10</v>
      </c>
      <c r="G4">
        <v>0</v>
      </c>
      <c r="H4">
        <v>9</v>
      </c>
      <c r="I4">
        <v>1</v>
      </c>
      <c r="J4">
        <v>2014</v>
      </c>
      <c r="K4">
        <v>1</v>
      </c>
      <c r="L4">
        <v>276</v>
      </c>
      <c r="M4" t="s">
        <v>14</v>
      </c>
      <c r="N4">
        <f t="shared" si="0"/>
        <v>91.35</v>
      </c>
      <c r="O4" t="str">
        <f t="shared" si="1"/>
        <v>January</v>
      </c>
      <c r="P4" t="str">
        <f t="shared" si="2"/>
        <v>Weekend</v>
      </c>
    </row>
    <row r="5" spans="1:16" x14ac:dyDescent="0.3">
      <c r="A5" s="1">
        <v>41644</v>
      </c>
      <c r="B5">
        <v>4</v>
      </c>
      <c r="C5">
        <v>3</v>
      </c>
      <c r="D5">
        <v>7</v>
      </c>
      <c r="E5">
        <v>41.1</v>
      </c>
      <c r="F5">
        <v>8</v>
      </c>
      <c r="G5">
        <v>0</v>
      </c>
      <c r="H5">
        <v>3</v>
      </c>
      <c r="I5">
        <v>0</v>
      </c>
      <c r="J5">
        <v>2014</v>
      </c>
      <c r="K5">
        <v>1</v>
      </c>
      <c r="L5">
        <v>276</v>
      </c>
      <c r="M5" t="s">
        <v>15</v>
      </c>
      <c r="N5">
        <f t="shared" si="0"/>
        <v>66.099999999999994</v>
      </c>
      <c r="O5" t="str">
        <f t="shared" si="1"/>
        <v>January</v>
      </c>
      <c r="P5" t="str">
        <f t="shared" si="2"/>
        <v>Weekend</v>
      </c>
    </row>
    <row r="6" spans="1:16" x14ac:dyDescent="0.3">
      <c r="A6" s="1">
        <v>41645</v>
      </c>
      <c r="B6">
        <v>5</v>
      </c>
      <c r="C6">
        <v>1</v>
      </c>
      <c r="D6">
        <v>4.5</v>
      </c>
      <c r="E6">
        <v>21.7</v>
      </c>
      <c r="F6">
        <v>16</v>
      </c>
      <c r="G6">
        <v>2</v>
      </c>
      <c r="H6">
        <v>6</v>
      </c>
      <c r="I6">
        <v>2</v>
      </c>
      <c r="J6">
        <v>2014</v>
      </c>
      <c r="K6">
        <v>1</v>
      </c>
      <c r="L6">
        <v>276</v>
      </c>
      <c r="M6" t="s">
        <v>16</v>
      </c>
      <c r="N6">
        <f t="shared" si="0"/>
        <v>58.2</v>
      </c>
      <c r="O6" t="str">
        <f t="shared" si="1"/>
        <v>January</v>
      </c>
      <c r="P6" t="str">
        <f t="shared" si="2"/>
        <v>Weekday</v>
      </c>
    </row>
    <row r="7" spans="1:16" x14ac:dyDescent="0.3">
      <c r="A7" s="1">
        <v>41646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2014</v>
      </c>
      <c r="K7">
        <v>1</v>
      </c>
      <c r="L7">
        <v>276</v>
      </c>
      <c r="M7" t="s">
        <v>17</v>
      </c>
      <c r="N7">
        <f t="shared" si="0"/>
        <v>0</v>
      </c>
      <c r="O7" t="str">
        <f t="shared" si="1"/>
        <v>January</v>
      </c>
      <c r="P7" t="str">
        <f t="shared" si="2"/>
        <v>Weekday</v>
      </c>
    </row>
    <row r="8" spans="1:16" x14ac:dyDescent="0.3">
      <c r="A8" s="1">
        <v>41647</v>
      </c>
      <c r="B8">
        <v>5.33</v>
      </c>
      <c r="C8">
        <v>3</v>
      </c>
      <c r="D8">
        <v>10.5</v>
      </c>
      <c r="E8">
        <v>26.4</v>
      </c>
      <c r="F8">
        <v>19</v>
      </c>
      <c r="G8">
        <v>1</v>
      </c>
      <c r="H8">
        <v>10</v>
      </c>
      <c r="I8">
        <v>0</v>
      </c>
      <c r="J8">
        <v>2014</v>
      </c>
      <c r="K8">
        <v>1</v>
      </c>
      <c r="L8">
        <v>276</v>
      </c>
      <c r="M8" t="s">
        <v>18</v>
      </c>
      <c r="N8">
        <f t="shared" si="0"/>
        <v>75.22999999999999</v>
      </c>
      <c r="O8" t="str">
        <f t="shared" si="1"/>
        <v>January</v>
      </c>
      <c r="P8" t="str">
        <f t="shared" si="2"/>
        <v>Weekday</v>
      </c>
    </row>
    <row r="9" spans="1:16" x14ac:dyDescent="0.3">
      <c r="A9" s="1">
        <v>41648</v>
      </c>
      <c r="B9">
        <v>7</v>
      </c>
      <c r="C9">
        <v>1.68</v>
      </c>
      <c r="D9">
        <v>8</v>
      </c>
      <c r="E9">
        <v>25</v>
      </c>
      <c r="F9">
        <v>16</v>
      </c>
      <c r="G9">
        <v>0</v>
      </c>
      <c r="H9">
        <v>3</v>
      </c>
      <c r="I9">
        <v>2</v>
      </c>
      <c r="J9">
        <v>2014</v>
      </c>
      <c r="K9">
        <v>1</v>
      </c>
      <c r="L9">
        <v>276</v>
      </c>
      <c r="M9" t="s">
        <v>12</v>
      </c>
      <c r="N9">
        <f t="shared" si="0"/>
        <v>62.68</v>
      </c>
      <c r="O9" t="str">
        <f t="shared" si="1"/>
        <v>January</v>
      </c>
      <c r="P9" t="str">
        <f t="shared" si="2"/>
        <v>Weekday</v>
      </c>
    </row>
    <row r="10" spans="1:16" x14ac:dyDescent="0.3">
      <c r="A10" s="1">
        <v>41649</v>
      </c>
      <c r="B10">
        <v>5</v>
      </c>
      <c r="C10">
        <v>2</v>
      </c>
      <c r="D10">
        <v>2</v>
      </c>
      <c r="E10">
        <v>53.3</v>
      </c>
      <c r="F10">
        <v>15</v>
      </c>
      <c r="G10">
        <v>2</v>
      </c>
      <c r="H10">
        <v>0</v>
      </c>
      <c r="I10">
        <v>2</v>
      </c>
      <c r="J10">
        <v>2014</v>
      </c>
      <c r="K10">
        <v>1</v>
      </c>
      <c r="L10">
        <v>276</v>
      </c>
      <c r="M10" t="s">
        <v>13</v>
      </c>
      <c r="N10">
        <f t="shared" si="0"/>
        <v>81.3</v>
      </c>
      <c r="O10" t="str">
        <f t="shared" si="1"/>
        <v>January</v>
      </c>
      <c r="P10" t="str">
        <f t="shared" si="2"/>
        <v>Weekday</v>
      </c>
    </row>
    <row r="11" spans="1:16" x14ac:dyDescent="0.3">
      <c r="A11" s="1">
        <v>41650</v>
      </c>
      <c r="B11">
        <v>5</v>
      </c>
      <c r="C11">
        <v>4.34</v>
      </c>
      <c r="D11">
        <v>10.4</v>
      </c>
      <c r="E11">
        <v>52.3</v>
      </c>
      <c r="F11">
        <v>14</v>
      </c>
      <c r="G11">
        <v>0</v>
      </c>
      <c r="H11">
        <v>1</v>
      </c>
      <c r="I11">
        <v>0.2</v>
      </c>
      <c r="J11">
        <v>2014</v>
      </c>
      <c r="K11">
        <v>1</v>
      </c>
      <c r="L11">
        <v>276</v>
      </c>
      <c r="M11" t="s">
        <v>14</v>
      </c>
      <c r="N11">
        <f t="shared" si="0"/>
        <v>87.24</v>
      </c>
      <c r="O11" t="str">
        <f t="shared" si="1"/>
        <v>January</v>
      </c>
      <c r="P11" t="str">
        <f t="shared" si="2"/>
        <v>Weekend</v>
      </c>
    </row>
    <row r="12" spans="1:16" x14ac:dyDescent="0.3">
      <c r="A12" s="1">
        <v>41651</v>
      </c>
      <c r="B12">
        <v>2</v>
      </c>
      <c r="C12">
        <v>0.66</v>
      </c>
      <c r="D12">
        <v>2.5</v>
      </c>
      <c r="E12">
        <v>12</v>
      </c>
      <c r="F12">
        <v>8</v>
      </c>
      <c r="G12">
        <v>0</v>
      </c>
      <c r="H12">
        <v>1</v>
      </c>
      <c r="I12">
        <v>1</v>
      </c>
      <c r="J12">
        <v>2014</v>
      </c>
      <c r="K12">
        <v>1</v>
      </c>
      <c r="L12">
        <v>276</v>
      </c>
      <c r="M12" t="s">
        <v>15</v>
      </c>
      <c r="N12">
        <f t="shared" si="0"/>
        <v>27.16</v>
      </c>
      <c r="O12" t="str">
        <f t="shared" si="1"/>
        <v>January</v>
      </c>
      <c r="P12" t="str">
        <f t="shared" si="2"/>
        <v>Weekend</v>
      </c>
    </row>
    <row r="13" spans="1:16" x14ac:dyDescent="0.3">
      <c r="A13" s="1">
        <v>41652</v>
      </c>
      <c r="B13">
        <v>7.34</v>
      </c>
      <c r="C13">
        <v>7.66</v>
      </c>
      <c r="D13">
        <v>6.2</v>
      </c>
      <c r="E13">
        <v>52</v>
      </c>
      <c r="F13">
        <v>9</v>
      </c>
      <c r="G13">
        <v>0</v>
      </c>
      <c r="H13">
        <v>7</v>
      </c>
      <c r="I13">
        <v>1</v>
      </c>
      <c r="J13">
        <v>2014</v>
      </c>
      <c r="K13">
        <v>1</v>
      </c>
      <c r="L13">
        <v>276</v>
      </c>
      <c r="M13" t="s">
        <v>16</v>
      </c>
      <c r="N13">
        <f t="shared" si="0"/>
        <v>90.2</v>
      </c>
      <c r="O13" t="str">
        <f t="shared" si="1"/>
        <v>January</v>
      </c>
      <c r="P13" t="str">
        <f t="shared" si="2"/>
        <v>Weekday</v>
      </c>
    </row>
    <row r="14" spans="1:16" x14ac:dyDescent="0.3">
      <c r="A14" s="1">
        <v>41653</v>
      </c>
      <c r="B14">
        <v>6</v>
      </c>
      <c r="C14">
        <v>1.33</v>
      </c>
      <c r="D14">
        <v>12.3</v>
      </c>
      <c r="E14">
        <v>33.700000000000003</v>
      </c>
      <c r="F14">
        <v>6</v>
      </c>
      <c r="G14">
        <v>1</v>
      </c>
      <c r="H14">
        <v>0</v>
      </c>
      <c r="I14">
        <v>2</v>
      </c>
      <c r="J14">
        <v>2014</v>
      </c>
      <c r="K14">
        <v>1</v>
      </c>
      <c r="L14">
        <v>276</v>
      </c>
      <c r="M14" t="s">
        <v>17</v>
      </c>
      <c r="N14">
        <f t="shared" si="0"/>
        <v>62.330000000000005</v>
      </c>
      <c r="O14" t="str">
        <f t="shared" si="1"/>
        <v>January</v>
      </c>
      <c r="P14" t="str">
        <f t="shared" si="2"/>
        <v>Weekday</v>
      </c>
    </row>
    <row r="15" spans="1:16" x14ac:dyDescent="0.3">
      <c r="A15" s="1">
        <v>41654</v>
      </c>
      <c r="B15">
        <v>4</v>
      </c>
      <c r="C15">
        <v>2.34</v>
      </c>
      <c r="D15">
        <v>5</v>
      </c>
      <c r="E15">
        <v>26.7</v>
      </c>
      <c r="F15">
        <v>12</v>
      </c>
      <c r="G15">
        <v>2</v>
      </c>
      <c r="H15">
        <v>3</v>
      </c>
      <c r="I15">
        <v>3</v>
      </c>
      <c r="J15">
        <v>2014</v>
      </c>
      <c r="K15">
        <v>1</v>
      </c>
      <c r="L15">
        <v>276</v>
      </c>
      <c r="M15" t="s">
        <v>18</v>
      </c>
      <c r="N15">
        <f t="shared" si="0"/>
        <v>58.04</v>
      </c>
      <c r="O15" t="str">
        <f t="shared" si="1"/>
        <v>January</v>
      </c>
      <c r="P15" t="str">
        <f t="shared" si="2"/>
        <v>Weekday</v>
      </c>
    </row>
    <row r="16" spans="1:16" x14ac:dyDescent="0.3">
      <c r="A16" s="1">
        <v>41655</v>
      </c>
      <c r="B16">
        <v>6</v>
      </c>
      <c r="C16">
        <v>2</v>
      </c>
      <c r="D16">
        <v>4.3</v>
      </c>
      <c r="E16">
        <v>28.3</v>
      </c>
      <c r="F16">
        <v>19</v>
      </c>
      <c r="G16">
        <v>1</v>
      </c>
      <c r="H16">
        <v>5</v>
      </c>
      <c r="I16">
        <v>0</v>
      </c>
      <c r="J16">
        <v>2014</v>
      </c>
      <c r="K16">
        <v>1</v>
      </c>
      <c r="L16">
        <v>276</v>
      </c>
      <c r="M16" t="s">
        <v>12</v>
      </c>
      <c r="N16">
        <f t="shared" si="0"/>
        <v>65.599999999999994</v>
      </c>
      <c r="O16" t="str">
        <f t="shared" si="1"/>
        <v>January</v>
      </c>
      <c r="P16" t="str">
        <f t="shared" si="2"/>
        <v>Weekday</v>
      </c>
    </row>
    <row r="17" spans="1:16" x14ac:dyDescent="0.3">
      <c r="A17" s="1">
        <v>41656</v>
      </c>
      <c r="B17">
        <v>2</v>
      </c>
      <c r="C17">
        <v>3.68</v>
      </c>
      <c r="D17">
        <v>8.3000000000000007</v>
      </c>
      <c r="E17">
        <v>20.399999999999999</v>
      </c>
      <c r="F17">
        <v>15</v>
      </c>
      <c r="G17">
        <v>0</v>
      </c>
      <c r="H17">
        <v>6</v>
      </c>
      <c r="I17">
        <v>3</v>
      </c>
      <c r="J17">
        <v>2014</v>
      </c>
      <c r="K17">
        <v>1</v>
      </c>
      <c r="L17">
        <v>276</v>
      </c>
      <c r="M17" t="s">
        <v>13</v>
      </c>
      <c r="N17">
        <f t="shared" si="0"/>
        <v>58.379999999999995</v>
      </c>
      <c r="O17" t="str">
        <f t="shared" si="1"/>
        <v>January</v>
      </c>
      <c r="P17" t="str">
        <f t="shared" si="2"/>
        <v>Weekday</v>
      </c>
    </row>
    <row r="18" spans="1:16" x14ac:dyDescent="0.3">
      <c r="A18" s="1">
        <v>41657</v>
      </c>
      <c r="B18">
        <v>1</v>
      </c>
      <c r="C18">
        <v>5.33</v>
      </c>
      <c r="D18">
        <v>5.8</v>
      </c>
      <c r="E18">
        <v>43.2</v>
      </c>
      <c r="F18">
        <v>15</v>
      </c>
      <c r="G18">
        <v>4</v>
      </c>
      <c r="H18">
        <v>7</v>
      </c>
      <c r="I18">
        <v>2</v>
      </c>
      <c r="J18">
        <v>2014</v>
      </c>
      <c r="K18">
        <v>1</v>
      </c>
      <c r="L18">
        <v>276</v>
      </c>
      <c r="M18" t="s">
        <v>14</v>
      </c>
      <c r="N18">
        <f t="shared" si="0"/>
        <v>83.33</v>
      </c>
      <c r="O18" t="str">
        <f t="shared" si="1"/>
        <v>January</v>
      </c>
      <c r="P18" t="str">
        <f t="shared" si="2"/>
        <v>Weekend</v>
      </c>
    </row>
    <row r="19" spans="1:16" x14ac:dyDescent="0.3">
      <c r="A19" s="1">
        <v>41658</v>
      </c>
      <c r="B19">
        <v>4.33</v>
      </c>
      <c r="C19">
        <v>4</v>
      </c>
      <c r="D19">
        <v>4</v>
      </c>
      <c r="E19">
        <v>14.1</v>
      </c>
      <c r="F19">
        <v>4</v>
      </c>
      <c r="G19">
        <v>0</v>
      </c>
      <c r="H19">
        <v>1</v>
      </c>
      <c r="I19">
        <v>1</v>
      </c>
      <c r="J19">
        <v>2014</v>
      </c>
      <c r="K19">
        <v>1</v>
      </c>
      <c r="L19">
        <v>276</v>
      </c>
      <c r="M19" t="s">
        <v>15</v>
      </c>
      <c r="N19">
        <f t="shared" si="0"/>
        <v>32.43</v>
      </c>
      <c r="O19" t="str">
        <f t="shared" si="1"/>
        <v>January</v>
      </c>
      <c r="P19" t="str">
        <f t="shared" si="2"/>
        <v>Weekend</v>
      </c>
    </row>
    <row r="20" spans="1:16" x14ac:dyDescent="0.3">
      <c r="A20" s="1">
        <v>41659</v>
      </c>
      <c r="B20">
        <v>6</v>
      </c>
      <c r="C20">
        <v>3.34</v>
      </c>
      <c r="D20">
        <v>3.3</v>
      </c>
      <c r="E20">
        <v>11.9</v>
      </c>
      <c r="F20">
        <v>18</v>
      </c>
      <c r="G20">
        <v>2</v>
      </c>
      <c r="H20">
        <v>12</v>
      </c>
      <c r="I20">
        <v>3</v>
      </c>
      <c r="J20">
        <v>2014</v>
      </c>
      <c r="K20">
        <v>1</v>
      </c>
      <c r="L20">
        <v>276</v>
      </c>
      <c r="M20" t="s">
        <v>16</v>
      </c>
      <c r="N20">
        <f t="shared" si="0"/>
        <v>59.54</v>
      </c>
      <c r="O20" t="str">
        <f t="shared" si="1"/>
        <v>January</v>
      </c>
      <c r="P20" t="str">
        <f t="shared" si="2"/>
        <v>Weekday</v>
      </c>
    </row>
    <row r="21" spans="1:16" x14ac:dyDescent="0.3">
      <c r="A21" s="1">
        <v>41660</v>
      </c>
      <c r="B21">
        <v>2</v>
      </c>
      <c r="C21">
        <v>3.34</v>
      </c>
      <c r="D21">
        <v>4</v>
      </c>
      <c r="E21">
        <v>42</v>
      </c>
      <c r="F21">
        <v>15</v>
      </c>
      <c r="G21">
        <v>2</v>
      </c>
      <c r="H21">
        <v>0</v>
      </c>
      <c r="I21">
        <v>1</v>
      </c>
      <c r="J21">
        <v>2014</v>
      </c>
      <c r="K21">
        <v>1</v>
      </c>
      <c r="L21">
        <v>276</v>
      </c>
      <c r="M21" t="s">
        <v>17</v>
      </c>
      <c r="N21">
        <f t="shared" si="0"/>
        <v>69.34</v>
      </c>
      <c r="O21" t="str">
        <f t="shared" si="1"/>
        <v>January</v>
      </c>
      <c r="P21" t="str">
        <f t="shared" si="2"/>
        <v>Weekday</v>
      </c>
    </row>
    <row r="22" spans="1:16" x14ac:dyDescent="0.3">
      <c r="A22" s="1">
        <v>41661</v>
      </c>
      <c r="B22">
        <v>7</v>
      </c>
      <c r="C22">
        <v>3</v>
      </c>
      <c r="D22">
        <v>7</v>
      </c>
      <c r="E22">
        <v>18.100000000000001</v>
      </c>
      <c r="F22">
        <v>10</v>
      </c>
      <c r="G22">
        <v>0</v>
      </c>
      <c r="H22">
        <v>5</v>
      </c>
      <c r="I22">
        <v>2</v>
      </c>
      <c r="J22">
        <v>2014</v>
      </c>
      <c r="K22">
        <v>1</v>
      </c>
      <c r="L22">
        <v>276</v>
      </c>
      <c r="M22" t="s">
        <v>18</v>
      </c>
      <c r="N22">
        <f t="shared" si="0"/>
        <v>52.1</v>
      </c>
      <c r="O22" t="str">
        <f t="shared" si="1"/>
        <v>January</v>
      </c>
      <c r="P22" t="str">
        <f t="shared" si="2"/>
        <v>Weekday</v>
      </c>
    </row>
    <row r="23" spans="1:16" x14ac:dyDescent="0.3">
      <c r="A23" s="1">
        <v>41662</v>
      </c>
      <c r="B23">
        <v>4</v>
      </c>
      <c r="C23">
        <v>4.67</v>
      </c>
      <c r="D23">
        <v>5.2</v>
      </c>
      <c r="E23">
        <v>26.2</v>
      </c>
      <c r="F23">
        <v>2</v>
      </c>
      <c r="G23">
        <v>3</v>
      </c>
      <c r="H23">
        <v>1</v>
      </c>
      <c r="I23">
        <v>3</v>
      </c>
      <c r="J23">
        <v>2014</v>
      </c>
      <c r="K23">
        <v>1</v>
      </c>
      <c r="L23">
        <v>276</v>
      </c>
      <c r="M23" t="s">
        <v>12</v>
      </c>
      <c r="N23">
        <f t="shared" si="0"/>
        <v>49.07</v>
      </c>
      <c r="O23" t="str">
        <f t="shared" si="1"/>
        <v>January</v>
      </c>
      <c r="P23" t="str">
        <f t="shared" si="2"/>
        <v>Weekday</v>
      </c>
    </row>
    <row r="24" spans="1:16" x14ac:dyDescent="0.3">
      <c r="A24" s="1">
        <v>41663</v>
      </c>
      <c r="B24">
        <v>4.67</v>
      </c>
      <c r="C24">
        <v>7.34</v>
      </c>
      <c r="D24">
        <v>7</v>
      </c>
      <c r="E24">
        <v>19.600000000000001</v>
      </c>
      <c r="F24">
        <v>13</v>
      </c>
      <c r="G24">
        <v>1</v>
      </c>
      <c r="H24">
        <v>0</v>
      </c>
      <c r="I24">
        <v>0</v>
      </c>
      <c r="J24">
        <v>2014</v>
      </c>
      <c r="K24">
        <v>1</v>
      </c>
      <c r="L24">
        <v>276</v>
      </c>
      <c r="M24" t="s">
        <v>13</v>
      </c>
      <c r="N24">
        <f t="shared" si="0"/>
        <v>52.61</v>
      </c>
      <c r="O24" t="str">
        <f t="shared" si="1"/>
        <v>January</v>
      </c>
      <c r="P24" t="str">
        <f t="shared" si="2"/>
        <v>Weekday</v>
      </c>
    </row>
    <row r="25" spans="1:16" x14ac:dyDescent="0.3">
      <c r="A25" s="1">
        <v>41664</v>
      </c>
      <c r="B25">
        <v>6</v>
      </c>
      <c r="C25">
        <v>9</v>
      </c>
      <c r="D25">
        <v>5</v>
      </c>
      <c r="E25">
        <v>37.799999999999997</v>
      </c>
      <c r="F25">
        <v>18</v>
      </c>
      <c r="G25">
        <v>0</v>
      </c>
      <c r="H25">
        <v>5</v>
      </c>
      <c r="I25">
        <v>1</v>
      </c>
      <c r="J25">
        <v>2014</v>
      </c>
      <c r="K25">
        <v>1</v>
      </c>
      <c r="L25">
        <v>276</v>
      </c>
      <c r="M25" t="s">
        <v>14</v>
      </c>
      <c r="N25">
        <f t="shared" si="0"/>
        <v>81.8</v>
      </c>
      <c r="O25" t="str">
        <f t="shared" si="1"/>
        <v>January</v>
      </c>
      <c r="P25" t="str">
        <f t="shared" si="2"/>
        <v>Weekend</v>
      </c>
    </row>
    <row r="26" spans="1:16" x14ac:dyDescent="0.3">
      <c r="A26" s="1">
        <v>41665</v>
      </c>
      <c r="B26">
        <v>4.33</v>
      </c>
      <c r="C26">
        <v>1.68</v>
      </c>
      <c r="D26">
        <v>0</v>
      </c>
      <c r="E26">
        <v>24</v>
      </c>
      <c r="F26">
        <v>4</v>
      </c>
      <c r="G26">
        <v>0</v>
      </c>
      <c r="H26">
        <v>0</v>
      </c>
      <c r="I26">
        <v>0</v>
      </c>
      <c r="J26">
        <v>2014</v>
      </c>
      <c r="K26">
        <v>1</v>
      </c>
      <c r="L26">
        <v>276</v>
      </c>
      <c r="M26" t="s">
        <v>15</v>
      </c>
      <c r="N26">
        <f t="shared" si="0"/>
        <v>34.01</v>
      </c>
      <c r="O26" t="str">
        <f t="shared" si="1"/>
        <v>January</v>
      </c>
      <c r="P26" t="str">
        <f t="shared" si="2"/>
        <v>Weekend</v>
      </c>
    </row>
    <row r="27" spans="1:16" x14ac:dyDescent="0.3">
      <c r="A27" s="1">
        <v>41666</v>
      </c>
      <c r="B27">
        <v>4.34</v>
      </c>
      <c r="C27">
        <v>4.67</v>
      </c>
      <c r="D27">
        <v>1.2</v>
      </c>
      <c r="E27">
        <v>23.6</v>
      </c>
      <c r="F27">
        <v>17</v>
      </c>
      <c r="G27">
        <v>2</v>
      </c>
      <c r="H27">
        <v>1</v>
      </c>
      <c r="I27">
        <v>3</v>
      </c>
      <c r="J27">
        <v>2014</v>
      </c>
      <c r="K27">
        <v>1</v>
      </c>
      <c r="L27">
        <v>276</v>
      </c>
      <c r="M27" t="s">
        <v>16</v>
      </c>
      <c r="N27">
        <f t="shared" si="0"/>
        <v>56.81</v>
      </c>
      <c r="O27" t="str">
        <f t="shared" si="1"/>
        <v>January</v>
      </c>
      <c r="P27" t="str">
        <f t="shared" si="2"/>
        <v>Weekday</v>
      </c>
    </row>
    <row r="28" spans="1:16" x14ac:dyDescent="0.3">
      <c r="A28" s="1">
        <v>41667</v>
      </c>
      <c r="B28">
        <v>6</v>
      </c>
      <c r="C28">
        <v>3.34</v>
      </c>
      <c r="D28">
        <v>2.8</v>
      </c>
      <c r="E28">
        <v>13.38</v>
      </c>
      <c r="F28">
        <v>22</v>
      </c>
      <c r="G28">
        <v>5</v>
      </c>
      <c r="H28">
        <v>1</v>
      </c>
      <c r="I28">
        <v>5</v>
      </c>
      <c r="J28">
        <v>2014</v>
      </c>
      <c r="K28">
        <v>1</v>
      </c>
      <c r="L28">
        <v>276</v>
      </c>
      <c r="M28" t="s">
        <v>17</v>
      </c>
      <c r="N28">
        <f t="shared" si="0"/>
        <v>58.52</v>
      </c>
      <c r="O28" t="str">
        <f t="shared" si="1"/>
        <v>January</v>
      </c>
      <c r="P28" t="str">
        <f t="shared" si="2"/>
        <v>Weekday</v>
      </c>
    </row>
    <row r="29" spans="1:16" x14ac:dyDescent="0.3">
      <c r="A29" s="1">
        <v>41668</v>
      </c>
      <c r="B29">
        <v>5.33</v>
      </c>
      <c r="C29">
        <v>4</v>
      </c>
      <c r="D29">
        <v>2</v>
      </c>
      <c r="E29">
        <v>14</v>
      </c>
      <c r="F29">
        <v>10</v>
      </c>
      <c r="G29">
        <v>1</v>
      </c>
      <c r="H29">
        <v>1</v>
      </c>
      <c r="I29">
        <v>2</v>
      </c>
      <c r="J29">
        <v>2014</v>
      </c>
      <c r="K29">
        <v>1</v>
      </c>
      <c r="L29">
        <v>276</v>
      </c>
      <c r="M29" t="s">
        <v>18</v>
      </c>
      <c r="N29">
        <f t="shared" si="0"/>
        <v>39.33</v>
      </c>
      <c r="O29" t="str">
        <f t="shared" si="1"/>
        <v>January</v>
      </c>
      <c r="P29" t="str">
        <f t="shared" si="2"/>
        <v>Weekday</v>
      </c>
    </row>
    <row r="30" spans="1:16" x14ac:dyDescent="0.3">
      <c r="A30" s="1">
        <v>41669</v>
      </c>
      <c r="B30">
        <v>3.02</v>
      </c>
      <c r="C30">
        <v>1.34</v>
      </c>
      <c r="D30">
        <v>2.4</v>
      </c>
      <c r="E30">
        <v>25.5</v>
      </c>
      <c r="F30">
        <v>7</v>
      </c>
      <c r="G30">
        <v>1</v>
      </c>
      <c r="H30">
        <v>3</v>
      </c>
      <c r="I30">
        <v>2</v>
      </c>
      <c r="J30">
        <v>2014</v>
      </c>
      <c r="K30">
        <v>1</v>
      </c>
      <c r="L30">
        <v>276</v>
      </c>
      <c r="M30" t="s">
        <v>12</v>
      </c>
      <c r="N30">
        <f t="shared" si="0"/>
        <v>45.26</v>
      </c>
      <c r="O30" t="str">
        <f t="shared" si="1"/>
        <v>January</v>
      </c>
      <c r="P30" t="str">
        <f t="shared" si="2"/>
        <v>Weekday</v>
      </c>
    </row>
    <row r="31" spans="1:16" x14ac:dyDescent="0.3">
      <c r="A31" s="1">
        <v>41670</v>
      </c>
      <c r="B31">
        <v>1</v>
      </c>
      <c r="C31">
        <v>2.68</v>
      </c>
      <c r="D31">
        <v>7.1</v>
      </c>
      <c r="E31">
        <v>26.9</v>
      </c>
      <c r="F31">
        <v>9</v>
      </c>
      <c r="G31">
        <v>0</v>
      </c>
      <c r="H31">
        <v>1</v>
      </c>
      <c r="I31">
        <v>0</v>
      </c>
      <c r="J31">
        <v>2014</v>
      </c>
      <c r="K31">
        <v>1</v>
      </c>
      <c r="L31">
        <v>276</v>
      </c>
      <c r="M31" t="s">
        <v>13</v>
      </c>
      <c r="N31">
        <f t="shared" si="0"/>
        <v>47.68</v>
      </c>
      <c r="O31" t="str">
        <f t="shared" si="1"/>
        <v>January</v>
      </c>
      <c r="P31" t="str">
        <f t="shared" si="2"/>
        <v>Weekday</v>
      </c>
    </row>
    <row r="32" spans="1:16" x14ac:dyDescent="0.3">
      <c r="A32" s="1">
        <v>41671</v>
      </c>
      <c r="B32">
        <v>4.33</v>
      </c>
      <c r="C32">
        <v>4.32</v>
      </c>
      <c r="D32">
        <v>5</v>
      </c>
      <c r="E32">
        <v>43</v>
      </c>
      <c r="F32">
        <v>13</v>
      </c>
      <c r="G32">
        <v>1</v>
      </c>
      <c r="H32">
        <v>14</v>
      </c>
      <c r="I32">
        <v>0</v>
      </c>
      <c r="J32">
        <v>2014</v>
      </c>
      <c r="K32">
        <v>2</v>
      </c>
      <c r="L32">
        <v>276</v>
      </c>
      <c r="M32" t="s">
        <v>14</v>
      </c>
      <c r="N32">
        <f t="shared" si="0"/>
        <v>84.65</v>
      </c>
      <c r="O32" t="str">
        <f t="shared" si="1"/>
        <v>February</v>
      </c>
      <c r="P32" t="str">
        <f t="shared" si="2"/>
        <v>Weekend</v>
      </c>
    </row>
    <row r="33" spans="1:16" x14ac:dyDescent="0.3">
      <c r="A33" s="1">
        <v>41672</v>
      </c>
      <c r="B33">
        <v>7</v>
      </c>
      <c r="C33">
        <v>3</v>
      </c>
      <c r="D33">
        <v>0.2</v>
      </c>
      <c r="E33">
        <v>13.5</v>
      </c>
      <c r="F33">
        <v>6</v>
      </c>
      <c r="G33">
        <v>2</v>
      </c>
      <c r="H33">
        <v>8</v>
      </c>
      <c r="I33">
        <v>0</v>
      </c>
      <c r="J33">
        <v>2014</v>
      </c>
      <c r="K33">
        <v>2</v>
      </c>
      <c r="L33">
        <v>276</v>
      </c>
      <c r="M33" t="s">
        <v>15</v>
      </c>
      <c r="N33">
        <f t="shared" si="0"/>
        <v>39.700000000000003</v>
      </c>
      <c r="O33" t="str">
        <f t="shared" si="1"/>
        <v>February</v>
      </c>
      <c r="P33" t="str">
        <f t="shared" si="2"/>
        <v>Weekend</v>
      </c>
    </row>
    <row r="34" spans="1:16" x14ac:dyDescent="0.3">
      <c r="A34" s="1">
        <v>41673</v>
      </c>
      <c r="B34">
        <v>5</v>
      </c>
      <c r="C34">
        <v>1</v>
      </c>
      <c r="D34">
        <v>8.5</v>
      </c>
      <c r="E34">
        <v>32.4</v>
      </c>
      <c r="F34">
        <v>16</v>
      </c>
      <c r="G34">
        <v>1</v>
      </c>
      <c r="H34">
        <v>1</v>
      </c>
      <c r="I34">
        <v>0</v>
      </c>
      <c r="J34">
        <v>2014</v>
      </c>
      <c r="K34">
        <v>2</v>
      </c>
      <c r="L34">
        <v>276</v>
      </c>
      <c r="M34" t="s">
        <v>16</v>
      </c>
      <c r="N34">
        <f t="shared" si="0"/>
        <v>64.900000000000006</v>
      </c>
      <c r="O34" t="str">
        <f t="shared" si="1"/>
        <v>February</v>
      </c>
      <c r="P34" t="str">
        <f t="shared" si="2"/>
        <v>Weekday</v>
      </c>
    </row>
    <row r="35" spans="1:16" x14ac:dyDescent="0.3">
      <c r="A35" s="1">
        <v>41674</v>
      </c>
      <c r="B35">
        <v>1.33</v>
      </c>
      <c r="C35">
        <v>3</v>
      </c>
      <c r="D35">
        <v>7</v>
      </c>
      <c r="E35">
        <v>30.6</v>
      </c>
      <c r="F35">
        <v>8</v>
      </c>
      <c r="G35">
        <v>1</v>
      </c>
      <c r="H35">
        <v>17</v>
      </c>
      <c r="I35">
        <v>2</v>
      </c>
      <c r="J35">
        <v>2014</v>
      </c>
      <c r="K35">
        <v>2</v>
      </c>
      <c r="L35">
        <v>276</v>
      </c>
      <c r="M35" t="s">
        <v>17</v>
      </c>
      <c r="N35">
        <f t="shared" si="0"/>
        <v>69.930000000000007</v>
      </c>
      <c r="O35" t="str">
        <f t="shared" si="1"/>
        <v>February</v>
      </c>
      <c r="P35" t="str">
        <f t="shared" si="2"/>
        <v>Weekday</v>
      </c>
    </row>
    <row r="36" spans="1:16" x14ac:dyDescent="0.3">
      <c r="A36" s="1">
        <v>41675</v>
      </c>
      <c r="B36">
        <v>3</v>
      </c>
      <c r="C36">
        <v>4.0199999999999996</v>
      </c>
      <c r="D36">
        <v>6.2</v>
      </c>
      <c r="E36">
        <v>32.4</v>
      </c>
      <c r="F36">
        <v>15</v>
      </c>
      <c r="G36">
        <v>1</v>
      </c>
      <c r="H36">
        <v>1</v>
      </c>
      <c r="I36">
        <v>1</v>
      </c>
      <c r="J36">
        <v>2014</v>
      </c>
      <c r="K36">
        <v>2</v>
      </c>
      <c r="L36">
        <v>276</v>
      </c>
      <c r="M36" t="s">
        <v>18</v>
      </c>
      <c r="N36">
        <f t="shared" si="0"/>
        <v>63.62</v>
      </c>
      <c r="O36" t="str">
        <f t="shared" si="1"/>
        <v>February</v>
      </c>
      <c r="P36" t="str">
        <f t="shared" si="2"/>
        <v>Weekday</v>
      </c>
    </row>
    <row r="37" spans="1:16" x14ac:dyDescent="0.3">
      <c r="A37" s="1">
        <v>41676</v>
      </c>
      <c r="B37">
        <v>3.33</v>
      </c>
      <c r="C37">
        <v>6.68</v>
      </c>
      <c r="D37">
        <v>3.5</v>
      </c>
      <c r="E37">
        <v>41.4</v>
      </c>
      <c r="F37">
        <v>17</v>
      </c>
      <c r="G37">
        <v>2</v>
      </c>
      <c r="H37">
        <v>5</v>
      </c>
      <c r="I37">
        <v>2</v>
      </c>
      <c r="J37">
        <v>2014</v>
      </c>
      <c r="K37">
        <v>2</v>
      </c>
      <c r="L37">
        <v>276</v>
      </c>
      <c r="M37" t="s">
        <v>12</v>
      </c>
      <c r="N37">
        <f t="shared" si="0"/>
        <v>80.91</v>
      </c>
      <c r="O37" t="str">
        <f t="shared" si="1"/>
        <v>February</v>
      </c>
      <c r="P37" t="str">
        <f t="shared" si="2"/>
        <v>Weekday</v>
      </c>
    </row>
    <row r="38" spans="1:16" x14ac:dyDescent="0.3">
      <c r="A38" s="1">
        <v>41677</v>
      </c>
      <c r="B38">
        <v>2.66</v>
      </c>
      <c r="C38">
        <v>8.67</v>
      </c>
      <c r="D38">
        <v>11.7</v>
      </c>
      <c r="E38">
        <v>21.4</v>
      </c>
      <c r="F38">
        <v>19</v>
      </c>
      <c r="G38">
        <v>1</v>
      </c>
      <c r="H38">
        <v>0</v>
      </c>
      <c r="I38">
        <v>0</v>
      </c>
      <c r="J38">
        <v>2014</v>
      </c>
      <c r="K38">
        <v>2</v>
      </c>
      <c r="L38">
        <v>276</v>
      </c>
      <c r="M38" t="s">
        <v>13</v>
      </c>
      <c r="N38">
        <f t="shared" si="0"/>
        <v>64.430000000000007</v>
      </c>
      <c r="O38" t="str">
        <f t="shared" si="1"/>
        <v>February</v>
      </c>
      <c r="P38" t="str">
        <f t="shared" si="2"/>
        <v>Weekday</v>
      </c>
    </row>
    <row r="39" spans="1:16" x14ac:dyDescent="0.3">
      <c r="A39" s="1">
        <v>41678</v>
      </c>
      <c r="B39">
        <v>3.33</v>
      </c>
      <c r="C39">
        <v>3.35</v>
      </c>
      <c r="D39">
        <v>14.4</v>
      </c>
      <c r="E39">
        <v>37.1</v>
      </c>
      <c r="F39">
        <v>13</v>
      </c>
      <c r="G39">
        <v>1</v>
      </c>
      <c r="H39">
        <v>1</v>
      </c>
      <c r="I39">
        <v>1</v>
      </c>
      <c r="J39">
        <v>2014</v>
      </c>
      <c r="K39">
        <v>2</v>
      </c>
      <c r="L39">
        <v>276</v>
      </c>
      <c r="M39" t="s">
        <v>14</v>
      </c>
      <c r="N39">
        <f t="shared" si="0"/>
        <v>74.180000000000007</v>
      </c>
      <c r="O39" t="str">
        <f t="shared" si="1"/>
        <v>February</v>
      </c>
      <c r="P39" t="str">
        <f t="shared" si="2"/>
        <v>Weekend</v>
      </c>
    </row>
    <row r="40" spans="1:16" x14ac:dyDescent="0.3">
      <c r="A40" s="1">
        <v>41679</v>
      </c>
      <c r="B40">
        <v>4</v>
      </c>
      <c r="C40">
        <v>3</v>
      </c>
      <c r="D40">
        <v>2</v>
      </c>
      <c r="E40">
        <v>31.5</v>
      </c>
      <c r="F40">
        <v>10</v>
      </c>
      <c r="G40">
        <v>0</v>
      </c>
      <c r="H40">
        <v>6</v>
      </c>
      <c r="I40">
        <v>0</v>
      </c>
      <c r="J40">
        <v>2014</v>
      </c>
      <c r="K40">
        <v>2</v>
      </c>
      <c r="L40">
        <v>276</v>
      </c>
      <c r="M40" t="s">
        <v>15</v>
      </c>
      <c r="N40">
        <f t="shared" si="0"/>
        <v>56.5</v>
      </c>
      <c r="O40" t="str">
        <f t="shared" si="1"/>
        <v>February</v>
      </c>
      <c r="P40" t="str">
        <f t="shared" si="2"/>
        <v>Weekend</v>
      </c>
    </row>
    <row r="41" spans="1:16" x14ac:dyDescent="0.3">
      <c r="A41" s="1">
        <v>41680</v>
      </c>
      <c r="B41">
        <v>5</v>
      </c>
      <c r="C41">
        <v>10.33</v>
      </c>
      <c r="D41">
        <v>8.5</v>
      </c>
      <c r="E41">
        <v>40.1</v>
      </c>
      <c r="F41">
        <v>20</v>
      </c>
      <c r="G41">
        <v>3</v>
      </c>
      <c r="H41">
        <v>3</v>
      </c>
      <c r="I41">
        <v>1</v>
      </c>
      <c r="J41">
        <v>2014</v>
      </c>
      <c r="K41">
        <v>2</v>
      </c>
      <c r="L41">
        <v>276</v>
      </c>
      <c r="M41" t="s">
        <v>16</v>
      </c>
      <c r="N41">
        <f t="shared" si="0"/>
        <v>90.93</v>
      </c>
      <c r="O41" t="str">
        <f t="shared" si="1"/>
        <v>February</v>
      </c>
      <c r="P41" t="str">
        <f t="shared" si="2"/>
        <v>Weekday</v>
      </c>
    </row>
    <row r="42" spans="1:16" x14ac:dyDescent="0.3">
      <c r="A42" s="1">
        <v>41681</v>
      </c>
      <c r="B42">
        <v>10</v>
      </c>
      <c r="C42">
        <v>6.99</v>
      </c>
      <c r="D42">
        <v>13.3</v>
      </c>
      <c r="E42">
        <v>44.6</v>
      </c>
      <c r="F42">
        <v>20</v>
      </c>
      <c r="G42">
        <v>2</v>
      </c>
      <c r="H42">
        <v>6</v>
      </c>
      <c r="I42">
        <v>2.2000000000000002</v>
      </c>
      <c r="J42">
        <v>2014</v>
      </c>
      <c r="K42">
        <v>2</v>
      </c>
      <c r="L42">
        <v>276</v>
      </c>
      <c r="M42" t="s">
        <v>17</v>
      </c>
      <c r="N42">
        <f t="shared" si="0"/>
        <v>105.09</v>
      </c>
      <c r="O42" t="str">
        <f t="shared" si="1"/>
        <v>February</v>
      </c>
      <c r="P42" t="str">
        <f t="shared" si="2"/>
        <v>Weekday</v>
      </c>
    </row>
    <row r="43" spans="1:16" x14ac:dyDescent="0.3">
      <c r="A43" s="1">
        <v>41682</v>
      </c>
      <c r="B43">
        <v>9</v>
      </c>
      <c r="C43">
        <v>1.67</v>
      </c>
      <c r="D43">
        <v>9.1</v>
      </c>
      <c r="E43">
        <v>73.599999999999994</v>
      </c>
      <c r="F43">
        <v>9</v>
      </c>
      <c r="G43">
        <v>0</v>
      </c>
      <c r="H43">
        <v>5</v>
      </c>
      <c r="I43">
        <v>0</v>
      </c>
      <c r="J43">
        <v>2014</v>
      </c>
      <c r="K43">
        <v>2</v>
      </c>
      <c r="L43">
        <v>276</v>
      </c>
      <c r="M43" t="s">
        <v>18</v>
      </c>
      <c r="N43">
        <f t="shared" si="0"/>
        <v>107.36999999999999</v>
      </c>
      <c r="O43" t="str">
        <f t="shared" si="1"/>
        <v>February</v>
      </c>
      <c r="P43" t="str">
        <f t="shared" si="2"/>
        <v>Weekday</v>
      </c>
    </row>
    <row r="44" spans="1:16" x14ac:dyDescent="0.3">
      <c r="A44" s="1">
        <v>41683</v>
      </c>
      <c r="B44">
        <v>4.33</v>
      </c>
      <c r="C44">
        <v>3.67</v>
      </c>
      <c r="D44">
        <v>10</v>
      </c>
      <c r="E44">
        <v>49.1</v>
      </c>
      <c r="F44">
        <v>13</v>
      </c>
      <c r="G44">
        <v>3</v>
      </c>
      <c r="H44">
        <v>0</v>
      </c>
      <c r="I44">
        <v>1</v>
      </c>
      <c r="J44">
        <v>2014</v>
      </c>
      <c r="K44">
        <v>2</v>
      </c>
      <c r="L44">
        <v>276</v>
      </c>
      <c r="M44" t="s">
        <v>12</v>
      </c>
      <c r="N44">
        <f t="shared" si="0"/>
        <v>84.1</v>
      </c>
      <c r="O44" t="str">
        <f t="shared" si="1"/>
        <v>February</v>
      </c>
      <c r="P44" t="str">
        <f t="shared" si="2"/>
        <v>Weekday</v>
      </c>
    </row>
    <row r="45" spans="1:16" x14ac:dyDescent="0.3">
      <c r="A45" s="1">
        <v>41684</v>
      </c>
      <c r="B45">
        <v>4</v>
      </c>
      <c r="C45">
        <v>4.01</v>
      </c>
      <c r="D45">
        <v>3.2</v>
      </c>
      <c r="E45">
        <v>42.3</v>
      </c>
      <c r="F45">
        <v>13</v>
      </c>
      <c r="G45">
        <v>4</v>
      </c>
      <c r="H45">
        <v>0</v>
      </c>
      <c r="I45">
        <v>6</v>
      </c>
      <c r="J45">
        <v>2014</v>
      </c>
      <c r="K45">
        <v>2</v>
      </c>
      <c r="L45">
        <v>276</v>
      </c>
      <c r="M45" t="s">
        <v>13</v>
      </c>
      <c r="N45">
        <f t="shared" si="0"/>
        <v>76.509999999999991</v>
      </c>
      <c r="O45" t="str">
        <f t="shared" si="1"/>
        <v>February</v>
      </c>
      <c r="P45" t="str">
        <f t="shared" si="2"/>
        <v>Weekday</v>
      </c>
    </row>
    <row r="46" spans="1:16" x14ac:dyDescent="0.3">
      <c r="A46" s="1">
        <v>41685</v>
      </c>
      <c r="B46">
        <v>1</v>
      </c>
      <c r="C46">
        <v>2.34</v>
      </c>
      <c r="D46">
        <v>2</v>
      </c>
      <c r="E46">
        <v>37</v>
      </c>
      <c r="F46">
        <v>9</v>
      </c>
      <c r="G46">
        <v>0</v>
      </c>
      <c r="H46">
        <v>1</v>
      </c>
      <c r="I46">
        <v>5</v>
      </c>
      <c r="J46">
        <v>2014</v>
      </c>
      <c r="K46">
        <v>2</v>
      </c>
      <c r="L46">
        <v>276</v>
      </c>
      <c r="M46" t="s">
        <v>14</v>
      </c>
      <c r="N46">
        <f t="shared" si="0"/>
        <v>57.34</v>
      </c>
      <c r="O46" t="str">
        <f t="shared" si="1"/>
        <v>February</v>
      </c>
      <c r="P46" t="str">
        <f t="shared" si="2"/>
        <v>Weekend</v>
      </c>
    </row>
    <row r="47" spans="1:16" x14ac:dyDescent="0.3">
      <c r="A47" s="1">
        <v>41686</v>
      </c>
      <c r="B47">
        <v>0</v>
      </c>
      <c r="C47">
        <v>1.68</v>
      </c>
      <c r="D47">
        <v>1.2</v>
      </c>
      <c r="E47">
        <v>34</v>
      </c>
      <c r="F47">
        <v>5</v>
      </c>
      <c r="G47">
        <v>2</v>
      </c>
      <c r="H47">
        <v>3</v>
      </c>
      <c r="I47">
        <v>1</v>
      </c>
      <c r="J47">
        <v>2014</v>
      </c>
      <c r="K47">
        <v>2</v>
      </c>
      <c r="L47">
        <v>276</v>
      </c>
      <c r="M47" t="s">
        <v>15</v>
      </c>
      <c r="N47">
        <f t="shared" si="0"/>
        <v>47.88</v>
      </c>
      <c r="O47" t="str">
        <f t="shared" si="1"/>
        <v>February</v>
      </c>
      <c r="P47" t="str">
        <f t="shared" si="2"/>
        <v>Weekend</v>
      </c>
    </row>
    <row r="48" spans="1:16" x14ac:dyDescent="0.3">
      <c r="A48" s="1">
        <v>41687</v>
      </c>
      <c r="B48">
        <v>7.34</v>
      </c>
      <c r="C48">
        <v>4</v>
      </c>
      <c r="D48">
        <v>12.7</v>
      </c>
      <c r="E48">
        <v>27</v>
      </c>
      <c r="F48">
        <v>13</v>
      </c>
      <c r="G48">
        <v>1</v>
      </c>
      <c r="H48">
        <v>7</v>
      </c>
      <c r="I48">
        <v>0</v>
      </c>
      <c r="J48">
        <v>2014</v>
      </c>
      <c r="K48">
        <v>2</v>
      </c>
      <c r="L48">
        <v>276</v>
      </c>
      <c r="M48" t="s">
        <v>16</v>
      </c>
      <c r="N48">
        <f t="shared" si="0"/>
        <v>72.039999999999992</v>
      </c>
      <c r="O48" t="str">
        <f t="shared" si="1"/>
        <v>February</v>
      </c>
      <c r="P48" t="str">
        <f t="shared" si="2"/>
        <v>Weekday</v>
      </c>
    </row>
    <row r="49" spans="1:16" x14ac:dyDescent="0.3">
      <c r="A49" s="1">
        <v>41688</v>
      </c>
      <c r="B49">
        <v>7.34</v>
      </c>
      <c r="C49">
        <v>7.36</v>
      </c>
      <c r="D49">
        <v>6.1</v>
      </c>
      <c r="E49">
        <v>45</v>
      </c>
      <c r="F49">
        <v>14</v>
      </c>
      <c r="G49">
        <v>0</v>
      </c>
      <c r="H49">
        <v>13</v>
      </c>
      <c r="I49">
        <v>5</v>
      </c>
      <c r="J49">
        <v>2014</v>
      </c>
      <c r="K49">
        <v>2</v>
      </c>
      <c r="L49">
        <v>276</v>
      </c>
      <c r="M49" t="s">
        <v>17</v>
      </c>
      <c r="N49">
        <f t="shared" si="0"/>
        <v>97.8</v>
      </c>
      <c r="O49" t="str">
        <f t="shared" si="1"/>
        <v>February</v>
      </c>
      <c r="P49" t="str">
        <f t="shared" si="2"/>
        <v>Weekday</v>
      </c>
    </row>
    <row r="50" spans="1:16" x14ac:dyDescent="0.3">
      <c r="A50" s="1">
        <v>41689</v>
      </c>
      <c r="B50">
        <v>3.33</v>
      </c>
      <c r="C50">
        <v>5.0199999999999996</v>
      </c>
      <c r="D50">
        <v>5.5</v>
      </c>
      <c r="E50">
        <v>66.8</v>
      </c>
      <c r="F50">
        <v>17</v>
      </c>
      <c r="G50">
        <v>1</v>
      </c>
      <c r="H50">
        <v>6</v>
      </c>
      <c r="I50">
        <v>1</v>
      </c>
      <c r="J50">
        <v>2014</v>
      </c>
      <c r="K50">
        <v>2</v>
      </c>
      <c r="L50">
        <v>276</v>
      </c>
      <c r="M50" t="s">
        <v>18</v>
      </c>
      <c r="N50">
        <f t="shared" si="0"/>
        <v>105.64999999999999</v>
      </c>
      <c r="O50" t="str">
        <f t="shared" si="1"/>
        <v>February</v>
      </c>
      <c r="P50" t="str">
        <f t="shared" si="2"/>
        <v>Weekday</v>
      </c>
    </row>
    <row r="51" spans="1:16" x14ac:dyDescent="0.3">
      <c r="A51" s="1">
        <v>41690</v>
      </c>
      <c r="B51">
        <v>7</v>
      </c>
      <c r="C51">
        <v>7.02</v>
      </c>
      <c r="D51">
        <v>3.2</v>
      </c>
      <c r="E51">
        <v>21.5</v>
      </c>
      <c r="F51">
        <v>16</v>
      </c>
      <c r="G51">
        <v>3</v>
      </c>
      <c r="H51">
        <v>8</v>
      </c>
      <c r="I51">
        <v>1</v>
      </c>
      <c r="J51">
        <v>2014</v>
      </c>
      <c r="K51">
        <v>2</v>
      </c>
      <c r="L51">
        <v>276</v>
      </c>
      <c r="M51" t="s">
        <v>12</v>
      </c>
      <c r="N51">
        <f t="shared" si="0"/>
        <v>66.72</v>
      </c>
      <c r="O51" t="str">
        <f t="shared" si="1"/>
        <v>February</v>
      </c>
      <c r="P51" t="str">
        <f t="shared" si="2"/>
        <v>Weekday</v>
      </c>
    </row>
    <row r="52" spans="1:16" x14ac:dyDescent="0.3">
      <c r="A52" s="1">
        <v>41691</v>
      </c>
      <c r="B52">
        <v>6</v>
      </c>
      <c r="C52">
        <v>4.34</v>
      </c>
      <c r="D52">
        <v>9</v>
      </c>
      <c r="E52">
        <v>25.4</v>
      </c>
      <c r="F52">
        <v>17</v>
      </c>
      <c r="G52">
        <v>0</v>
      </c>
      <c r="H52">
        <v>0</v>
      </c>
      <c r="I52">
        <v>0</v>
      </c>
      <c r="J52">
        <v>2014</v>
      </c>
      <c r="K52">
        <v>2</v>
      </c>
      <c r="L52">
        <v>276</v>
      </c>
      <c r="M52" t="s">
        <v>13</v>
      </c>
      <c r="N52">
        <f t="shared" si="0"/>
        <v>61.739999999999995</v>
      </c>
      <c r="O52" t="str">
        <f t="shared" si="1"/>
        <v>February</v>
      </c>
      <c r="P52" t="str">
        <f t="shared" si="2"/>
        <v>Weekday</v>
      </c>
    </row>
    <row r="53" spans="1:16" x14ac:dyDescent="0.3">
      <c r="A53" s="1">
        <v>41692</v>
      </c>
      <c r="B53">
        <v>7</v>
      </c>
      <c r="C53">
        <v>3.17</v>
      </c>
      <c r="D53">
        <v>5.7</v>
      </c>
      <c r="E53">
        <v>26</v>
      </c>
      <c r="F53">
        <v>12</v>
      </c>
      <c r="G53">
        <v>0</v>
      </c>
      <c r="H53">
        <v>1</v>
      </c>
      <c r="I53">
        <v>0</v>
      </c>
      <c r="J53">
        <v>2014</v>
      </c>
      <c r="K53">
        <v>2</v>
      </c>
      <c r="L53">
        <v>276</v>
      </c>
      <c r="M53" t="s">
        <v>14</v>
      </c>
      <c r="N53">
        <f t="shared" si="0"/>
        <v>54.870000000000005</v>
      </c>
      <c r="O53" t="str">
        <f t="shared" si="1"/>
        <v>February</v>
      </c>
      <c r="P53" t="str">
        <f t="shared" si="2"/>
        <v>Weekend</v>
      </c>
    </row>
    <row r="54" spans="1:16" x14ac:dyDescent="0.3">
      <c r="A54" s="1">
        <v>41693</v>
      </c>
      <c r="B54">
        <v>1</v>
      </c>
      <c r="C54">
        <v>3.34</v>
      </c>
      <c r="D54">
        <v>2</v>
      </c>
      <c r="E54">
        <v>21</v>
      </c>
      <c r="F54">
        <v>10</v>
      </c>
      <c r="G54">
        <v>0</v>
      </c>
      <c r="H54">
        <v>0</v>
      </c>
      <c r="I54">
        <v>0</v>
      </c>
      <c r="J54">
        <v>2014</v>
      </c>
      <c r="K54">
        <v>2</v>
      </c>
      <c r="L54">
        <v>276</v>
      </c>
      <c r="M54" t="s">
        <v>15</v>
      </c>
      <c r="N54">
        <f t="shared" si="0"/>
        <v>37.340000000000003</v>
      </c>
      <c r="O54" t="str">
        <f t="shared" si="1"/>
        <v>February</v>
      </c>
      <c r="P54" t="str">
        <f t="shared" si="2"/>
        <v>Weekend</v>
      </c>
    </row>
    <row r="55" spans="1:16" x14ac:dyDescent="0.3">
      <c r="A55" s="1">
        <v>41694</v>
      </c>
      <c r="B55">
        <v>7</v>
      </c>
      <c r="C55">
        <v>4.68</v>
      </c>
      <c r="D55">
        <v>5.5</v>
      </c>
      <c r="E55">
        <v>26.5</v>
      </c>
      <c r="F55">
        <v>4</v>
      </c>
      <c r="G55">
        <v>0</v>
      </c>
      <c r="H55">
        <v>0</v>
      </c>
      <c r="I55">
        <v>3</v>
      </c>
      <c r="J55">
        <v>2014</v>
      </c>
      <c r="K55">
        <v>2</v>
      </c>
      <c r="L55">
        <v>276</v>
      </c>
      <c r="M55" t="s">
        <v>16</v>
      </c>
      <c r="N55">
        <f t="shared" si="0"/>
        <v>50.68</v>
      </c>
      <c r="O55" t="str">
        <f t="shared" si="1"/>
        <v>February</v>
      </c>
      <c r="P55" t="str">
        <f t="shared" si="2"/>
        <v>Weekday</v>
      </c>
    </row>
    <row r="56" spans="1:16" x14ac:dyDescent="0.3">
      <c r="A56" s="1">
        <v>41695</v>
      </c>
      <c r="B56">
        <v>5</v>
      </c>
      <c r="C56">
        <v>1.68</v>
      </c>
      <c r="D56">
        <v>11.2</v>
      </c>
      <c r="E56">
        <v>34.5</v>
      </c>
      <c r="F56">
        <v>13</v>
      </c>
      <c r="G56">
        <v>0</v>
      </c>
      <c r="H56">
        <v>0</v>
      </c>
      <c r="I56">
        <v>2</v>
      </c>
      <c r="J56">
        <v>2014</v>
      </c>
      <c r="K56">
        <v>2</v>
      </c>
      <c r="L56">
        <v>276</v>
      </c>
      <c r="M56" t="s">
        <v>17</v>
      </c>
      <c r="N56">
        <f t="shared" si="0"/>
        <v>67.38</v>
      </c>
      <c r="O56" t="str">
        <f t="shared" si="1"/>
        <v>February</v>
      </c>
      <c r="P56" t="str">
        <f t="shared" si="2"/>
        <v>Weekday</v>
      </c>
    </row>
    <row r="57" spans="1:16" x14ac:dyDescent="0.3">
      <c r="A57" s="1">
        <v>41696</v>
      </c>
      <c r="B57">
        <v>5</v>
      </c>
      <c r="C57">
        <v>4.01</v>
      </c>
      <c r="D57">
        <v>1</v>
      </c>
      <c r="E57">
        <v>34</v>
      </c>
      <c r="F57">
        <v>5</v>
      </c>
      <c r="G57">
        <v>0</v>
      </c>
      <c r="H57">
        <v>12</v>
      </c>
      <c r="I57">
        <v>1</v>
      </c>
      <c r="J57">
        <v>2014</v>
      </c>
      <c r="K57">
        <v>2</v>
      </c>
      <c r="L57">
        <v>276</v>
      </c>
      <c r="M57" t="s">
        <v>18</v>
      </c>
      <c r="N57">
        <f t="shared" si="0"/>
        <v>62.01</v>
      </c>
      <c r="O57" t="str">
        <f t="shared" si="1"/>
        <v>February</v>
      </c>
      <c r="P57" t="str">
        <f t="shared" si="2"/>
        <v>Weekday</v>
      </c>
    </row>
    <row r="58" spans="1:16" x14ac:dyDescent="0.3">
      <c r="A58" s="1">
        <v>41697</v>
      </c>
      <c r="B58">
        <v>3</v>
      </c>
      <c r="C58">
        <v>6.34</v>
      </c>
      <c r="D58">
        <v>4</v>
      </c>
      <c r="E58">
        <v>33.200000000000003</v>
      </c>
      <c r="F58">
        <v>8</v>
      </c>
      <c r="G58">
        <v>1</v>
      </c>
      <c r="H58">
        <v>2</v>
      </c>
      <c r="I58">
        <v>1</v>
      </c>
      <c r="J58">
        <v>2014</v>
      </c>
      <c r="K58">
        <v>2</v>
      </c>
      <c r="L58">
        <v>276</v>
      </c>
      <c r="M58" t="s">
        <v>12</v>
      </c>
      <c r="N58">
        <f t="shared" si="0"/>
        <v>58.540000000000006</v>
      </c>
      <c r="O58" t="str">
        <f t="shared" si="1"/>
        <v>February</v>
      </c>
      <c r="P58" t="str">
        <f t="shared" si="2"/>
        <v>Weekday</v>
      </c>
    </row>
    <row r="59" spans="1:16" x14ac:dyDescent="0.3">
      <c r="A59" s="1">
        <v>41698</v>
      </c>
      <c r="B59">
        <v>7</v>
      </c>
      <c r="C59">
        <v>7.36</v>
      </c>
      <c r="D59">
        <v>5.3</v>
      </c>
      <c r="E59">
        <v>37</v>
      </c>
      <c r="F59">
        <v>12</v>
      </c>
      <c r="G59">
        <v>1</v>
      </c>
      <c r="H59">
        <v>2</v>
      </c>
      <c r="I59">
        <v>0</v>
      </c>
      <c r="J59">
        <v>2014</v>
      </c>
      <c r="K59">
        <v>2</v>
      </c>
      <c r="L59">
        <v>276</v>
      </c>
      <c r="M59" t="s">
        <v>13</v>
      </c>
      <c r="N59">
        <f t="shared" si="0"/>
        <v>71.66</v>
      </c>
      <c r="O59" t="str">
        <f t="shared" si="1"/>
        <v>February</v>
      </c>
      <c r="P59" t="str">
        <f t="shared" si="2"/>
        <v>Weekday</v>
      </c>
    </row>
    <row r="60" spans="1:16" x14ac:dyDescent="0.3">
      <c r="A60" s="1">
        <v>41699</v>
      </c>
      <c r="B60">
        <v>6.34</v>
      </c>
      <c r="C60">
        <v>3.68</v>
      </c>
      <c r="D60">
        <v>11.355</v>
      </c>
      <c r="E60">
        <v>50.7</v>
      </c>
      <c r="F60">
        <v>8</v>
      </c>
      <c r="G60">
        <v>0</v>
      </c>
      <c r="H60">
        <v>0</v>
      </c>
      <c r="I60">
        <v>2.1</v>
      </c>
      <c r="J60">
        <v>2014</v>
      </c>
      <c r="K60">
        <v>3</v>
      </c>
      <c r="L60">
        <v>276</v>
      </c>
      <c r="M60" t="s">
        <v>14</v>
      </c>
      <c r="N60">
        <f t="shared" si="0"/>
        <v>82.174999999999997</v>
      </c>
      <c r="O60" t="str">
        <f t="shared" si="1"/>
        <v>March</v>
      </c>
      <c r="P60" t="str">
        <f t="shared" si="2"/>
        <v>Weekend</v>
      </c>
    </row>
    <row r="61" spans="1:16" x14ac:dyDescent="0.3">
      <c r="A61" s="1">
        <v>41700</v>
      </c>
      <c r="B61">
        <v>3.34</v>
      </c>
      <c r="C61">
        <v>1</v>
      </c>
      <c r="D61">
        <v>2</v>
      </c>
      <c r="E61">
        <v>6.6</v>
      </c>
      <c r="F61">
        <v>2</v>
      </c>
      <c r="G61">
        <v>0</v>
      </c>
      <c r="H61">
        <v>0</v>
      </c>
      <c r="I61">
        <v>1</v>
      </c>
      <c r="J61">
        <v>2014</v>
      </c>
      <c r="K61">
        <v>3</v>
      </c>
      <c r="L61">
        <v>276</v>
      </c>
      <c r="M61" t="s">
        <v>15</v>
      </c>
      <c r="N61">
        <f t="shared" si="0"/>
        <v>15.94</v>
      </c>
      <c r="O61" t="str">
        <f t="shared" si="1"/>
        <v>March</v>
      </c>
      <c r="P61" t="str">
        <f t="shared" si="2"/>
        <v>Weekend</v>
      </c>
    </row>
    <row r="62" spans="1:16" x14ac:dyDescent="0.3">
      <c r="A62" s="1">
        <v>41701</v>
      </c>
      <c r="B62">
        <v>4</v>
      </c>
      <c r="C62">
        <v>3.68</v>
      </c>
      <c r="D62">
        <v>1.6</v>
      </c>
      <c r="E62">
        <v>22.1</v>
      </c>
      <c r="F62">
        <v>1</v>
      </c>
      <c r="G62">
        <v>2</v>
      </c>
      <c r="H62">
        <v>0</v>
      </c>
      <c r="I62">
        <v>2.2000000000000002</v>
      </c>
      <c r="J62">
        <v>2014</v>
      </c>
      <c r="K62">
        <v>3</v>
      </c>
      <c r="L62">
        <v>276</v>
      </c>
      <c r="M62" t="s">
        <v>16</v>
      </c>
      <c r="N62">
        <f t="shared" si="0"/>
        <v>36.580000000000005</v>
      </c>
      <c r="O62" t="str">
        <f t="shared" si="1"/>
        <v>March</v>
      </c>
      <c r="P62" t="str">
        <f t="shared" si="2"/>
        <v>Weekday</v>
      </c>
    </row>
    <row r="63" spans="1:16" x14ac:dyDescent="0.3">
      <c r="A63" s="1">
        <v>41702</v>
      </c>
      <c r="B63">
        <v>5.34</v>
      </c>
      <c r="C63">
        <v>7.02</v>
      </c>
      <c r="D63">
        <v>7.2</v>
      </c>
      <c r="E63">
        <v>47.274999999999999</v>
      </c>
      <c r="F63">
        <v>9</v>
      </c>
      <c r="G63">
        <v>0</v>
      </c>
      <c r="H63">
        <v>5</v>
      </c>
      <c r="I63">
        <v>4</v>
      </c>
      <c r="J63">
        <v>2014</v>
      </c>
      <c r="K63">
        <v>3</v>
      </c>
      <c r="L63">
        <v>276</v>
      </c>
      <c r="M63" t="s">
        <v>17</v>
      </c>
      <c r="N63">
        <f t="shared" si="0"/>
        <v>84.834999999999994</v>
      </c>
      <c r="O63" t="str">
        <f t="shared" si="1"/>
        <v>March</v>
      </c>
      <c r="P63" t="str">
        <f t="shared" si="2"/>
        <v>Weekday</v>
      </c>
    </row>
    <row r="64" spans="1:16" x14ac:dyDescent="0.3">
      <c r="A64" s="1">
        <v>41703</v>
      </c>
      <c r="B64">
        <v>3.34</v>
      </c>
      <c r="C64">
        <v>1</v>
      </c>
      <c r="D64">
        <v>3</v>
      </c>
      <c r="E64">
        <v>25</v>
      </c>
      <c r="F64">
        <v>4</v>
      </c>
      <c r="G64">
        <v>0</v>
      </c>
      <c r="H64">
        <v>1</v>
      </c>
      <c r="I64">
        <v>0</v>
      </c>
      <c r="J64">
        <v>2014</v>
      </c>
      <c r="K64">
        <v>3</v>
      </c>
      <c r="L64">
        <v>276</v>
      </c>
      <c r="M64" t="s">
        <v>18</v>
      </c>
      <c r="N64">
        <f t="shared" si="0"/>
        <v>37.340000000000003</v>
      </c>
      <c r="O64" t="str">
        <f t="shared" si="1"/>
        <v>March</v>
      </c>
      <c r="P64" t="str">
        <f t="shared" si="2"/>
        <v>Weekday</v>
      </c>
    </row>
    <row r="65" spans="1:16" x14ac:dyDescent="0.3">
      <c r="A65" s="1">
        <v>41704</v>
      </c>
      <c r="B65">
        <v>3</v>
      </c>
      <c r="C65">
        <v>2</v>
      </c>
      <c r="D65">
        <v>5.5</v>
      </c>
      <c r="E65">
        <v>44.1</v>
      </c>
      <c r="F65">
        <v>17</v>
      </c>
      <c r="G65">
        <v>1</v>
      </c>
      <c r="H65">
        <v>5</v>
      </c>
      <c r="I65">
        <v>1</v>
      </c>
      <c r="J65">
        <v>2014</v>
      </c>
      <c r="K65">
        <v>3</v>
      </c>
      <c r="L65">
        <v>276</v>
      </c>
      <c r="M65" t="s">
        <v>12</v>
      </c>
      <c r="N65">
        <f t="shared" si="0"/>
        <v>78.599999999999994</v>
      </c>
      <c r="O65" t="str">
        <f t="shared" si="1"/>
        <v>March</v>
      </c>
      <c r="P65" t="str">
        <f t="shared" si="2"/>
        <v>Weekday</v>
      </c>
    </row>
    <row r="66" spans="1:16" x14ac:dyDescent="0.3">
      <c r="A66" s="1">
        <v>41705</v>
      </c>
      <c r="B66">
        <v>4</v>
      </c>
      <c r="C66">
        <v>4.34</v>
      </c>
      <c r="D66">
        <v>9.5</v>
      </c>
      <c r="E66">
        <v>25</v>
      </c>
      <c r="F66">
        <v>3</v>
      </c>
      <c r="G66">
        <v>1</v>
      </c>
      <c r="H66">
        <v>0</v>
      </c>
      <c r="I66">
        <v>2</v>
      </c>
      <c r="J66">
        <v>2014</v>
      </c>
      <c r="K66">
        <v>3</v>
      </c>
      <c r="L66">
        <v>276</v>
      </c>
      <c r="M66" t="s">
        <v>13</v>
      </c>
      <c r="N66">
        <f t="shared" si="0"/>
        <v>48.84</v>
      </c>
      <c r="O66" t="str">
        <f t="shared" si="1"/>
        <v>March</v>
      </c>
      <c r="P66" t="str">
        <f t="shared" si="2"/>
        <v>Weekday</v>
      </c>
    </row>
    <row r="67" spans="1:16" x14ac:dyDescent="0.3">
      <c r="A67" s="1">
        <v>41706</v>
      </c>
      <c r="B67">
        <v>4.34</v>
      </c>
      <c r="C67">
        <v>3.07</v>
      </c>
      <c r="D67">
        <v>1</v>
      </c>
      <c r="E67">
        <v>27.6</v>
      </c>
      <c r="F67">
        <v>11</v>
      </c>
      <c r="G67">
        <v>0</v>
      </c>
      <c r="H67">
        <v>0</v>
      </c>
      <c r="I67">
        <v>0</v>
      </c>
      <c r="J67">
        <v>2014</v>
      </c>
      <c r="K67">
        <v>3</v>
      </c>
      <c r="L67">
        <v>276</v>
      </c>
      <c r="M67" t="s">
        <v>14</v>
      </c>
      <c r="N67">
        <f t="shared" ref="N67:N130" si="3">SUM(B67:I67)</f>
        <v>47.010000000000005</v>
      </c>
      <c r="O67" t="str">
        <f t="shared" ref="O67:O130" si="4">TEXT(A67,"mmmm")</f>
        <v>March</v>
      </c>
      <c r="P67" t="str">
        <f t="shared" ref="P67:P130" si="5">IF(OR(M67="Saturday",M67="Sunday"),"Weekend","Weekday")</f>
        <v>Weekend</v>
      </c>
    </row>
    <row r="68" spans="1:16" x14ac:dyDescent="0.3">
      <c r="A68" s="1">
        <v>41707</v>
      </c>
      <c r="B68">
        <v>1</v>
      </c>
      <c r="C68">
        <v>0</v>
      </c>
      <c r="D68">
        <v>4</v>
      </c>
      <c r="E68">
        <v>11.3</v>
      </c>
      <c r="F68">
        <v>3</v>
      </c>
      <c r="G68">
        <v>0</v>
      </c>
      <c r="H68">
        <v>5</v>
      </c>
      <c r="I68">
        <v>0</v>
      </c>
      <c r="J68">
        <v>2014</v>
      </c>
      <c r="K68">
        <v>3</v>
      </c>
      <c r="L68">
        <v>276</v>
      </c>
      <c r="M68" t="s">
        <v>15</v>
      </c>
      <c r="N68">
        <f t="shared" si="3"/>
        <v>24.3</v>
      </c>
      <c r="O68" t="str">
        <f t="shared" si="4"/>
        <v>March</v>
      </c>
      <c r="P68" t="str">
        <f t="shared" si="5"/>
        <v>Weekend</v>
      </c>
    </row>
    <row r="69" spans="1:16" x14ac:dyDescent="0.3">
      <c r="A69" s="1">
        <v>41708</v>
      </c>
      <c r="B69">
        <v>6.68</v>
      </c>
      <c r="C69">
        <v>5.35</v>
      </c>
      <c r="D69">
        <v>3.8</v>
      </c>
      <c r="E69">
        <v>47</v>
      </c>
      <c r="F69">
        <v>11</v>
      </c>
      <c r="G69">
        <v>0</v>
      </c>
      <c r="H69">
        <v>0</v>
      </c>
      <c r="I69">
        <v>2</v>
      </c>
      <c r="J69">
        <v>2014</v>
      </c>
      <c r="K69">
        <v>3</v>
      </c>
      <c r="L69">
        <v>276</v>
      </c>
      <c r="M69" t="s">
        <v>16</v>
      </c>
      <c r="N69">
        <f t="shared" si="3"/>
        <v>75.83</v>
      </c>
      <c r="O69" t="str">
        <f t="shared" si="4"/>
        <v>March</v>
      </c>
      <c r="P69" t="str">
        <f t="shared" si="5"/>
        <v>Weekday</v>
      </c>
    </row>
    <row r="70" spans="1:16" x14ac:dyDescent="0.3">
      <c r="A70" s="1">
        <v>41709</v>
      </c>
      <c r="B70">
        <v>6</v>
      </c>
      <c r="C70">
        <v>5.7</v>
      </c>
      <c r="D70">
        <v>7</v>
      </c>
      <c r="E70">
        <v>30.4</v>
      </c>
      <c r="F70">
        <v>12</v>
      </c>
      <c r="G70">
        <v>1</v>
      </c>
      <c r="H70">
        <v>1</v>
      </c>
      <c r="I70">
        <v>5</v>
      </c>
      <c r="J70">
        <v>2014</v>
      </c>
      <c r="K70">
        <v>3</v>
      </c>
      <c r="L70">
        <v>276</v>
      </c>
      <c r="M70" t="s">
        <v>17</v>
      </c>
      <c r="N70">
        <f t="shared" si="3"/>
        <v>68.099999999999994</v>
      </c>
      <c r="O70" t="str">
        <f t="shared" si="4"/>
        <v>March</v>
      </c>
      <c r="P70" t="str">
        <f t="shared" si="5"/>
        <v>Weekday</v>
      </c>
    </row>
    <row r="71" spans="1:16" x14ac:dyDescent="0.3">
      <c r="A71" s="1">
        <v>41710</v>
      </c>
      <c r="B71">
        <v>6.34</v>
      </c>
      <c r="C71">
        <v>2.68</v>
      </c>
      <c r="D71">
        <v>6.5</v>
      </c>
      <c r="E71">
        <v>19.600000000000001</v>
      </c>
      <c r="F71">
        <v>22</v>
      </c>
      <c r="G71">
        <v>3</v>
      </c>
      <c r="H71">
        <v>2</v>
      </c>
      <c r="I71">
        <v>2</v>
      </c>
      <c r="J71">
        <v>2014</v>
      </c>
      <c r="K71">
        <v>3</v>
      </c>
      <c r="L71">
        <v>276</v>
      </c>
      <c r="M71" t="s">
        <v>18</v>
      </c>
      <c r="N71">
        <f t="shared" si="3"/>
        <v>64.12</v>
      </c>
      <c r="O71" t="str">
        <f t="shared" si="4"/>
        <v>March</v>
      </c>
      <c r="P71" t="str">
        <f t="shared" si="5"/>
        <v>Weekday</v>
      </c>
    </row>
    <row r="72" spans="1:16" x14ac:dyDescent="0.3">
      <c r="A72" s="1">
        <v>41711</v>
      </c>
      <c r="B72">
        <v>2.31</v>
      </c>
      <c r="C72">
        <v>4.3600000000000003</v>
      </c>
      <c r="D72">
        <v>5.3</v>
      </c>
      <c r="E72">
        <v>15.5</v>
      </c>
      <c r="F72">
        <v>10</v>
      </c>
      <c r="G72">
        <v>0</v>
      </c>
      <c r="H72">
        <v>26</v>
      </c>
      <c r="I72">
        <v>2</v>
      </c>
      <c r="J72">
        <v>2014</v>
      </c>
      <c r="K72">
        <v>3</v>
      </c>
      <c r="L72">
        <v>276</v>
      </c>
      <c r="M72" t="s">
        <v>12</v>
      </c>
      <c r="N72">
        <f t="shared" si="3"/>
        <v>65.47</v>
      </c>
      <c r="O72" t="str">
        <f t="shared" si="4"/>
        <v>March</v>
      </c>
      <c r="P72" t="str">
        <f t="shared" si="5"/>
        <v>Weekday</v>
      </c>
    </row>
    <row r="73" spans="1:16" x14ac:dyDescent="0.3">
      <c r="A73" s="1">
        <v>41712</v>
      </c>
      <c r="B73">
        <v>4.34</v>
      </c>
      <c r="C73">
        <v>1.68</v>
      </c>
      <c r="D73">
        <v>1.2</v>
      </c>
      <c r="E73">
        <v>16</v>
      </c>
      <c r="F73">
        <v>11</v>
      </c>
      <c r="G73">
        <v>0</v>
      </c>
      <c r="H73">
        <v>1</v>
      </c>
      <c r="I73">
        <v>2</v>
      </c>
      <c r="J73">
        <v>2014</v>
      </c>
      <c r="K73">
        <v>3</v>
      </c>
      <c r="L73">
        <v>276</v>
      </c>
      <c r="M73" t="s">
        <v>13</v>
      </c>
      <c r="N73">
        <f t="shared" si="3"/>
        <v>37.22</v>
      </c>
      <c r="O73" t="str">
        <f t="shared" si="4"/>
        <v>March</v>
      </c>
      <c r="P73" t="str">
        <f t="shared" si="5"/>
        <v>Weekday</v>
      </c>
    </row>
    <row r="74" spans="1:16" x14ac:dyDescent="0.3">
      <c r="A74" s="1">
        <v>41713</v>
      </c>
      <c r="B74">
        <v>4</v>
      </c>
      <c r="C74">
        <v>2</v>
      </c>
      <c r="D74">
        <v>11</v>
      </c>
      <c r="E74">
        <v>23.3</v>
      </c>
      <c r="F74">
        <v>18</v>
      </c>
      <c r="G74">
        <v>1</v>
      </c>
      <c r="H74">
        <v>6</v>
      </c>
      <c r="I74">
        <v>2</v>
      </c>
      <c r="J74">
        <v>2014</v>
      </c>
      <c r="K74">
        <v>3</v>
      </c>
      <c r="L74">
        <v>276</v>
      </c>
      <c r="M74" t="s">
        <v>14</v>
      </c>
      <c r="N74">
        <f t="shared" si="3"/>
        <v>67.3</v>
      </c>
      <c r="O74" t="str">
        <f t="shared" si="4"/>
        <v>March</v>
      </c>
      <c r="P74" t="str">
        <f t="shared" si="5"/>
        <v>Weekend</v>
      </c>
    </row>
    <row r="75" spans="1:16" x14ac:dyDescent="0.3">
      <c r="A75" s="1">
        <v>41714</v>
      </c>
      <c r="B75">
        <v>2.68</v>
      </c>
      <c r="C75">
        <v>2</v>
      </c>
      <c r="D75">
        <v>1.4</v>
      </c>
      <c r="E75">
        <v>13</v>
      </c>
      <c r="F75">
        <v>6</v>
      </c>
      <c r="G75">
        <v>0</v>
      </c>
      <c r="H75">
        <v>0</v>
      </c>
      <c r="I75">
        <v>4</v>
      </c>
      <c r="J75">
        <v>2014</v>
      </c>
      <c r="K75">
        <v>3</v>
      </c>
      <c r="L75">
        <v>276</v>
      </c>
      <c r="M75" t="s">
        <v>15</v>
      </c>
      <c r="N75">
        <f t="shared" si="3"/>
        <v>29.08</v>
      </c>
      <c r="O75" t="str">
        <f t="shared" si="4"/>
        <v>March</v>
      </c>
      <c r="P75" t="str">
        <f t="shared" si="5"/>
        <v>Weekend</v>
      </c>
    </row>
    <row r="76" spans="1:16" x14ac:dyDescent="0.3">
      <c r="A76" s="1">
        <v>41715</v>
      </c>
      <c r="B76">
        <v>8.68</v>
      </c>
      <c r="C76">
        <v>3.34</v>
      </c>
      <c r="D76">
        <v>7</v>
      </c>
      <c r="E76">
        <v>37</v>
      </c>
      <c r="F76">
        <v>6</v>
      </c>
      <c r="G76">
        <v>1</v>
      </c>
      <c r="H76">
        <v>0</v>
      </c>
      <c r="I76">
        <v>1</v>
      </c>
      <c r="J76">
        <v>2014</v>
      </c>
      <c r="K76">
        <v>3</v>
      </c>
      <c r="L76">
        <v>276</v>
      </c>
      <c r="M76" t="s">
        <v>16</v>
      </c>
      <c r="N76">
        <f t="shared" si="3"/>
        <v>64.02</v>
      </c>
      <c r="O76" t="str">
        <f t="shared" si="4"/>
        <v>March</v>
      </c>
      <c r="P76" t="str">
        <f t="shared" si="5"/>
        <v>Weekday</v>
      </c>
    </row>
    <row r="77" spans="1:16" x14ac:dyDescent="0.3">
      <c r="A77" s="1">
        <v>41716</v>
      </c>
      <c r="B77">
        <v>8</v>
      </c>
      <c r="C77">
        <v>4</v>
      </c>
      <c r="D77">
        <v>5</v>
      </c>
      <c r="E77">
        <v>20.100000000000001</v>
      </c>
      <c r="F77">
        <v>9</v>
      </c>
      <c r="G77">
        <v>0</v>
      </c>
      <c r="H77">
        <v>0</v>
      </c>
      <c r="I77">
        <v>4</v>
      </c>
      <c r="J77">
        <v>2014</v>
      </c>
      <c r="K77">
        <v>3</v>
      </c>
      <c r="L77">
        <v>276</v>
      </c>
      <c r="M77" t="s">
        <v>17</v>
      </c>
      <c r="N77">
        <f t="shared" si="3"/>
        <v>50.1</v>
      </c>
      <c r="O77" t="str">
        <f t="shared" si="4"/>
        <v>March</v>
      </c>
      <c r="P77" t="str">
        <f t="shared" si="5"/>
        <v>Weekday</v>
      </c>
    </row>
    <row r="78" spans="1:16" x14ac:dyDescent="0.3">
      <c r="A78" s="1">
        <v>41717</v>
      </c>
      <c r="B78">
        <v>4</v>
      </c>
      <c r="C78">
        <v>3.02</v>
      </c>
      <c r="D78">
        <v>4</v>
      </c>
      <c r="E78">
        <v>21.8</v>
      </c>
      <c r="F78">
        <v>2</v>
      </c>
      <c r="G78">
        <v>0</v>
      </c>
      <c r="H78">
        <v>0</v>
      </c>
      <c r="I78">
        <v>2</v>
      </c>
      <c r="J78">
        <v>2014</v>
      </c>
      <c r="K78">
        <v>3</v>
      </c>
      <c r="L78">
        <v>276</v>
      </c>
      <c r="M78" t="s">
        <v>18</v>
      </c>
      <c r="N78">
        <f t="shared" si="3"/>
        <v>36.82</v>
      </c>
      <c r="O78" t="str">
        <f t="shared" si="4"/>
        <v>March</v>
      </c>
      <c r="P78" t="str">
        <f t="shared" si="5"/>
        <v>Weekday</v>
      </c>
    </row>
    <row r="79" spans="1:16" x14ac:dyDescent="0.3">
      <c r="A79" s="1">
        <v>41718</v>
      </c>
      <c r="B79">
        <v>3</v>
      </c>
      <c r="C79">
        <v>5.34</v>
      </c>
      <c r="D79">
        <v>1.6</v>
      </c>
      <c r="E79">
        <v>38.200000000000003</v>
      </c>
      <c r="F79">
        <v>5</v>
      </c>
      <c r="G79">
        <v>0</v>
      </c>
      <c r="H79">
        <v>7</v>
      </c>
      <c r="I79">
        <v>4.2</v>
      </c>
      <c r="J79">
        <v>2014</v>
      </c>
      <c r="K79">
        <v>3</v>
      </c>
      <c r="L79">
        <v>276</v>
      </c>
      <c r="M79" t="s">
        <v>12</v>
      </c>
      <c r="N79">
        <f t="shared" si="3"/>
        <v>64.34</v>
      </c>
      <c r="O79" t="str">
        <f t="shared" si="4"/>
        <v>March</v>
      </c>
      <c r="P79" t="str">
        <f t="shared" si="5"/>
        <v>Weekday</v>
      </c>
    </row>
    <row r="80" spans="1:16" x14ac:dyDescent="0.3">
      <c r="A80" s="1">
        <v>41719</v>
      </c>
      <c r="B80">
        <v>6</v>
      </c>
      <c r="C80">
        <v>3.68</v>
      </c>
      <c r="D80">
        <v>4.5</v>
      </c>
      <c r="E80">
        <v>40</v>
      </c>
      <c r="F80">
        <v>4</v>
      </c>
      <c r="G80">
        <v>0</v>
      </c>
      <c r="H80">
        <v>2</v>
      </c>
      <c r="I80">
        <v>1</v>
      </c>
      <c r="J80">
        <v>2014</v>
      </c>
      <c r="K80">
        <v>3</v>
      </c>
      <c r="L80">
        <v>276</v>
      </c>
      <c r="M80" t="s">
        <v>13</v>
      </c>
      <c r="N80">
        <f t="shared" si="3"/>
        <v>61.18</v>
      </c>
      <c r="O80" t="str">
        <f t="shared" si="4"/>
        <v>March</v>
      </c>
      <c r="P80" t="str">
        <f t="shared" si="5"/>
        <v>Weekday</v>
      </c>
    </row>
    <row r="81" spans="1:16" x14ac:dyDescent="0.3">
      <c r="A81" s="1">
        <v>41720</v>
      </c>
      <c r="B81">
        <v>3.34</v>
      </c>
      <c r="C81">
        <v>2.34</v>
      </c>
      <c r="D81">
        <v>0</v>
      </c>
      <c r="E81">
        <v>26.3</v>
      </c>
      <c r="F81">
        <v>10</v>
      </c>
      <c r="G81">
        <v>2</v>
      </c>
      <c r="H81">
        <v>18</v>
      </c>
      <c r="I81">
        <v>8.4</v>
      </c>
      <c r="J81">
        <v>2014</v>
      </c>
      <c r="K81">
        <v>3</v>
      </c>
      <c r="L81">
        <v>276</v>
      </c>
      <c r="M81" t="s">
        <v>14</v>
      </c>
      <c r="N81">
        <f t="shared" si="3"/>
        <v>70.38000000000001</v>
      </c>
      <c r="O81" t="str">
        <f t="shared" si="4"/>
        <v>March</v>
      </c>
      <c r="P81" t="str">
        <f t="shared" si="5"/>
        <v>Weekend</v>
      </c>
    </row>
    <row r="82" spans="1:16" x14ac:dyDescent="0.3">
      <c r="A82" s="1">
        <v>41721</v>
      </c>
      <c r="B82">
        <v>6.34</v>
      </c>
      <c r="C82">
        <v>2</v>
      </c>
      <c r="D82">
        <v>4</v>
      </c>
      <c r="E82">
        <v>19.399999999999999</v>
      </c>
      <c r="F82">
        <v>0</v>
      </c>
      <c r="G82">
        <v>1</v>
      </c>
      <c r="H82">
        <v>0</v>
      </c>
      <c r="I82">
        <v>3</v>
      </c>
      <c r="J82">
        <v>2014</v>
      </c>
      <c r="K82">
        <v>3</v>
      </c>
      <c r="L82">
        <v>276</v>
      </c>
      <c r="M82" t="s">
        <v>15</v>
      </c>
      <c r="N82">
        <f t="shared" si="3"/>
        <v>35.739999999999995</v>
      </c>
      <c r="O82" t="str">
        <f t="shared" si="4"/>
        <v>March</v>
      </c>
      <c r="P82" t="str">
        <f t="shared" si="5"/>
        <v>Weekend</v>
      </c>
    </row>
    <row r="83" spans="1:16" x14ac:dyDescent="0.3">
      <c r="A83" s="1">
        <v>41722</v>
      </c>
      <c r="B83">
        <v>5.68</v>
      </c>
      <c r="C83">
        <v>1</v>
      </c>
      <c r="D83">
        <v>4</v>
      </c>
      <c r="E83">
        <v>23.6</v>
      </c>
      <c r="F83">
        <v>7</v>
      </c>
      <c r="G83">
        <v>0</v>
      </c>
      <c r="H83">
        <v>6</v>
      </c>
      <c r="I83">
        <v>3.5</v>
      </c>
      <c r="J83">
        <v>2014</v>
      </c>
      <c r="K83">
        <v>3</v>
      </c>
      <c r="L83">
        <v>276</v>
      </c>
      <c r="M83" t="s">
        <v>16</v>
      </c>
      <c r="N83">
        <f t="shared" si="3"/>
        <v>50.78</v>
      </c>
      <c r="O83" t="str">
        <f t="shared" si="4"/>
        <v>March</v>
      </c>
      <c r="P83" t="str">
        <f t="shared" si="5"/>
        <v>Weekday</v>
      </c>
    </row>
    <row r="84" spans="1:16" x14ac:dyDescent="0.3">
      <c r="A84" s="1">
        <v>41723</v>
      </c>
      <c r="B84">
        <v>4</v>
      </c>
      <c r="C84">
        <v>1.34</v>
      </c>
      <c r="D84">
        <v>9</v>
      </c>
      <c r="E84">
        <v>38.6</v>
      </c>
      <c r="F84">
        <v>7</v>
      </c>
      <c r="G84">
        <v>0</v>
      </c>
      <c r="H84">
        <v>1</v>
      </c>
      <c r="I84">
        <v>1</v>
      </c>
      <c r="J84">
        <v>2014</v>
      </c>
      <c r="K84">
        <v>3</v>
      </c>
      <c r="L84">
        <v>276</v>
      </c>
      <c r="M84" t="s">
        <v>17</v>
      </c>
      <c r="N84">
        <f t="shared" si="3"/>
        <v>61.94</v>
      </c>
      <c r="O84" t="str">
        <f t="shared" si="4"/>
        <v>March</v>
      </c>
      <c r="P84" t="str">
        <f t="shared" si="5"/>
        <v>Weekday</v>
      </c>
    </row>
    <row r="85" spans="1:16" x14ac:dyDescent="0.3">
      <c r="A85" s="1">
        <v>41724</v>
      </c>
      <c r="B85">
        <v>2.34</v>
      </c>
      <c r="C85">
        <v>3.99</v>
      </c>
      <c r="D85">
        <v>9</v>
      </c>
      <c r="E85">
        <v>6.7</v>
      </c>
      <c r="F85">
        <v>7</v>
      </c>
      <c r="G85">
        <v>3</v>
      </c>
      <c r="H85">
        <v>3</v>
      </c>
      <c r="I85">
        <v>0</v>
      </c>
      <c r="J85">
        <v>2014</v>
      </c>
      <c r="K85">
        <v>3</v>
      </c>
      <c r="L85">
        <v>276</v>
      </c>
      <c r="M85" t="s">
        <v>18</v>
      </c>
      <c r="N85">
        <f t="shared" si="3"/>
        <v>35.03</v>
      </c>
      <c r="O85" t="str">
        <f t="shared" si="4"/>
        <v>March</v>
      </c>
      <c r="P85" t="str">
        <f t="shared" si="5"/>
        <v>Weekday</v>
      </c>
    </row>
    <row r="86" spans="1:16" x14ac:dyDescent="0.3">
      <c r="A86" s="1">
        <v>41725</v>
      </c>
      <c r="B86">
        <v>4</v>
      </c>
      <c r="C86">
        <v>0.33</v>
      </c>
      <c r="D86">
        <v>2</v>
      </c>
      <c r="E86">
        <v>20.7</v>
      </c>
      <c r="F86">
        <v>6</v>
      </c>
      <c r="G86">
        <v>1</v>
      </c>
      <c r="H86">
        <v>1</v>
      </c>
      <c r="I86">
        <v>5</v>
      </c>
      <c r="J86">
        <v>2014</v>
      </c>
      <c r="K86">
        <v>3</v>
      </c>
      <c r="L86">
        <v>276</v>
      </c>
      <c r="M86" t="s">
        <v>12</v>
      </c>
      <c r="N86">
        <f t="shared" si="3"/>
        <v>40.03</v>
      </c>
      <c r="O86" t="str">
        <f t="shared" si="4"/>
        <v>March</v>
      </c>
      <c r="P86" t="str">
        <f t="shared" si="5"/>
        <v>Weekday</v>
      </c>
    </row>
    <row r="87" spans="1:16" x14ac:dyDescent="0.3">
      <c r="A87" s="1">
        <v>41726</v>
      </c>
      <c r="B87">
        <v>2.67</v>
      </c>
      <c r="C87">
        <v>2</v>
      </c>
      <c r="D87">
        <v>8</v>
      </c>
      <c r="E87">
        <v>11</v>
      </c>
      <c r="F87">
        <v>3</v>
      </c>
      <c r="G87">
        <v>0</v>
      </c>
      <c r="H87">
        <v>9</v>
      </c>
      <c r="I87">
        <v>5</v>
      </c>
      <c r="J87">
        <v>2014</v>
      </c>
      <c r="K87">
        <v>3</v>
      </c>
      <c r="L87">
        <v>276</v>
      </c>
      <c r="M87" t="s">
        <v>13</v>
      </c>
      <c r="N87">
        <f t="shared" si="3"/>
        <v>40.67</v>
      </c>
      <c r="O87" t="str">
        <f t="shared" si="4"/>
        <v>March</v>
      </c>
      <c r="P87" t="str">
        <f t="shared" si="5"/>
        <v>Weekday</v>
      </c>
    </row>
    <row r="88" spans="1:16" x14ac:dyDescent="0.3">
      <c r="A88" s="1">
        <v>41727</v>
      </c>
      <c r="B88">
        <v>4</v>
      </c>
      <c r="C88">
        <v>6.33</v>
      </c>
      <c r="D88">
        <v>4.2</v>
      </c>
      <c r="E88">
        <v>24</v>
      </c>
      <c r="F88">
        <v>8</v>
      </c>
      <c r="G88">
        <v>2</v>
      </c>
      <c r="H88">
        <v>9</v>
      </c>
      <c r="I88">
        <v>3</v>
      </c>
      <c r="J88">
        <v>2014</v>
      </c>
      <c r="K88">
        <v>3</v>
      </c>
      <c r="L88">
        <v>276</v>
      </c>
      <c r="M88" t="s">
        <v>14</v>
      </c>
      <c r="N88">
        <f t="shared" si="3"/>
        <v>60.53</v>
      </c>
      <c r="O88" t="str">
        <f t="shared" si="4"/>
        <v>March</v>
      </c>
      <c r="P88" t="str">
        <f t="shared" si="5"/>
        <v>Weekend</v>
      </c>
    </row>
    <row r="89" spans="1:16" x14ac:dyDescent="0.3">
      <c r="A89" s="1">
        <v>41728</v>
      </c>
      <c r="B89">
        <v>3</v>
      </c>
      <c r="C89">
        <v>2.34</v>
      </c>
      <c r="D89">
        <v>0</v>
      </c>
      <c r="E89">
        <v>12</v>
      </c>
      <c r="F89">
        <v>4</v>
      </c>
      <c r="G89">
        <v>0</v>
      </c>
      <c r="H89">
        <v>0</v>
      </c>
      <c r="I89">
        <v>7</v>
      </c>
      <c r="J89">
        <v>2014</v>
      </c>
      <c r="K89">
        <v>3</v>
      </c>
      <c r="L89">
        <v>276</v>
      </c>
      <c r="M89" t="s">
        <v>15</v>
      </c>
      <c r="N89">
        <f t="shared" si="3"/>
        <v>28.34</v>
      </c>
      <c r="O89" t="str">
        <f t="shared" si="4"/>
        <v>March</v>
      </c>
      <c r="P89" t="str">
        <f t="shared" si="5"/>
        <v>Weekend</v>
      </c>
    </row>
    <row r="90" spans="1:16" x14ac:dyDescent="0.3">
      <c r="A90" s="1">
        <v>41729</v>
      </c>
      <c r="B90">
        <v>5.34</v>
      </c>
      <c r="C90">
        <v>2.34</v>
      </c>
      <c r="D90">
        <v>4</v>
      </c>
      <c r="E90">
        <v>15.4</v>
      </c>
      <c r="F90">
        <v>6</v>
      </c>
      <c r="G90">
        <v>1</v>
      </c>
      <c r="H90">
        <v>4</v>
      </c>
      <c r="I90">
        <v>6</v>
      </c>
      <c r="J90">
        <v>2014</v>
      </c>
      <c r="K90">
        <v>3</v>
      </c>
      <c r="L90">
        <v>276</v>
      </c>
      <c r="M90" t="s">
        <v>16</v>
      </c>
      <c r="N90">
        <f t="shared" si="3"/>
        <v>44.08</v>
      </c>
      <c r="O90" t="str">
        <f t="shared" si="4"/>
        <v>March</v>
      </c>
      <c r="P90" t="str">
        <f t="shared" si="5"/>
        <v>Weekday</v>
      </c>
    </row>
    <row r="91" spans="1:16" x14ac:dyDescent="0.3">
      <c r="A91" s="1">
        <v>41730</v>
      </c>
      <c r="B91">
        <v>4.34</v>
      </c>
      <c r="C91">
        <v>1.34</v>
      </c>
      <c r="D91">
        <v>6.5</v>
      </c>
      <c r="E91">
        <v>27.5</v>
      </c>
      <c r="F91">
        <v>5</v>
      </c>
      <c r="G91">
        <v>3</v>
      </c>
      <c r="H91">
        <v>3</v>
      </c>
      <c r="I91">
        <v>1</v>
      </c>
      <c r="J91">
        <v>2014</v>
      </c>
      <c r="K91">
        <v>4</v>
      </c>
      <c r="L91">
        <v>276</v>
      </c>
      <c r="M91" t="s">
        <v>17</v>
      </c>
      <c r="N91">
        <f t="shared" si="3"/>
        <v>51.68</v>
      </c>
      <c r="O91" t="str">
        <f t="shared" si="4"/>
        <v>April</v>
      </c>
      <c r="P91" t="str">
        <f t="shared" si="5"/>
        <v>Weekday</v>
      </c>
    </row>
    <row r="92" spans="1:16" x14ac:dyDescent="0.3">
      <c r="A92" s="1">
        <v>41731</v>
      </c>
      <c r="B92">
        <v>2</v>
      </c>
      <c r="C92">
        <v>4.68</v>
      </c>
      <c r="D92">
        <v>8.9</v>
      </c>
      <c r="E92">
        <v>23</v>
      </c>
      <c r="F92">
        <v>1</v>
      </c>
      <c r="G92">
        <v>0</v>
      </c>
      <c r="H92">
        <v>7</v>
      </c>
      <c r="I92">
        <v>3</v>
      </c>
      <c r="J92">
        <v>2014</v>
      </c>
      <c r="K92">
        <v>4</v>
      </c>
      <c r="L92">
        <v>276</v>
      </c>
      <c r="M92" t="s">
        <v>18</v>
      </c>
      <c r="N92">
        <f t="shared" si="3"/>
        <v>49.58</v>
      </c>
      <c r="O92" t="str">
        <f t="shared" si="4"/>
        <v>April</v>
      </c>
      <c r="P92" t="str">
        <f t="shared" si="5"/>
        <v>Weekday</v>
      </c>
    </row>
    <row r="93" spans="1:16" x14ac:dyDescent="0.3">
      <c r="A93" s="1">
        <v>41732</v>
      </c>
      <c r="B93">
        <v>1</v>
      </c>
      <c r="C93">
        <v>1.34</v>
      </c>
      <c r="D93">
        <v>3</v>
      </c>
      <c r="E93">
        <v>19.2</v>
      </c>
      <c r="F93">
        <v>4</v>
      </c>
      <c r="G93">
        <v>0</v>
      </c>
      <c r="H93">
        <v>0</v>
      </c>
      <c r="I93">
        <v>4</v>
      </c>
      <c r="J93">
        <v>2014</v>
      </c>
      <c r="K93">
        <v>4</v>
      </c>
      <c r="L93">
        <v>276</v>
      </c>
      <c r="M93" t="s">
        <v>12</v>
      </c>
      <c r="N93">
        <f t="shared" si="3"/>
        <v>32.54</v>
      </c>
      <c r="O93" t="str">
        <f t="shared" si="4"/>
        <v>April</v>
      </c>
      <c r="P93" t="str">
        <f t="shared" si="5"/>
        <v>Weekday</v>
      </c>
    </row>
    <row r="94" spans="1:16" x14ac:dyDescent="0.3">
      <c r="A94" s="1">
        <v>41733</v>
      </c>
      <c r="B94">
        <v>3</v>
      </c>
      <c r="C94">
        <v>3.67</v>
      </c>
      <c r="D94">
        <v>3</v>
      </c>
      <c r="E94">
        <v>24</v>
      </c>
      <c r="F94">
        <v>9</v>
      </c>
      <c r="G94">
        <v>3</v>
      </c>
      <c r="H94">
        <v>8</v>
      </c>
      <c r="I94">
        <v>2</v>
      </c>
      <c r="J94">
        <v>2014</v>
      </c>
      <c r="K94">
        <v>4</v>
      </c>
      <c r="L94">
        <v>276</v>
      </c>
      <c r="M94" t="s">
        <v>13</v>
      </c>
      <c r="N94">
        <f t="shared" si="3"/>
        <v>55.67</v>
      </c>
      <c r="O94" t="str">
        <f t="shared" si="4"/>
        <v>April</v>
      </c>
      <c r="P94" t="str">
        <f t="shared" si="5"/>
        <v>Weekday</v>
      </c>
    </row>
    <row r="95" spans="1:16" x14ac:dyDescent="0.3">
      <c r="A95" s="1">
        <v>41734</v>
      </c>
      <c r="B95">
        <v>2</v>
      </c>
      <c r="C95">
        <v>7.68</v>
      </c>
      <c r="D95">
        <v>10</v>
      </c>
      <c r="E95">
        <v>25.6</v>
      </c>
      <c r="F95">
        <v>5</v>
      </c>
      <c r="G95">
        <v>0</v>
      </c>
      <c r="H95">
        <v>5</v>
      </c>
      <c r="I95">
        <v>3</v>
      </c>
      <c r="J95">
        <v>2014</v>
      </c>
      <c r="K95">
        <v>4</v>
      </c>
      <c r="L95">
        <v>276</v>
      </c>
      <c r="M95" t="s">
        <v>14</v>
      </c>
      <c r="N95">
        <f t="shared" si="3"/>
        <v>58.28</v>
      </c>
      <c r="O95" t="str">
        <f t="shared" si="4"/>
        <v>April</v>
      </c>
      <c r="P95" t="str">
        <f t="shared" si="5"/>
        <v>Weekend</v>
      </c>
    </row>
    <row r="96" spans="1:16" x14ac:dyDescent="0.3">
      <c r="A96" s="1">
        <v>41735</v>
      </c>
      <c r="B96">
        <v>2</v>
      </c>
      <c r="C96">
        <v>1</v>
      </c>
      <c r="D96">
        <v>1</v>
      </c>
      <c r="E96">
        <v>19</v>
      </c>
      <c r="F96">
        <v>1</v>
      </c>
      <c r="G96">
        <v>0</v>
      </c>
      <c r="H96">
        <v>0</v>
      </c>
      <c r="I96">
        <v>1</v>
      </c>
      <c r="J96">
        <v>2014</v>
      </c>
      <c r="K96">
        <v>4</v>
      </c>
      <c r="L96">
        <v>276</v>
      </c>
      <c r="M96" t="s">
        <v>15</v>
      </c>
      <c r="N96">
        <f t="shared" si="3"/>
        <v>25</v>
      </c>
      <c r="O96" t="str">
        <f t="shared" si="4"/>
        <v>April</v>
      </c>
      <c r="P96" t="str">
        <f t="shared" si="5"/>
        <v>Weekend</v>
      </c>
    </row>
    <row r="97" spans="1:16" x14ac:dyDescent="0.3">
      <c r="A97" s="1">
        <v>41736</v>
      </c>
      <c r="B97">
        <v>6.34</v>
      </c>
      <c r="C97">
        <v>6</v>
      </c>
      <c r="D97">
        <v>6.5</v>
      </c>
      <c r="E97">
        <v>31.5</v>
      </c>
      <c r="F97">
        <v>4</v>
      </c>
      <c r="G97">
        <v>0</v>
      </c>
      <c r="H97">
        <v>0</v>
      </c>
      <c r="I97">
        <v>1</v>
      </c>
      <c r="J97">
        <v>2014</v>
      </c>
      <c r="K97">
        <v>4</v>
      </c>
      <c r="L97">
        <v>276</v>
      </c>
      <c r="M97" t="s">
        <v>16</v>
      </c>
      <c r="N97">
        <f t="shared" si="3"/>
        <v>55.34</v>
      </c>
      <c r="O97" t="str">
        <f t="shared" si="4"/>
        <v>April</v>
      </c>
      <c r="P97" t="str">
        <f t="shared" si="5"/>
        <v>Weekday</v>
      </c>
    </row>
    <row r="98" spans="1:16" x14ac:dyDescent="0.3">
      <c r="A98" s="1">
        <v>41737</v>
      </c>
      <c r="B98">
        <v>4.34</v>
      </c>
      <c r="C98">
        <v>2.34</v>
      </c>
      <c r="D98">
        <v>1.7</v>
      </c>
      <c r="E98">
        <v>19</v>
      </c>
      <c r="F98">
        <v>6</v>
      </c>
      <c r="G98">
        <v>1</v>
      </c>
      <c r="H98">
        <v>0</v>
      </c>
      <c r="I98">
        <v>4.7</v>
      </c>
      <c r="J98">
        <v>2014</v>
      </c>
      <c r="K98">
        <v>4</v>
      </c>
      <c r="L98">
        <v>276</v>
      </c>
      <c r="M98" t="s">
        <v>17</v>
      </c>
      <c r="N98">
        <f t="shared" si="3"/>
        <v>39.08</v>
      </c>
      <c r="O98" t="str">
        <f t="shared" si="4"/>
        <v>April</v>
      </c>
      <c r="P98" t="str">
        <f t="shared" si="5"/>
        <v>Weekday</v>
      </c>
    </row>
    <row r="99" spans="1:16" x14ac:dyDescent="0.3">
      <c r="A99" s="1">
        <v>41738</v>
      </c>
      <c r="B99">
        <v>6</v>
      </c>
      <c r="C99">
        <v>1.02</v>
      </c>
      <c r="D99">
        <v>1</v>
      </c>
      <c r="E99">
        <v>18</v>
      </c>
      <c r="F99">
        <v>2</v>
      </c>
      <c r="G99">
        <v>1</v>
      </c>
      <c r="H99">
        <v>2</v>
      </c>
      <c r="I99">
        <v>2.6</v>
      </c>
      <c r="J99">
        <v>2014</v>
      </c>
      <c r="K99">
        <v>4</v>
      </c>
      <c r="L99">
        <v>276</v>
      </c>
      <c r="M99" t="s">
        <v>18</v>
      </c>
      <c r="N99">
        <f t="shared" si="3"/>
        <v>33.619999999999997</v>
      </c>
      <c r="O99" t="str">
        <f t="shared" si="4"/>
        <v>April</v>
      </c>
      <c r="P99" t="str">
        <f t="shared" si="5"/>
        <v>Weekday</v>
      </c>
    </row>
    <row r="100" spans="1:16" x14ac:dyDescent="0.3">
      <c r="A100" s="1">
        <v>41739</v>
      </c>
      <c r="B100">
        <v>3.33</v>
      </c>
      <c r="C100">
        <v>1.68</v>
      </c>
      <c r="D100">
        <v>1</v>
      </c>
      <c r="E100">
        <v>18</v>
      </c>
      <c r="F100">
        <v>10</v>
      </c>
      <c r="G100">
        <v>0</v>
      </c>
      <c r="H100">
        <v>4</v>
      </c>
      <c r="I100">
        <v>4</v>
      </c>
      <c r="J100">
        <v>2014</v>
      </c>
      <c r="K100">
        <v>4</v>
      </c>
      <c r="L100">
        <v>276</v>
      </c>
      <c r="M100" t="s">
        <v>12</v>
      </c>
      <c r="N100">
        <f t="shared" si="3"/>
        <v>42.01</v>
      </c>
      <c r="O100" t="str">
        <f t="shared" si="4"/>
        <v>April</v>
      </c>
      <c r="P100" t="str">
        <f t="shared" si="5"/>
        <v>Weekday</v>
      </c>
    </row>
    <row r="101" spans="1:16" x14ac:dyDescent="0.3">
      <c r="A101" s="1">
        <v>41740</v>
      </c>
      <c r="B101">
        <v>6</v>
      </c>
      <c r="C101">
        <v>4</v>
      </c>
      <c r="D101">
        <v>3</v>
      </c>
      <c r="E101">
        <v>25</v>
      </c>
      <c r="F101">
        <v>2</v>
      </c>
      <c r="G101">
        <v>2</v>
      </c>
      <c r="H101">
        <v>0</v>
      </c>
      <c r="I101">
        <v>2</v>
      </c>
      <c r="J101">
        <v>2014</v>
      </c>
      <c r="K101">
        <v>4</v>
      </c>
      <c r="L101">
        <v>276</v>
      </c>
      <c r="M101" t="s">
        <v>13</v>
      </c>
      <c r="N101">
        <f t="shared" si="3"/>
        <v>44</v>
      </c>
      <c r="O101" t="str">
        <f t="shared" si="4"/>
        <v>April</v>
      </c>
      <c r="P101" t="str">
        <f t="shared" si="5"/>
        <v>Weekday</v>
      </c>
    </row>
    <row r="102" spans="1:16" x14ac:dyDescent="0.3">
      <c r="A102" s="1">
        <v>41741</v>
      </c>
      <c r="B102">
        <v>7.02</v>
      </c>
      <c r="C102">
        <v>3.34</v>
      </c>
      <c r="D102">
        <v>6</v>
      </c>
      <c r="E102">
        <v>23.5</v>
      </c>
      <c r="F102">
        <v>19</v>
      </c>
      <c r="G102">
        <v>0</v>
      </c>
      <c r="H102">
        <v>11</v>
      </c>
      <c r="I102">
        <v>4</v>
      </c>
      <c r="J102">
        <v>2014</v>
      </c>
      <c r="K102">
        <v>4</v>
      </c>
      <c r="L102">
        <v>276</v>
      </c>
      <c r="M102" t="s">
        <v>14</v>
      </c>
      <c r="N102">
        <f t="shared" si="3"/>
        <v>73.86</v>
      </c>
      <c r="O102" t="str">
        <f t="shared" si="4"/>
        <v>April</v>
      </c>
      <c r="P102" t="str">
        <f t="shared" si="5"/>
        <v>Weekend</v>
      </c>
    </row>
    <row r="103" spans="1:16" x14ac:dyDescent="0.3">
      <c r="A103" s="1">
        <v>41742</v>
      </c>
      <c r="B103">
        <v>3</v>
      </c>
      <c r="C103">
        <v>2</v>
      </c>
      <c r="D103">
        <v>2</v>
      </c>
      <c r="E103">
        <v>6</v>
      </c>
      <c r="F103">
        <v>3</v>
      </c>
      <c r="G103">
        <v>0</v>
      </c>
      <c r="H103">
        <v>5</v>
      </c>
      <c r="I103">
        <v>2</v>
      </c>
      <c r="J103">
        <v>2014</v>
      </c>
      <c r="K103">
        <v>4</v>
      </c>
      <c r="L103">
        <v>276</v>
      </c>
      <c r="M103" t="s">
        <v>15</v>
      </c>
      <c r="N103">
        <f t="shared" si="3"/>
        <v>23</v>
      </c>
      <c r="O103" t="str">
        <f t="shared" si="4"/>
        <v>April</v>
      </c>
      <c r="P103" t="str">
        <f t="shared" si="5"/>
        <v>Weekend</v>
      </c>
    </row>
    <row r="104" spans="1:16" x14ac:dyDescent="0.3">
      <c r="A104" s="1">
        <v>41743</v>
      </c>
      <c r="B104">
        <v>1.34</v>
      </c>
      <c r="C104">
        <v>4.68</v>
      </c>
      <c r="D104">
        <v>5.35</v>
      </c>
      <c r="E104">
        <v>28.28</v>
      </c>
      <c r="F104">
        <v>10</v>
      </c>
      <c r="G104">
        <v>0</v>
      </c>
      <c r="H104">
        <v>5</v>
      </c>
      <c r="I104">
        <v>5</v>
      </c>
      <c r="J104">
        <v>2014</v>
      </c>
      <c r="K104">
        <v>4</v>
      </c>
      <c r="L104">
        <v>276</v>
      </c>
      <c r="M104" t="s">
        <v>16</v>
      </c>
      <c r="N104">
        <f t="shared" si="3"/>
        <v>59.65</v>
      </c>
      <c r="O104" t="str">
        <f t="shared" si="4"/>
        <v>April</v>
      </c>
      <c r="P104" t="str">
        <f t="shared" si="5"/>
        <v>Weekday</v>
      </c>
    </row>
    <row r="105" spans="1:16" x14ac:dyDescent="0.3">
      <c r="A105" s="1">
        <v>41744</v>
      </c>
      <c r="B105">
        <v>4.34</v>
      </c>
      <c r="C105">
        <v>3</v>
      </c>
      <c r="D105">
        <v>6.4</v>
      </c>
      <c r="E105">
        <v>18.7</v>
      </c>
      <c r="F105">
        <v>12</v>
      </c>
      <c r="G105">
        <v>0</v>
      </c>
      <c r="H105">
        <v>10</v>
      </c>
      <c r="I105">
        <v>1</v>
      </c>
      <c r="J105">
        <v>2014</v>
      </c>
      <c r="K105">
        <v>4</v>
      </c>
      <c r="L105">
        <v>276</v>
      </c>
      <c r="M105" t="s">
        <v>17</v>
      </c>
      <c r="N105">
        <f t="shared" si="3"/>
        <v>55.44</v>
      </c>
      <c r="O105" t="str">
        <f t="shared" si="4"/>
        <v>April</v>
      </c>
      <c r="P105" t="str">
        <f t="shared" si="5"/>
        <v>Weekday</v>
      </c>
    </row>
    <row r="106" spans="1:16" x14ac:dyDescent="0.3">
      <c r="A106" s="1">
        <v>41745</v>
      </c>
      <c r="B106">
        <v>2</v>
      </c>
      <c r="C106">
        <v>1.01</v>
      </c>
      <c r="D106">
        <v>4.2</v>
      </c>
      <c r="E106">
        <v>25.62</v>
      </c>
      <c r="F106">
        <v>1</v>
      </c>
      <c r="G106">
        <v>0</v>
      </c>
      <c r="H106">
        <v>6</v>
      </c>
      <c r="I106">
        <v>4</v>
      </c>
      <c r="J106">
        <v>2014</v>
      </c>
      <c r="K106">
        <v>4</v>
      </c>
      <c r="L106">
        <v>276</v>
      </c>
      <c r="M106" t="s">
        <v>18</v>
      </c>
      <c r="N106">
        <f t="shared" si="3"/>
        <v>43.83</v>
      </c>
      <c r="O106" t="str">
        <f t="shared" si="4"/>
        <v>April</v>
      </c>
      <c r="P106" t="str">
        <f t="shared" si="5"/>
        <v>Weekday</v>
      </c>
    </row>
    <row r="107" spans="1:16" x14ac:dyDescent="0.3">
      <c r="A107" s="1">
        <v>41746</v>
      </c>
      <c r="B107">
        <v>5.34</v>
      </c>
      <c r="C107">
        <v>0.34</v>
      </c>
      <c r="D107">
        <v>7.2</v>
      </c>
      <c r="E107">
        <v>16</v>
      </c>
      <c r="F107">
        <v>19</v>
      </c>
      <c r="G107">
        <v>0</v>
      </c>
      <c r="H107">
        <v>0</v>
      </c>
      <c r="I107">
        <v>0</v>
      </c>
      <c r="J107">
        <v>2014</v>
      </c>
      <c r="K107">
        <v>4</v>
      </c>
      <c r="L107">
        <v>276</v>
      </c>
      <c r="M107" t="s">
        <v>12</v>
      </c>
      <c r="N107">
        <f t="shared" si="3"/>
        <v>47.879999999999995</v>
      </c>
      <c r="O107" t="str">
        <f t="shared" si="4"/>
        <v>April</v>
      </c>
      <c r="P107" t="str">
        <f t="shared" si="5"/>
        <v>Weekday</v>
      </c>
    </row>
    <row r="108" spans="1:16" x14ac:dyDescent="0.3">
      <c r="A108" s="1">
        <v>41747</v>
      </c>
      <c r="B108">
        <v>7</v>
      </c>
      <c r="C108">
        <v>7</v>
      </c>
      <c r="D108">
        <v>8</v>
      </c>
      <c r="E108">
        <v>23.3</v>
      </c>
      <c r="F108">
        <v>10</v>
      </c>
      <c r="G108">
        <v>1</v>
      </c>
      <c r="H108">
        <v>0</v>
      </c>
      <c r="I108">
        <v>5</v>
      </c>
      <c r="J108">
        <v>2014</v>
      </c>
      <c r="K108">
        <v>4</v>
      </c>
      <c r="L108">
        <v>276</v>
      </c>
      <c r="M108" t="s">
        <v>13</v>
      </c>
      <c r="N108">
        <f t="shared" si="3"/>
        <v>61.3</v>
      </c>
      <c r="O108" t="str">
        <f t="shared" si="4"/>
        <v>April</v>
      </c>
      <c r="P108" t="str">
        <f t="shared" si="5"/>
        <v>Weekday</v>
      </c>
    </row>
    <row r="109" spans="1:16" x14ac:dyDescent="0.3">
      <c r="A109" s="1">
        <v>41748</v>
      </c>
      <c r="B109">
        <v>7.34</v>
      </c>
      <c r="C109">
        <v>3.35</v>
      </c>
      <c r="D109">
        <v>4</v>
      </c>
      <c r="E109">
        <v>22.3</v>
      </c>
      <c r="F109">
        <v>7</v>
      </c>
      <c r="G109">
        <v>0</v>
      </c>
      <c r="H109">
        <v>3</v>
      </c>
      <c r="I109">
        <v>5</v>
      </c>
      <c r="J109">
        <v>2014</v>
      </c>
      <c r="K109">
        <v>4</v>
      </c>
      <c r="L109">
        <v>276</v>
      </c>
      <c r="M109" t="s">
        <v>14</v>
      </c>
      <c r="N109">
        <f t="shared" si="3"/>
        <v>51.99</v>
      </c>
      <c r="O109" t="str">
        <f t="shared" si="4"/>
        <v>April</v>
      </c>
      <c r="P109" t="str">
        <f t="shared" si="5"/>
        <v>Weekend</v>
      </c>
    </row>
    <row r="110" spans="1:16" x14ac:dyDescent="0.3">
      <c r="A110" s="1">
        <v>41749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2014</v>
      </c>
      <c r="K110">
        <v>4</v>
      </c>
      <c r="L110">
        <v>276</v>
      </c>
      <c r="M110" t="s">
        <v>15</v>
      </c>
      <c r="N110">
        <f t="shared" si="3"/>
        <v>0</v>
      </c>
      <c r="O110" t="str">
        <f t="shared" si="4"/>
        <v>April</v>
      </c>
      <c r="P110" t="str">
        <f t="shared" si="5"/>
        <v>Weekend</v>
      </c>
    </row>
    <row r="111" spans="1:16" x14ac:dyDescent="0.3">
      <c r="A111" s="1">
        <v>41750</v>
      </c>
      <c r="B111">
        <v>1.34</v>
      </c>
      <c r="C111">
        <v>1.68</v>
      </c>
      <c r="D111">
        <v>2.1</v>
      </c>
      <c r="E111">
        <v>13.5</v>
      </c>
      <c r="F111">
        <v>8</v>
      </c>
      <c r="G111">
        <v>0</v>
      </c>
      <c r="H111">
        <v>0</v>
      </c>
      <c r="I111">
        <v>1</v>
      </c>
      <c r="J111">
        <v>2014</v>
      </c>
      <c r="K111">
        <v>4</v>
      </c>
      <c r="L111">
        <v>276</v>
      </c>
      <c r="M111" t="s">
        <v>16</v>
      </c>
      <c r="N111">
        <f t="shared" si="3"/>
        <v>27.62</v>
      </c>
      <c r="O111" t="str">
        <f t="shared" si="4"/>
        <v>April</v>
      </c>
      <c r="P111" t="str">
        <f t="shared" si="5"/>
        <v>Weekday</v>
      </c>
    </row>
    <row r="112" spans="1:16" x14ac:dyDescent="0.3">
      <c r="A112" s="1">
        <v>41751</v>
      </c>
      <c r="B112">
        <v>5.34</v>
      </c>
      <c r="C112">
        <v>7.165</v>
      </c>
      <c r="D112">
        <v>3.3</v>
      </c>
      <c r="E112">
        <v>32</v>
      </c>
      <c r="F112">
        <v>8</v>
      </c>
      <c r="G112">
        <v>1</v>
      </c>
      <c r="H112">
        <v>0</v>
      </c>
      <c r="I112">
        <v>1</v>
      </c>
      <c r="J112">
        <v>2014</v>
      </c>
      <c r="K112">
        <v>4</v>
      </c>
      <c r="L112">
        <v>276</v>
      </c>
      <c r="M112" t="s">
        <v>17</v>
      </c>
      <c r="N112">
        <f t="shared" si="3"/>
        <v>57.805</v>
      </c>
      <c r="O112" t="str">
        <f t="shared" si="4"/>
        <v>April</v>
      </c>
      <c r="P112" t="str">
        <f t="shared" si="5"/>
        <v>Weekday</v>
      </c>
    </row>
    <row r="113" spans="1:16" x14ac:dyDescent="0.3">
      <c r="A113" s="1">
        <v>41752</v>
      </c>
      <c r="B113">
        <v>6.34</v>
      </c>
      <c r="C113">
        <v>2.34</v>
      </c>
      <c r="D113">
        <v>3</v>
      </c>
      <c r="E113">
        <v>24.9</v>
      </c>
      <c r="F113">
        <v>8</v>
      </c>
      <c r="G113">
        <v>1</v>
      </c>
      <c r="H113">
        <v>2</v>
      </c>
      <c r="I113">
        <v>1</v>
      </c>
      <c r="J113">
        <v>2014</v>
      </c>
      <c r="K113">
        <v>4</v>
      </c>
      <c r="L113">
        <v>276</v>
      </c>
      <c r="M113" t="s">
        <v>18</v>
      </c>
      <c r="N113">
        <f t="shared" si="3"/>
        <v>48.58</v>
      </c>
      <c r="O113" t="str">
        <f t="shared" si="4"/>
        <v>April</v>
      </c>
      <c r="P113" t="str">
        <f t="shared" si="5"/>
        <v>Weekday</v>
      </c>
    </row>
    <row r="114" spans="1:16" x14ac:dyDescent="0.3">
      <c r="A114" s="1">
        <v>41753</v>
      </c>
      <c r="B114">
        <v>2</v>
      </c>
      <c r="C114">
        <v>2</v>
      </c>
      <c r="D114">
        <v>1.1000000000000001</v>
      </c>
      <c r="E114">
        <v>26</v>
      </c>
      <c r="F114">
        <v>6</v>
      </c>
      <c r="G114">
        <v>0</v>
      </c>
      <c r="H114">
        <v>6</v>
      </c>
      <c r="I114">
        <v>2</v>
      </c>
      <c r="J114">
        <v>2014</v>
      </c>
      <c r="K114">
        <v>4</v>
      </c>
      <c r="L114">
        <v>276</v>
      </c>
      <c r="M114" t="s">
        <v>12</v>
      </c>
      <c r="N114">
        <f t="shared" si="3"/>
        <v>45.1</v>
      </c>
      <c r="O114" t="str">
        <f t="shared" si="4"/>
        <v>April</v>
      </c>
      <c r="P114" t="str">
        <f t="shared" si="5"/>
        <v>Weekday</v>
      </c>
    </row>
    <row r="115" spans="1:16" x14ac:dyDescent="0.3">
      <c r="A115" s="1">
        <v>41754</v>
      </c>
      <c r="B115">
        <v>3</v>
      </c>
      <c r="C115">
        <v>2.02</v>
      </c>
      <c r="D115">
        <v>5</v>
      </c>
      <c r="E115">
        <v>24.9</v>
      </c>
      <c r="F115">
        <v>10</v>
      </c>
      <c r="G115">
        <v>1</v>
      </c>
      <c r="H115">
        <v>1</v>
      </c>
      <c r="I115">
        <v>3</v>
      </c>
      <c r="J115">
        <v>2014</v>
      </c>
      <c r="K115">
        <v>4</v>
      </c>
      <c r="L115">
        <v>276</v>
      </c>
      <c r="M115" t="s">
        <v>13</v>
      </c>
      <c r="N115">
        <f t="shared" si="3"/>
        <v>49.92</v>
      </c>
      <c r="O115" t="str">
        <f t="shared" si="4"/>
        <v>April</v>
      </c>
      <c r="P115" t="str">
        <f t="shared" si="5"/>
        <v>Weekday</v>
      </c>
    </row>
    <row r="116" spans="1:16" x14ac:dyDescent="0.3">
      <c r="A116" s="1">
        <v>41755</v>
      </c>
      <c r="B116">
        <v>4.34</v>
      </c>
      <c r="C116">
        <v>2.67</v>
      </c>
      <c r="D116">
        <v>5.5</v>
      </c>
      <c r="E116">
        <v>35</v>
      </c>
      <c r="F116">
        <v>12</v>
      </c>
      <c r="G116">
        <v>1</v>
      </c>
      <c r="H116">
        <v>6</v>
      </c>
      <c r="I116">
        <v>4</v>
      </c>
      <c r="J116">
        <v>2014</v>
      </c>
      <c r="K116">
        <v>4</v>
      </c>
      <c r="L116">
        <v>276</v>
      </c>
      <c r="M116" t="s">
        <v>14</v>
      </c>
      <c r="N116">
        <f t="shared" si="3"/>
        <v>70.509999999999991</v>
      </c>
      <c r="O116" t="str">
        <f t="shared" si="4"/>
        <v>April</v>
      </c>
      <c r="P116" t="str">
        <f t="shared" si="5"/>
        <v>Weekend</v>
      </c>
    </row>
    <row r="117" spans="1:16" x14ac:dyDescent="0.3">
      <c r="A117" s="1">
        <v>41756</v>
      </c>
      <c r="B117">
        <v>4</v>
      </c>
      <c r="C117">
        <v>2.34</v>
      </c>
      <c r="D117">
        <v>2</v>
      </c>
      <c r="E117">
        <v>26.2</v>
      </c>
      <c r="F117">
        <v>2</v>
      </c>
      <c r="G117">
        <v>0</v>
      </c>
      <c r="H117">
        <v>1</v>
      </c>
      <c r="I117">
        <v>1</v>
      </c>
      <c r="J117">
        <v>2014</v>
      </c>
      <c r="K117">
        <v>4</v>
      </c>
      <c r="L117">
        <v>276</v>
      </c>
      <c r="M117" t="s">
        <v>15</v>
      </c>
      <c r="N117">
        <f t="shared" si="3"/>
        <v>38.54</v>
      </c>
      <c r="O117" t="str">
        <f t="shared" si="4"/>
        <v>April</v>
      </c>
      <c r="P117" t="str">
        <f t="shared" si="5"/>
        <v>Weekend</v>
      </c>
    </row>
    <row r="118" spans="1:16" x14ac:dyDescent="0.3">
      <c r="A118" s="1">
        <v>41757</v>
      </c>
      <c r="B118">
        <v>1.34</v>
      </c>
      <c r="C118">
        <v>3.09</v>
      </c>
      <c r="D118">
        <v>3</v>
      </c>
      <c r="E118">
        <v>29.1</v>
      </c>
      <c r="F118">
        <v>8</v>
      </c>
      <c r="G118">
        <v>2</v>
      </c>
      <c r="H118">
        <v>0</v>
      </c>
      <c r="I118">
        <v>2</v>
      </c>
      <c r="J118">
        <v>2014</v>
      </c>
      <c r="K118">
        <v>4</v>
      </c>
      <c r="L118">
        <v>276</v>
      </c>
      <c r="M118" t="s">
        <v>16</v>
      </c>
      <c r="N118">
        <f t="shared" si="3"/>
        <v>48.53</v>
      </c>
      <c r="O118" t="str">
        <f t="shared" si="4"/>
        <v>April</v>
      </c>
      <c r="P118" t="str">
        <f t="shared" si="5"/>
        <v>Weekday</v>
      </c>
    </row>
    <row r="119" spans="1:16" x14ac:dyDescent="0.3">
      <c r="A119" s="1">
        <v>41758</v>
      </c>
      <c r="B119">
        <v>3.33</v>
      </c>
      <c r="C119">
        <v>4.0199999999999996</v>
      </c>
      <c r="D119">
        <v>4.4000000000000004</v>
      </c>
      <c r="E119">
        <v>30.3</v>
      </c>
      <c r="F119">
        <v>6</v>
      </c>
      <c r="G119">
        <v>1</v>
      </c>
      <c r="H119">
        <v>5</v>
      </c>
      <c r="I119">
        <v>0.4</v>
      </c>
      <c r="J119">
        <v>2014</v>
      </c>
      <c r="K119">
        <v>4</v>
      </c>
      <c r="L119">
        <v>276</v>
      </c>
      <c r="M119" t="s">
        <v>17</v>
      </c>
      <c r="N119">
        <f t="shared" si="3"/>
        <v>54.449999999999996</v>
      </c>
      <c r="O119" t="str">
        <f t="shared" si="4"/>
        <v>April</v>
      </c>
      <c r="P119" t="str">
        <f t="shared" si="5"/>
        <v>Weekday</v>
      </c>
    </row>
    <row r="120" spans="1:16" x14ac:dyDescent="0.3">
      <c r="A120" s="1">
        <v>41759</v>
      </c>
      <c r="B120">
        <v>4.34</v>
      </c>
      <c r="C120">
        <v>2.68</v>
      </c>
      <c r="D120">
        <v>7</v>
      </c>
      <c r="E120">
        <v>43.1</v>
      </c>
      <c r="F120">
        <v>11</v>
      </c>
      <c r="G120">
        <v>0</v>
      </c>
      <c r="H120">
        <v>7</v>
      </c>
      <c r="I120">
        <v>4</v>
      </c>
      <c r="J120">
        <v>2014</v>
      </c>
      <c r="K120">
        <v>4</v>
      </c>
      <c r="L120">
        <v>276</v>
      </c>
      <c r="M120" t="s">
        <v>18</v>
      </c>
      <c r="N120">
        <f t="shared" si="3"/>
        <v>79.12</v>
      </c>
      <c r="O120" t="str">
        <f t="shared" si="4"/>
        <v>April</v>
      </c>
      <c r="P120" t="str">
        <f t="shared" si="5"/>
        <v>Weekday</v>
      </c>
    </row>
    <row r="121" spans="1:16" x14ac:dyDescent="0.3">
      <c r="A121" s="1">
        <v>41760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2014</v>
      </c>
      <c r="K121">
        <v>5</v>
      </c>
      <c r="L121">
        <v>276</v>
      </c>
      <c r="M121" t="s">
        <v>12</v>
      </c>
      <c r="N121">
        <f t="shared" si="3"/>
        <v>0</v>
      </c>
      <c r="O121" t="str">
        <f t="shared" si="4"/>
        <v>May</v>
      </c>
      <c r="P121" t="str">
        <f t="shared" si="5"/>
        <v>Weekday</v>
      </c>
    </row>
    <row r="122" spans="1:16" x14ac:dyDescent="0.3">
      <c r="A122" s="1">
        <v>41761</v>
      </c>
      <c r="B122">
        <v>7.34</v>
      </c>
      <c r="C122">
        <v>7.34</v>
      </c>
      <c r="D122">
        <v>6.3</v>
      </c>
      <c r="E122">
        <v>39.5</v>
      </c>
      <c r="F122">
        <v>16</v>
      </c>
      <c r="G122">
        <v>1</v>
      </c>
      <c r="H122">
        <v>12</v>
      </c>
      <c r="I122">
        <v>2</v>
      </c>
      <c r="J122">
        <v>2014</v>
      </c>
      <c r="K122">
        <v>5</v>
      </c>
      <c r="L122">
        <v>276</v>
      </c>
      <c r="M122" t="s">
        <v>13</v>
      </c>
      <c r="N122">
        <f t="shared" si="3"/>
        <v>91.48</v>
      </c>
      <c r="O122" t="str">
        <f t="shared" si="4"/>
        <v>May</v>
      </c>
      <c r="P122" t="str">
        <f t="shared" si="5"/>
        <v>Weekday</v>
      </c>
    </row>
    <row r="123" spans="1:16" x14ac:dyDescent="0.3">
      <c r="A123" s="1">
        <v>41762</v>
      </c>
      <c r="B123">
        <v>4</v>
      </c>
      <c r="C123">
        <v>5.34</v>
      </c>
      <c r="D123">
        <v>2</v>
      </c>
      <c r="E123">
        <v>14.6</v>
      </c>
      <c r="F123">
        <v>5</v>
      </c>
      <c r="G123">
        <v>2</v>
      </c>
      <c r="H123">
        <v>0</v>
      </c>
      <c r="I123">
        <v>2.5</v>
      </c>
      <c r="J123">
        <v>2014</v>
      </c>
      <c r="K123">
        <v>5</v>
      </c>
      <c r="L123">
        <v>276</v>
      </c>
      <c r="M123" t="s">
        <v>14</v>
      </c>
      <c r="N123">
        <f t="shared" si="3"/>
        <v>35.44</v>
      </c>
      <c r="O123" t="str">
        <f t="shared" si="4"/>
        <v>May</v>
      </c>
      <c r="P123" t="str">
        <f t="shared" si="5"/>
        <v>Weekend</v>
      </c>
    </row>
    <row r="124" spans="1:16" x14ac:dyDescent="0.3">
      <c r="A124" s="1">
        <v>41763</v>
      </c>
      <c r="B124">
        <v>1.67</v>
      </c>
      <c r="C124">
        <v>4.6900000000000004</v>
      </c>
      <c r="D124">
        <v>1.2</v>
      </c>
      <c r="E124">
        <v>20</v>
      </c>
      <c r="F124">
        <v>3</v>
      </c>
      <c r="G124">
        <v>0</v>
      </c>
      <c r="H124">
        <v>0</v>
      </c>
      <c r="I124">
        <v>3</v>
      </c>
      <c r="J124">
        <v>2014</v>
      </c>
      <c r="K124">
        <v>5</v>
      </c>
      <c r="L124">
        <v>276</v>
      </c>
      <c r="M124" t="s">
        <v>15</v>
      </c>
      <c r="N124">
        <f t="shared" si="3"/>
        <v>33.56</v>
      </c>
      <c r="O124" t="str">
        <f t="shared" si="4"/>
        <v>May</v>
      </c>
      <c r="P124" t="str">
        <f t="shared" si="5"/>
        <v>Weekend</v>
      </c>
    </row>
    <row r="125" spans="1:16" x14ac:dyDescent="0.3">
      <c r="A125" s="1">
        <v>41764</v>
      </c>
      <c r="B125">
        <v>3</v>
      </c>
      <c r="C125">
        <v>5.7850000000000001</v>
      </c>
      <c r="D125">
        <v>5</v>
      </c>
      <c r="E125">
        <v>20</v>
      </c>
      <c r="F125">
        <v>7</v>
      </c>
      <c r="G125">
        <v>0</v>
      </c>
      <c r="H125">
        <v>3</v>
      </c>
      <c r="I125">
        <v>4</v>
      </c>
      <c r="J125">
        <v>2014</v>
      </c>
      <c r="K125">
        <v>5</v>
      </c>
      <c r="L125">
        <v>276</v>
      </c>
      <c r="M125" t="s">
        <v>16</v>
      </c>
      <c r="N125">
        <f t="shared" si="3"/>
        <v>47.784999999999997</v>
      </c>
      <c r="O125" t="str">
        <f t="shared" si="4"/>
        <v>May</v>
      </c>
      <c r="P125" t="str">
        <f t="shared" si="5"/>
        <v>Weekday</v>
      </c>
    </row>
    <row r="126" spans="1:16" x14ac:dyDescent="0.3">
      <c r="A126" s="1">
        <v>41765</v>
      </c>
      <c r="B126">
        <v>7.34</v>
      </c>
      <c r="C126">
        <v>4.3600000000000003</v>
      </c>
      <c r="D126">
        <v>4</v>
      </c>
      <c r="E126">
        <v>22</v>
      </c>
      <c r="F126">
        <v>10</v>
      </c>
      <c r="G126">
        <v>2</v>
      </c>
      <c r="H126">
        <v>6</v>
      </c>
      <c r="I126">
        <v>5</v>
      </c>
      <c r="J126">
        <v>2014</v>
      </c>
      <c r="K126">
        <v>5</v>
      </c>
      <c r="L126">
        <v>276</v>
      </c>
      <c r="M126" t="s">
        <v>17</v>
      </c>
      <c r="N126">
        <f t="shared" si="3"/>
        <v>60.7</v>
      </c>
      <c r="O126" t="str">
        <f t="shared" si="4"/>
        <v>May</v>
      </c>
      <c r="P126" t="str">
        <f t="shared" si="5"/>
        <v>Weekday</v>
      </c>
    </row>
    <row r="127" spans="1:16" x14ac:dyDescent="0.3">
      <c r="A127" s="1">
        <v>41766</v>
      </c>
      <c r="B127">
        <v>3.33</v>
      </c>
      <c r="C127">
        <v>6.32</v>
      </c>
      <c r="D127">
        <v>3</v>
      </c>
      <c r="E127">
        <v>16.8</v>
      </c>
      <c r="F127">
        <v>8</v>
      </c>
      <c r="G127">
        <v>1</v>
      </c>
      <c r="H127">
        <v>3</v>
      </c>
      <c r="I127">
        <v>11</v>
      </c>
      <c r="J127">
        <v>2014</v>
      </c>
      <c r="K127">
        <v>5</v>
      </c>
      <c r="L127">
        <v>276</v>
      </c>
      <c r="M127" t="s">
        <v>18</v>
      </c>
      <c r="N127">
        <f t="shared" si="3"/>
        <v>52.45</v>
      </c>
      <c r="O127" t="str">
        <f t="shared" si="4"/>
        <v>May</v>
      </c>
      <c r="P127" t="str">
        <f t="shared" si="5"/>
        <v>Weekday</v>
      </c>
    </row>
    <row r="128" spans="1:16" x14ac:dyDescent="0.3">
      <c r="A128" s="1">
        <v>41767</v>
      </c>
      <c r="B128">
        <v>2</v>
      </c>
      <c r="C128">
        <v>2.34</v>
      </c>
      <c r="D128">
        <v>3.4</v>
      </c>
      <c r="E128">
        <v>20.399999999999999</v>
      </c>
      <c r="F128">
        <v>10</v>
      </c>
      <c r="G128">
        <v>3</v>
      </c>
      <c r="H128">
        <v>0</v>
      </c>
      <c r="I128">
        <v>5</v>
      </c>
      <c r="J128">
        <v>2014</v>
      </c>
      <c r="K128">
        <v>5</v>
      </c>
      <c r="L128">
        <v>276</v>
      </c>
      <c r="M128" t="s">
        <v>12</v>
      </c>
      <c r="N128">
        <f t="shared" si="3"/>
        <v>46.14</v>
      </c>
      <c r="O128" t="str">
        <f t="shared" si="4"/>
        <v>May</v>
      </c>
      <c r="P128" t="str">
        <f t="shared" si="5"/>
        <v>Weekday</v>
      </c>
    </row>
    <row r="129" spans="1:16" x14ac:dyDescent="0.3">
      <c r="A129" s="1">
        <v>41768</v>
      </c>
      <c r="B129">
        <v>2</v>
      </c>
      <c r="C129">
        <v>5</v>
      </c>
      <c r="D129">
        <v>4.2</v>
      </c>
      <c r="E129">
        <v>16</v>
      </c>
      <c r="F129">
        <v>12</v>
      </c>
      <c r="G129">
        <v>2</v>
      </c>
      <c r="H129">
        <v>1</v>
      </c>
      <c r="I129">
        <v>2</v>
      </c>
      <c r="J129">
        <v>2014</v>
      </c>
      <c r="K129">
        <v>5</v>
      </c>
      <c r="L129">
        <v>276</v>
      </c>
      <c r="M129" t="s">
        <v>13</v>
      </c>
      <c r="N129">
        <f t="shared" si="3"/>
        <v>44.2</v>
      </c>
      <c r="O129" t="str">
        <f t="shared" si="4"/>
        <v>May</v>
      </c>
      <c r="P129" t="str">
        <f t="shared" si="5"/>
        <v>Weekday</v>
      </c>
    </row>
    <row r="130" spans="1:16" x14ac:dyDescent="0.3">
      <c r="A130" s="1">
        <v>41769</v>
      </c>
      <c r="B130">
        <v>5</v>
      </c>
      <c r="C130">
        <v>6</v>
      </c>
      <c r="D130">
        <v>9</v>
      </c>
      <c r="E130">
        <v>39.4</v>
      </c>
      <c r="F130">
        <v>15</v>
      </c>
      <c r="G130">
        <v>3</v>
      </c>
      <c r="H130">
        <v>1</v>
      </c>
      <c r="I130">
        <v>5</v>
      </c>
      <c r="J130">
        <v>2014</v>
      </c>
      <c r="K130">
        <v>5</v>
      </c>
      <c r="L130">
        <v>276</v>
      </c>
      <c r="M130" t="s">
        <v>14</v>
      </c>
      <c r="N130">
        <f t="shared" si="3"/>
        <v>83.4</v>
      </c>
      <c r="O130" t="str">
        <f t="shared" si="4"/>
        <v>May</v>
      </c>
      <c r="P130" t="str">
        <f t="shared" si="5"/>
        <v>Weekend</v>
      </c>
    </row>
    <row r="131" spans="1:16" x14ac:dyDescent="0.3">
      <c r="A131" s="1">
        <v>41770</v>
      </c>
      <c r="B131">
        <v>2</v>
      </c>
      <c r="C131">
        <v>2.68</v>
      </c>
      <c r="D131">
        <v>1</v>
      </c>
      <c r="E131">
        <v>17</v>
      </c>
      <c r="F131">
        <v>7</v>
      </c>
      <c r="G131">
        <v>0</v>
      </c>
      <c r="H131">
        <v>1</v>
      </c>
      <c r="I131">
        <v>4</v>
      </c>
      <c r="J131">
        <v>2014</v>
      </c>
      <c r="K131">
        <v>5</v>
      </c>
      <c r="L131">
        <v>276</v>
      </c>
      <c r="M131" t="s">
        <v>15</v>
      </c>
      <c r="N131">
        <f t="shared" ref="N131:N194" si="6">SUM(B131:I131)</f>
        <v>34.68</v>
      </c>
      <c r="O131" t="str">
        <f t="shared" ref="O131:O194" si="7">TEXT(A131,"mmmm")</f>
        <v>May</v>
      </c>
      <c r="P131" t="str">
        <f t="shared" ref="P131:P194" si="8">IF(OR(M131="Saturday",M131="Sunday"),"Weekend","Weekday")</f>
        <v>Weekend</v>
      </c>
    </row>
    <row r="132" spans="1:16" x14ac:dyDescent="0.3">
      <c r="A132" s="1">
        <v>41771</v>
      </c>
      <c r="B132">
        <v>4.34</v>
      </c>
      <c r="C132">
        <v>3.34</v>
      </c>
      <c r="D132">
        <v>9</v>
      </c>
      <c r="E132">
        <v>12</v>
      </c>
      <c r="F132">
        <v>8</v>
      </c>
      <c r="G132">
        <v>0</v>
      </c>
      <c r="H132">
        <v>5</v>
      </c>
      <c r="I132">
        <v>2</v>
      </c>
      <c r="J132">
        <v>2014</v>
      </c>
      <c r="K132">
        <v>5</v>
      </c>
      <c r="L132">
        <v>276</v>
      </c>
      <c r="M132" t="s">
        <v>16</v>
      </c>
      <c r="N132">
        <f t="shared" si="6"/>
        <v>43.68</v>
      </c>
      <c r="O132" t="str">
        <f t="shared" si="7"/>
        <v>May</v>
      </c>
      <c r="P132" t="str">
        <f t="shared" si="8"/>
        <v>Weekday</v>
      </c>
    </row>
    <row r="133" spans="1:16" x14ac:dyDescent="0.3">
      <c r="A133" s="1">
        <v>41772</v>
      </c>
      <c r="B133">
        <v>3.68</v>
      </c>
      <c r="C133">
        <v>0.34</v>
      </c>
      <c r="D133">
        <v>6.2</v>
      </c>
      <c r="E133">
        <v>32</v>
      </c>
      <c r="F133">
        <v>7</v>
      </c>
      <c r="G133">
        <v>0</v>
      </c>
      <c r="H133">
        <v>25</v>
      </c>
      <c r="I133">
        <v>7.5</v>
      </c>
      <c r="J133">
        <v>2014</v>
      </c>
      <c r="K133">
        <v>5</v>
      </c>
      <c r="L133">
        <v>276</v>
      </c>
      <c r="M133" t="s">
        <v>17</v>
      </c>
      <c r="N133">
        <f t="shared" si="6"/>
        <v>81.72</v>
      </c>
      <c r="O133" t="str">
        <f t="shared" si="7"/>
        <v>May</v>
      </c>
      <c r="P133" t="str">
        <f t="shared" si="8"/>
        <v>Weekday</v>
      </c>
    </row>
    <row r="134" spans="1:16" x14ac:dyDescent="0.3">
      <c r="A134" s="1">
        <v>41773</v>
      </c>
      <c r="B134">
        <v>1</v>
      </c>
      <c r="C134">
        <v>4.0199999999999996</v>
      </c>
      <c r="D134">
        <v>6</v>
      </c>
      <c r="E134">
        <v>24.3</v>
      </c>
      <c r="F134">
        <v>4</v>
      </c>
      <c r="G134">
        <v>0</v>
      </c>
      <c r="H134">
        <v>0</v>
      </c>
      <c r="I134">
        <v>3</v>
      </c>
      <c r="J134">
        <v>2014</v>
      </c>
      <c r="K134">
        <v>5</v>
      </c>
      <c r="L134">
        <v>276</v>
      </c>
      <c r="M134" t="s">
        <v>18</v>
      </c>
      <c r="N134">
        <f t="shared" si="6"/>
        <v>42.32</v>
      </c>
      <c r="O134" t="str">
        <f t="shared" si="7"/>
        <v>May</v>
      </c>
      <c r="P134" t="str">
        <f t="shared" si="8"/>
        <v>Weekday</v>
      </c>
    </row>
    <row r="135" spans="1:16" x14ac:dyDescent="0.3">
      <c r="A135" s="1">
        <v>41774</v>
      </c>
      <c r="B135">
        <v>2.34</v>
      </c>
      <c r="C135">
        <v>2.02</v>
      </c>
      <c r="D135">
        <v>3</v>
      </c>
      <c r="E135">
        <v>19.3</v>
      </c>
      <c r="F135">
        <v>7</v>
      </c>
      <c r="G135">
        <v>0</v>
      </c>
      <c r="H135">
        <v>1</v>
      </c>
      <c r="I135">
        <v>2</v>
      </c>
      <c r="J135">
        <v>2014</v>
      </c>
      <c r="K135">
        <v>5</v>
      </c>
      <c r="L135">
        <v>276</v>
      </c>
      <c r="M135" t="s">
        <v>12</v>
      </c>
      <c r="N135">
        <f t="shared" si="6"/>
        <v>36.659999999999997</v>
      </c>
      <c r="O135" t="str">
        <f t="shared" si="7"/>
        <v>May</v>
      </c>
      <c r="P135" t="str">
        <f t="shared" si="8"/>
        <v>Weekday</v>
      </c>
    </row>
    <row r="136" spans="1:16" x14ac:dyDescent="0.3">
      <c r="A136" s="1">
        <v>41775</v>
      </c>
      <c r="B136">
        <v>5.34</v>
      </c>
      <c r="C136">
        <v>7</v>
      </c>
      <c r="D136">
        <v>3</v>
      </c>
      <c r="E136">
        <v>22</v>
      </c>
      <c r="F136">
        <v>10</v>
      </c>
      <c r="G136">
        <v>1</v>
      </c>
      <c r="H136">
        <v>11</v>
      </c>
      <c r="I136">
        <v>1</v>
      </c>
      <c r="J136">
        <v>2014</v>
      </c>
      <c r="K136">
        <v>5</v>
      </c>
      <c r="L136">
        <v>276</v>
      </c>
      <c r="M136" t="s">
        <v>13</v>
      </c>
      <c r="N136">
        <f t="shared" si="6"/>
        <v>60.34</v>
      </c>
      <c r="O136" t="str">
        <f t="shared" si="7"/>
        <v>May</v>
      </c>
      <c r="P136" t="str">
        <f t="shared" si="8"/>
        <v>Weekday</v>
      </c>
    </row>
    <row r="137" spans="1:16" x14ac:dyDescent="0.3">
      <c r="A137" s="1">
        <v>41776</v>
      </c>
      <c r="B137">
        <v>2.34</v>
      </c>
      <c r="C137">
        <v>7.68</v>
      </c>
      <c r="D137">
        <v>3</v>
      </c>
      <c r="E137">
        <v>35</v>
      </c>
      <c r="F137">
        <v>14</v>
      </c>
      <c r="G137">
        <v>1</v>
      </c>
      <c r="H137">
        <v>0</v>
      </c>
      <c r="I137">
        <v>2</v>
      </c>
      <c r="J137">
        <v>2014</v>
      </c>
      <c r="K137">
        <v>5</v>
      </c>
      <c r="L137">
        <v>276</v>
      </c>
      <c r="M137" t="s">
        <v>14</v>
      </c>
      <c r="N137">
        <f t="shared" si="6"/>
        <v>65.02</v>
      </c>
      <c r="O137" t="str">
        <f t="shared" si="7"/>
        <v>May</v>
      </c>
      <c r="P137" t="str">
        <f t="shared" si="8"/>
        <v>Weekend</v>
      </c>
    </row>
    <row r="138" spans="1:16" x14ac:dyDescent="0.3">
      <c r="A138" s="1">
        <v>41777</v>
      </c>
      <c r="B138">
        <v>3.34</v>
      </c>
      <c r="C138">
        <v>2</v>
      </c>
      <c r="D138">
        <v>5</v>
      </c>
      <c r="E138">
        <v>9.4</v>
      </c>
      <c r="F138">
        <v>6</v>
      </c>
      <c r="G138">
        <v>0</v>
      </c>
      <c r="H138">
        <v>0</v>
      </c>
      <c r="I138">
        <v>1</v>
      </c>
      <c r="J138">
        <v>2014</v>
      </c>
      <c r="K138">
        <v>5</v>
      </c>
      <c r="L138">
        <v>276</v>
      </c>
      <c r="M138" t="s">
        <v>15</v>
      </c>
      <c r="N138">
        <f t="shared" si="6"/>
        <v>26.740000000000002</v>
      </c>
      <c r="O138" t="str">
        <f t="shared" si="7"/>
        <v>May</v>
      </c>
      <c r="P138" t="str">
        <f t="shared" si="8"/>
        <v>Weekend</v>
      </c>
    </row>
    <row r="139" spans="1:16" x14ac:dyDescent="0.3">
      <c r="A139" s="1">
        <v>41778</v>
      </c>
      <c r="B139">
        <v>8.34</v>
      </c>
      <c r="C139">
        <v>3.84</v>
      </c>
      <c r="D139">
        <v>6.1</v>
      </c>
      <c r="E139">
        <v>12.8</v>
      </c>
      <c r="F139">
        <v>5</v>
      </c>
      <c r="G139">
        <v>0</v>
      </c>
      <c r="H139">
        <v>3</v>
      </c>
      <c r="I139">
        <v>9</v>
      </c>
      <c r="J139">
        <v>2014</v>
      </c>
      <c r="K139">
        <v>5</v>
      </c>
      <c r="L139">
        <v>276</v>
      </c>
      <c r="M139" t="s">
        <v>16</v>
      </c>
      <c r="N139">
        <f t="shared" si="6"/>
        <v>48.08</v>
      </c>
      <c r="O139" t="str">
        <f t="shared" si="7"/>
        <v>May</v>
      </c>
      <c r="P139" t="str">
        <f t="shared" si="8"/>
        <v>Weekday</v>
      </c>
    </row>
    <row r="140" spans="1:16" x14ac:dyDescent="0.3">
      <c r="A140" s="1">
        <v>41779</v>
      </c>
      <c r="B140">
        <v>1</v>
      </c>
      <c r="C140">
        <v>2.375</v>
      </c>
      <c r="D140">
        <v>7</v>
      </c>
      <c r="E140">
        <v>27</v>
      </c>
      <c r="F140">
        <v>10</v>
      </c>
      <c r="G140">
        <v>1</v>
      </c>
      <c r="H140">
        <v>0</v>
      </c>
      <c r="I140">
        <v>3.6</v>
      </c>
      <c r="J140">
        <v>2014</v>
      </c>
      <c r="K140">
        <v>5</v>
      </c>
      <c r="L140">
        <v>276</v>
      </c>
      <c r="M140" t="s">
        <v>17</v>
      </c>
      <c r="N140">
        <f t="shared" si="6"/>
        <v>51.975000000000001</v>
      </c>
      <c r="O140" t="str">
        <f t="shared" si="7"/>
        <v>May</v>
      </c>
      <c r="P140" t="str">
        <f t="shared" si="8"/>
        <v>Weekday</v>
      </c>
    </row>
    <row r="141" spans="1:16" x14ac:dyDescent="0.3">
      <c r="A141" s="1">
        <v>41780</v>
      </c>
      <c r="B141">
        <v>2</v>
      </c>
      <c r="C141">
        <v>4.68</v>
      </c>
      <c r="D141">
        <v>9.5</v>
      </c>
      <c r="E141">
        <v>15.4</v>
      </c>
      <c r="F141">
        <v>6</v>
      </c>
      <c r="G141">
        <v>1</v>
      </c>
      <c r="H141">
        <v>0</v>
      </c>
      <c r="I141">
        <v>3</v>
      </c>
      <c r="J141">
        <v>2014</v>
      </c>
      <c r="K141">
        <v>5</v>
      </c>
      <c r="L141">
        <v>276</v>
      </c>
      <c r="M141" t="s">
        <v>18</v>
      </c>
      <c r="N141">
        <f t="shared" si="6"/>
        <v>41.58</v>
      </c>
      <c r="O141" t="str">
        <f t="shared" si="7"/>
        <v>May</v>
      </c>
      <c r="P141" t="str">
        <f t="shared" si="8"/>
        <v>Weekday</v>
      </c>
    </row>
    <row r="142" spans="1:16" x14ac:dyDescent="0.3">
      <c r="A142" s="1">
        <v>41781</v>
      </c>
      <c r="B142">
        <v>3.68</v>
      </c>
      <c r="C142">
        <v>1.33</v>
      </c>
      <c r="D142">
        <v>1.2</v>
      </c>
      <c r="E142">
        <v>8</v>
      </c>
      <c r="F142">
        <v>8</v>
      </c>
      <c r="G142">
        <v>0</v>
      </c>
      <c r="H142">
        <v>2</v>
      </c>
      <c r="I142">
        <v>4</v>
      </c>
      <c r="J142">
        <v>2014</v>
      </c>
      <c r="K142">
        <v>5</v>
      </c>
      <c r="L142">
        <v>276</v>
      </c>
      <c r="M142" t="s">
        <v>12</v>
      </c>
      <c r="N142">
        <f t="shared" si="6"/>
        <v>28.21</v>
      </c>
      <c r="O142" t="str">
        <f t="shared" si="7"/>
        <v>May</v>
      </c>
      <c r="P142" t="str">
        <f t="shared" si="8"/>
        <v>Weekday</v>
      </c>
    </row>
    <row r="143" spans="1:16" x14ac:dyDescent="0.3">
      <c r="A143" s="1">
        <v>41782</v>
      </c>
      <c r="B143">
        <v>5</v>
      </c>
      <c r="C143">
        <v>2.34</v>
      </c>
      <c r="D143">
        <v>3.9</v>
      </c>
      <c r="E143">
        <v>17.5</v>
      </c>
      <c r="F143">
        <v>8</v>
      </c>
      <c r="G143">
        <v>2</v>
      </c>
      <c r="H143">
        <v>10</v>
      </c>
      <c r="I143">
        <v>7</v>
      </c>
      <c r="J143">
        <v>2014</v>
      </c>
      <c r="K143">
        <v>5</v>
      </c>
      <c r="L143">
        <v>276</v>
      </c>
      <c r="M143" t="s">
        <v>13</v>
      </c>
      <c r="N143">
        <f t="shared" si="6"/>
        <v>55.74</v>
      </c>
      <c r="O143" t="str">
        <f t="shared" si="7"/>
        <v>May</v>
      </c>
      <c r="P143" t="str">
        <f t="shared" si="8"/>
        <v>Weekday</v>
      </c>
    </row>
    <row r="144" spans="1:16" x14ac:dyDescent="0.3">
      <c r="A144" s="1">
        <v>41783</v>
      </c>
      <c r="B144">
        <v>3</v>
      </c>
      <c r="C144">
        <v>4.7130000000000001</v>
      </c>
      <c r="D144">
        <v>5</v>
      </c>
      <c r="E144">
        <v>28</v>
      </c>
      <c r="F144">
        <v>11</v>
      </c>
      <c r="G144">
        <v>1</v>
      </c>
      <c r="H144">
        <v>0</v>
      </c>
      <c r="I144">
        <v>9</v>
      </c>
      <c r="J144">
        <v>2014</v>
      </c>
      <c r="K144">
        <v>5</v>
      </c>
      <c r="L144">
        <v>276</v>
      </c>
      <c r="M144" t="s">
        <v>14</v>
      </c>
      <c r="N144">
        <f t="shared" si="6"/>
        <v>61.713000000000001</v>
      </c>
      <c r="O144" t="str">
        <f t="shared" si="7"/>
        <v>May</v>
      </c>
      <c r="P144" t="str">
        <f t="shared" si="8"/>
        <v>Weekend</v>
      </c>
    </row>
    <row r="145" spans="1:16" x14ac:dyDescent="0.3">
      <c r="A145" s="1">
        <v>41784</v>
      </c>
      <c r="B145">
        <v>2</v>
      </c>
      <c r="C145">
        <v>3</v>
      </c>
      <c r="D145">
        <v>1</v>
      </c>
      <c r="E145">
        <v>7</v>
      </c>
      <c r="F145">
        <v>8</v>
      </c>
      <c r="G145">
        <v>0</v>
      </c>
      <c r="H145">
        <v>5</v>
      </c>
      <c r="I145">
        <v>1</v>
      </c>
      <c r="J145">
        <v>2014</v>
      </c>
      <c r="K145">
        <v>5</v>
      </c>
      <c r="L145">
        <v>276</v>
      </c>
      <c r="M145" t="s">
        <v>15</v>
      </c>
      <c r="N145">
        <f t="shared" si="6"/>
        <v>27</v>
      </c>
      <c r="O145" t="str">
        <f t="shared" si="7"/>
        <v>May</v>
      </c>
      <c r="P145" t="str">
        <f t="shared" si="8"/>
        <v>Weekend</v>
      </c>
    </row>
    <row r="146" spans="1:16" x14ac:dyDescent="0.3">
      <c r="A146" s="1">
        <v>41785</v>
      </c>
      <c r="B146">
        <v>2.68</v>
      </c>
      <c r="C146">
        <v>3.34</v>
      </c>
      <c r="D146">
        <v>7.4</v>
      </c>
      <c r="E146">
        <v>18</v>
      </c>
      <c r="F146">
        <v>7</v>
      </c>
      <c r="G146">
        <v>1</v>
      </c>
      <c r="H146">
        <v>0</v>
      </c>
      <c r="I146">
        <v>5</v>
      </c>
      <c r="J146">
        <v>2014</v>
      </c>
      <c r="K146">
        <v>5</v>
      </c>
      <c r="L146">
        <v>276</v>
      </c>
      <c r="M146" t="s">
        <v>16</v>
      </c>
      <c r="N146">
        <f t="shared" si="6"/>
        <v>44.42</v>
      </c>
      <c r="O146" t="str">
        <f t="shared" si="7"/>
        <v>May</v>
      </c>
      <c r="P146" t="str">
        <f t="shared" si="8"/>
        <v>Weekday</v>
      </c>
    </row>
    <row r="147" spans="1:16" x14ac:dyDescent="0.3">
      <c r="A147" s="1">
        <v>41786</v>
      </c>
      <c r="B147">
        <v>0</v>
      </c>
      <c r="C147">
        <v>2.34</v>
      </c>
      <c r="D147">
        <v>5</v>
      </c>
      <c r="E147">
        <v>28.6</v>
      </c>
      <c r="F147">
        <v>12</v>
      </c>
      <c r="G147">
        <v>1</v>
      </c>
      <c r="H147">
        <v>1</v>
      </c>
      <c r="I147">
        <v>6</v>
      </c>
      <c r="J147">
        <v>2014</v>
      </c>
      <c r="K147">
        <v>5</v>
      </c>
      <c r="L147">
        <v>276</v>
      </c>
      <c r="M147" t="s">
        <v>17</v>
      </c>
      <c r="N147">
        <f t="shared" si="6"/>
        <v>55.94</v>
      </c>
      <c r="O147" t="str">
        <f t="shared" si="7"/>
        <v>May</v>
      </c>
      <c r="P147" t="str">
        <f t="shared" si="8"/>
        <v>Weekday</v>
      </c>
    </row>
    <row r="148" spans="1:16" x14ac:dyDescent="0.3">
      <c r="A148" s="1">
        <v>41787</v>
      </c>
      <c r="B148">
        <v>1.34</v>
      </c>
      <c r="C148">
        <v>5.0199999999999996</v>
      </c>
      <c r="D148">
        <v>1.4</v>
      </c>
      <c r="E148">
        <v>10.28</v>
      </c>
      <c r="F148">
        <v>9</v>
      </c>
      <c r="G148">
        <v>0</v>
      </c>
      <c r="H148">
        <v>2</v>
      </c>
      <c r="I148">
        <v>5.0999999999999996</v>
      </c>
      <c r="J148">
        <v>2014</v>
      </c>
      <c r="K148">
        <v>5</v>
      </c>
      <c r="L148">
        <v>276</v>
      </c>
      <c r="M148" t="s">
        <v>18</v>
      </c>
      <c r="N148">
        <f t="shared" si="6"/>
        <v>34.14</v>
      </c>
      <c r="O148" t="str">
        <f t="shared" si="7"/>
        <v>May</v>
      </c>
      <c r="P148" t="str">
        <f t="shared" si="8"/>
        <v>Weekday</v>
      </c>
    </row>
    <row r="149" spans="1:16" x14ac:dyDescent="0.3">
      <c r="A149" s="1">
        <v>41788</v>
      </c>
      <c r="B149">
        <v>4</v>
      </c>
      <c r="C149">
        <v>5.34</v>
      </c>
      <c r="D149">
        <v>6.3</v>
      </c>
      <c r="E149">
        <v>27</v>
      </c>
      <c r="F149">
        <v>13</v>
      </c>
      <c r="G149">
        <v>0</v>
      </c>
      <c r="H149">
        <v>0</v>
      </c>
      <c r="I149">
        <v>2</v>
      </c>
      <c r="J149">
        <v>2014</v>
      </c>
      <c r="K149">
        <v>5</v>
      </c>
      <c r="L149">
        <v>276</v>
      </c>
      <c r="M149" t="s">
        <v>12</v>
      </c>
      <c r="N149">
        <f t="shared" si="6"/>
        <v>57.64</v>
      </c>
      <c r="O149" t="str">
        <f t="shared" si="7"/>
        <v>May</v>
      </c>
      <c r="P149" t="str">
        <f t="shared" si="8"/>
        <v>Weekday</v>
      </c>
    </row>
    <row r="150" spans="1:16" x14ac:dyDescent="0.3">
      <c r="A150" s="1">
        <v>41789</v>
      </c>
      <c r="B150">
        <v>3.02</v>
      </c>
      <c r="C150">
        <v>2.02</v>
      </c>
      <c r="D150">
        <v>2</v>
      </c>
      <c r="E150">
        <v>21.5</v>
      </c>
      <c r="F150">
        <v>14</v>
      </c>
      <c r="G150">
        <v>0</v>
      </c>
      <c r="H150">
        <v>0</v>
      </c>
      <c r="I150">
        <v>5</v>
      </c>
      <c r="J150">
        <v>2014</v>
      </c>
      <c r="K150">
        <v>5</v>
      </c>
      <c r="L150">
        <v>276</v>
      </c>
      <c r="M150" t="s">
        <v>13</v>
      </c>
      <c r="N150">
        <f t="shared" si="6"/>
        <v>47.54</v>
      </c>
      <c r="O150" t="str">
        <f t="shared" si="7"/>
        <v>May</v>
      </c>
      <c r="P150" t="str">
        <f t="shared" si="8"/>
        <v>Weekday</v>
      </c>
    </row>
    <row r="151" spans="1:16" x14ac:dyDescent="0.3">
      <c r="A151" s="1">
        <v>41790</v>
      </c>
      <c r="B151">
        <v>5.67</v>
      </c>
      <c r="C151">
        <v>3.34</v>
      </c>
      <c r="D151">
        <v>2</v>
      </c>
      <c r="E151">
        <v>28</v>
      </c>
      <c r="F151">
        <v>10</v>
      </c>
      <c r="G151">
        <v>0</v>
      </c>
      <c r="H151">
        <v>15</v>
      </c>
      <c r="I151">
        <v>2</v>
      </c>
      <c r="J151">
        <v>2014</v>
      </c>
      <c r="K151">
        <v>5</v>
      </c>
      <c r="L151">
        <v>276</v>
      </c>
      <c r="M151" t="s">
        <v>14</v>
      </c>
      <c r="N151">
        <f t="shared" si="6"/>
        <v>66.009999999999991</v>
      </c>
      <c r="O151" t="str">
        <f t="shared" si="7"/>
        <v>May</v>
      </c>
      <c r="P151" t="str">
        <f t="shared" si="8"/>
        <v>Weekend</v>
      </c>
    </row>
    <row r="152" spans="1:16" x14ac:dyDescent="0.3">
      <c r="A152" s="1">
        <v>41791</v>
      </c>
      <c r="B152">
        <v>1</v>
      </c>
      <c r="C152">
        <v>0.68</v>
      </c>
      <c r="D152">
        <v>1</v>
      </c>
      <c r="E152">
        <v>10</v>
      </c>
      <c r="F152">
        <v>4</v>
      </c>
      <c r="G152">
        <v>1</v>
      </c>
      <c r="H152">
        <v>1</v>
      </c>
      <c r="I152">
        <v>3</v>
      </c>
      <c r="J152">
        <v>2014</v>
      </c>
      <c r="K152">
        <v>6</v>
      </c>
      <c r="L152">
        <v>276</v>
      </c>
      <c r="M152" t="s">
        <v>15</v>
      </c>
      <c r="N152">
        <f t="shared" si="6"/>
        <v>21.68</v>
      </c>
      <c r="O152" t="str">
        <f t="shared" si="7"/>
        <v>June</v>
      </c>
      <c r="P152" t="str">
        <f t="shared" si="8"/>
        <v>Weekend</v>
      </c>
    </row>
    <row r="153" spans="1:16" x14ac:dyDescent="0.3">
      <c r="A153" s="1">
        <v>41792</v>
      </c>
      <c r="B153">
        <v>4</v>
      </c>
      <c r="C153">
        <v>4.34</v>
      </c>
      <c r="D153">
        <v>10</v>
      </c>
      <c r="E153">
        <v>23.3</v>
      </c>
      <c r="F153">
        <v>16</v>
      </c>
      <c r="G153">
        <v>3</v>
      </c>
      <c r="H153">
        <v>0</v>
      </c>
      <c r="I153">
        <v>3</v>
      </c>
      <c r="J153">
        <v>2014</v>
      </c>
      <c r="K153">
        <v>6</v>
      </c>
      <c r="L153">
        <v>276</v>
      </c>
      <c r="M153" t="s">
        <v>16</v>
      </c>
      <c r="N153">
        <f t="shared" si="6"/>
        <v>63.64</v>
      </c>
      <c r="O153" t="str">
        <f t="shared" si="7"/>
        <v>June</v>
      </c>
      <c r="P153" t="str">
        <f t="shared" si="8"/>
        <v>Weekday</v>
      </c>
    </row>
    <row r="154" spans="1:16" x14ac:dyDescent="0.3">
      <c r="A154" s="1">
        <v>41793</v>
      </c>
      <c r="B154">
        <v>3</v>
      </c>
      <c r="C154">
        <v>2</v>
      </c>
      <c r="D154">
        <v>2.4</v>
      </c>
      <c r="E154">
        <v>24</v>
      </c>
      <c r="F154">
        <v>7</v>
      </c>
      <c r="G154">
        <v>2</v>
      </c>
      <c r="H154">
        <v>5</v>
      </c>
      <c r="I154">
        <v>3</v>
      </c>
      <c r="J154">
        <v>2014</v>
      </c>
      <c r="K154">
        <v>6</v>
      </c>
      <c r="L154">
        <v>276</v>
      </c>
      <c r="M154" t="s">
        <v>17</v>
      </c>
      <c r="N154">
        <f t="shared" si="6"/>
        <v>48.4</v>
      </c>
      <c r="O154" t="str">
        <f t="shared" si="7"/>
        <v>June</v>
      </c>
      <c r="P154" t="str">
        <f t="shared" si="8"/>
        <v>Weekday</v>
      </c>
    </row>
    <row r="155" spans="1:16" x14ac:dyDescent="0.3">
      <c r="A155" s="1">
        <v>41794</v>
      </c>
      <c r="B155">
        <v>1</v>
      </c>
      <c r="C155">
        <v>4.68</v>
      </c>
      <c r="D155">
        <v>3.5</v>
      </c>
      <c r="E155">
        <v>24</v>
      </c>
      <c r="F155">
        <v>6</v>
      </c>
      <c r="G155">
        <v>0</v>
      </c>
      <c r="H155">
        <v>1</v>
      </c>
      <c r="I155">
        <v>2.5</v>
      </c>
      <c r="J155">
        <v>2014</v>
      </c>
      <c r="K155">
        <v>6</v>
      </c>
      <c r="L155">
        <v>276</v>
      </c>
      <c r="M155" t="s">
        <v>18</v>
      </c>
      <c r="N155">
        <f t="shared" si="6"/>
        <v>42.68</v>
      </c>
      <c r="O155" t="str">
        <f t="shared" si="7"/>
        <v>June</v>
      </c>
      <c r="P155" t="str">
        <f t="shared" si="8"/>
        <v>Weekday</v>
      </c>
    </row>
    <row r="156" spans="1:16" x14ac:dyDescent="0.3">
      <c r="A156" s="1">
        <v>41795</v>
      </c>
      <c r="B156">
        <v>0.34</v>
      </c>
      <c r="C156">
        <v>4.68</v>
      </c>
      <c r="D156">
        <v>4.5</v>
      </c>
      <c r="E156">
        <v>22.5</v>
      </c>
      <c r="F156">
        <v>4</v>
      </c>
      <c r="G156">
        <v>0</v>
      </c>
      <c r="H156">
        <v>0</v>
      </c>
      <c r="I156">
        <v>5</v>
      </c>
      <c r="J156">
        <v>2014</v>
      </c>
      <c r="K156">
        <v>6</v>
      </c>
      <c r="L156">
        <v>276</v>
      </c>
      <c r="M156" t="s">
        <v>12</v>
      </c>
      <c r="N156">
        <f t="shared" si="6"/>
        <v>41.019999999999996</v>
      </c>
      <c r="O156" t="str">
        <f t="shared" si="7"/>
        <v>June</v>
      </c>
      <c r="P156" t="str">
        <f t="shared" si="8"/>
        <v>Weekday</v>
      </c>
    </row>
    <row r="157" spans="1:16" x14ac:dyDescent="0.3">
      <c r="A157" s="1">
        <v>41796</v>
      </c>
      <c r="B157">
        <v>5</v>
      </c>
      <c r="C157">
        <v>1.68</v>
      </c>
      <c r="D157">
        <v>3</v>
      </c>
      <c r="E157">
        <v>16.625</v>
      </c>
      <c r="F157">
        <v>15</v>
      </c>
      <c r="G157">
        <v>2</v>
      </c>
      <c r="H157">
        <v>1</v>
      </c>
      <c r="I157">
        <v>5</v>
      </c>
      <c r="J157">
        <v>2014</v>
      </c>
      <c r="K157">
        <v>6</v>
      </c>
      <c r="L157">
        <v>276</v>
      </c>
      <c r="M157" t="s">
        <v>13</v>
      </c>
      <c r="N157">
        <f t="shared" si="6"/>
        <v>49.305</v>
      </c>
      <c r="O157" t="str">
        <f t="shared" si="7"/>
        <v>June</v>
      </c>
      <c r="P157" t="str">
        <f t="shared" si="8"/>
        <v>Weekday</v>
      </c>
    </row>
    <row r="158" spans="1:16" x14ac:dyDescent="0.3">
      <c r="A158" s="1">
        <v>41797</v>
      </c>
      <c r="B158">
        <v>9</v>
      </c>
      <c r="C158">
        <v>3.68</v>
      </c>
      <c r="D158">
        <v>7.5</v>
      </c>
      <c r="E158">
        <v>33</v>
      </c>
      <c r="F158">
        <v>8</v>
      </c>
      <c r="G158">
        <v>1</v>
      </c>
      <c r="H158">
        <v>6</v>
      </c>
      <c r="I158">
        <v>7</v>
      </c>
      <c r="J158">
        <v>2014</v>
      </c>
      <c r="K158">
        <v>6</v>
      </c>
      <c r="L158">
        <v>276</v>
      </c>
      <c r="M158" t="s">
        <v>14</v>
      </c>
      <c r="N158">
        <f t="shared" si="6"/>
        <v>75.180000000000007</v>
      </c>
      <c r="O158" t="str">
        <f t="shared" si="7"/>
        <v>June</v>
      </c>
      <c r="P158" t="str">
        <f t="shared" si="8"/>
        <v>Weekend</v>
      </c>
    </row>
    <row r="159" spans="1:16" x14ac:dyDescent="0.3">
      <c r="A159" s="1">
        <v>41798</v>
      </c>
      <c r="B159">
        <v>1</v>
      </c>
      <c r="C159">
        <v>2</v>
      </c>
      <c r="D159">
        <v>3</v>
      </c>
      <c r="E159">
        <v>11</v>
      </c>
      <c r="F159">
        <v>8</v>
      </c>
      <c r="G159">
        <v>0</v>
      </c>
      <c r="H159">
        <v>6</v>
      </c>
      <c r="I159">
        <v>2</v>
      </c>
      <c r="J159">
        <v>2014</v>
      </c>
      <c r="K159">
        <v>6</v>
      </c>
      <c r="L159">
        <v>276</v>
      </c>
      <c r="M159" t="s">
        <v>15</v>
      </c>
      <c r="N159">
        <f t="shared" si="6"/>
        <v>33</v>
      </c>
      <c r="O159" t="str">
        <f t="shared" si="7"/>
        <v>June</v>
      </c>
      <c r="P159" t="str">
        <f t="shared" si="8"/>
        <v>Weekend</v>
      </c>
    </row>
    <row r="160" spans="1:16" x14ac:dyDescent="0.3">
      <c r="A160" s="1">
        <v>41799</v>
      </c>
      <c r="B160">
        <v>6.33</v>
      </c>
      <c r="C160">
        <v>1.34</v>
      </c>
      <c r="D160">
        <v>5</v>
      </c>
      <c r="E160">
        <v>18</v>
      </c>
      <c r="F160">
        <v>17</v>
      </c>
      <c r="G160">
        <v>4</v>
      </c>
      <c r="H160">
        <v>0</v>
      </c>
      <c r="I160">
        <v>11</v>
      </c>
      <c r="J160">
        <v>2014</v>
      </c>
      <c r="K160">
        <v>6</v>
      </c>
      <c r="L160">
        <v>276</v>
      </c>
      <c r="M160" t="s">
        <v>16</v>
      </c>
      <c r="N160">
        <f t="shared" si="6"/>
        <v>62.67</v>
      </c>
      <c r="O160" t="str">
        <f t="shared" si="7"/>
        <v>June</v>
      </c>
      <c r="P160" t="str">
        <f t="shared" si="8"/>
        <v>Weekday</v>
      </c>
    </row>
    <row r="161" spans="1:16" x14ac:dyDescent="0.3">
      <c r="A161" s="1">
        <v>41800</v>
      </c>
      <c r="B161">
        <v>8.68</v>
      </c>
      <c r="C161">
        <v>2.68</v>
      </c>
      <c r="D161">
        <v>4.3</v>
      </c>
      <c r="E161">
        <v>23</v>
      </c>
      <c r="F161">
        <v>16</v>
      </c>
      <c r="G161">
        <v>2</v>
      </c>
      <c r="H161">
        <v>2</v>
      </c>
      <c r="I161">
        <v>6.5</v>
      </c>
      <c r="J161">
        <v>2014</v>
      </c>
      <c r="K161">
        <v>6</v>
      </c>
      <c r="L161">
        <v>276</v>
      </c>
      <c r="M161" t="s">
        <v>17</v>
      </c>
      <c r="N161">
        <f t="shared" si="6"/>
        <v>65.16</v>
      </c>
      <c r="O161" t="str">
        <f t="shared" si="7"/>
        <v>June</v>
      </c>
      <c r="P161" t="str">
        <f t="shared" si="8"/>
        <v>Weekday</v>
      </c>
    </row>
    <row r="162" spans="1:16" x14ac:dyDescent="0.3">
      <c r="A162" s="1">
        <v>41801</v>
      </c>
      <c r="B162">
        <v>4.34</v>
      </c>
      <c r="C162">
        <v>0.68</v>
      </c>
      <c r="D162">
        <v>2.2999999999999998</v>
      </c>
      <c r="E162">
        <v>12.5</v>
      </c>
      <c r="F162">
        <v>16</v>
      </c>
      <c r="G162">
        <v>2</v>
      </c>
      <c r="H162">
        <v>12</v>
      </c>
      <c r="I162">
        <v>9</v>
      </c>
      <c r="J162">
        <v>2014</v>
      </c>
      <c r="K162">
        <v>6</v>
      </c>
      <c r="L162">
        <v>276</v>
      </c>
      <c r="M162" t="s">
        <v>18</v>
      </c>
      <c r="N162">
        <f t="shared" si="6"/>
        <v>58.82</v>
      </c>
      <c r="O162" t="str">
        <f t="shared" si="7"/>
        <v>June</v>
      </c>
      <c r="P162" t="str">
        <f t="shared" si="8"/>
        <v>Weekday</v>
      </c>
    </row>
    <row r="163" spans="1:16" x14ac:dyDescent="0.3">
      <c r="A163" s="1">
        <v>41802</v>
      </c>
      <c r="B163">
        <v>4.34</v>
      </c>
      <c r="C163">
        <v>3</v>
      </c>
      <c r="D163">
        <v>1</v>
      </c>
      <c r="E163">
        <v>15.8</v>
      </c>
      <c r="F163">
        <v>12</v>
      </c>
      <c r="G163">
        <v>0</v>
      </c>
      <c r="H163">
        <v>2</v>
      </c>
      <c r="I163">
        <v>3</v>
      </c>
      <c r="J163">
        <v>2014</v>
      </c>
      <c r="K163">
        <v>6</v>
      </c>
      <c r="L163">
        <v>276</v>
      </c>
      <c r="M163" t="s">
        <v>12</v>
      </c>
      <c r="N163">
        <f t="shared" si="6"/>
        <v>41.14</v>
      </c>
      <c r="O163" t="str">
        <f t="shared" si="7"/>
        <v>June</v>
      </c>
      <c r="P163" t="str">
        <f t="shared" si="8"/>
        <v>Weekday</v>
      </c>
    </row>
    <row r="164" spans="1:16" x14ac:dyDescent="0.3">
      <c r="A164" s="1">
        <v>41803</v>
      </c>
      <c r="B164">
        <v>1</v>
      </c>
      <c r="C164">
        <v>2.68</v>
      </c>
      <c r="D164">
        <v>5</v>
      </c>
      <c r="E164">
        <v>10</v>
      </c>
      <c r="F164">
        <v>11</v>
      </c>
      <c r="G164">
        <v>0</v>
      </c>
      <c r="H164">
        <v>3</v>
      </c>
      <c r="I164">
        <v>1</v>
      </c>
      <c r="J164">
        <v>2014</v>
      </c>
      <c r="K164">
        <v>6</v>
      </c>
      <c r="L164">
        <v>276</v>
      </c>
      <c r="M164" t="s">
        <v>13</v>
      </c>
      <c r="N164">
        <f t="shared" si="6"/>
        <v>33.68</v>
      </c>
      <c r="O164" t="str">
        <f t="shared" si="7"/>
        <v>June</v>
      </c>
      <c r="P164" t="str">
        <f t="shared" si="8"/>
        <v>Weekday</v>
      </c>
    </row>
    <row r="165" spans="1:16" x14ac:dyDescent="0.3">
      <c r="A165" s="1">
        <v>41804</v>
      </c>
      <c r="B165">
        <v>4</v>
      </c>
      <c r="C165">
        <v>5.0199999999999996</v>
      </c>
      <c r="D165">
        <v>6</v>
      </c>
      <c r="E165">
        <v>8</v>
      </c>
      <c r="F165">
        <v>10</v>
      </c>
      <c r="G165">
        <v>0</v>
      </c>
      <c r="H165">
        <v>1</v>
      </c>
      <c r="I165">
        <v>3</v>
      </c>
      <c r="J165">
        <v>2014</v>
      </c>
      <c r="K165">
        <v>6</v>
      </c>
      <c r="L165">
        <v>276</v>
      </c>
      <c r="M165" t="s">
        <v>14</v>
      </c>
      <c r="N165">
        <f t="shared" si="6"/>
        <v>37.019999999999996</v>
      </c>
      <c r="O165" t="str">
        <f t="shared" si="7"/>
        <v>June</v>
      </c>
      <c r="P165" t="str">
        <f t="shared" si="8"/>
        <v>Weekend</v>
      </c>
    </row>
    <row r="166" spans="1:16" x14ac:dyDescent="0.3">
      <c r="A166" s="1">
        <v>41805</v>
      </c>
      <c r="B166">
        <v>0.34</v>
      </c>
      <c r="C166">
        <v>2</v>
      </c>
      <c r="D166">
        <v>0</v>
      </c>
      <c r="E166">
        <v>8</v>
      </c>
      <c r="F166">
        <v>5</v>
      </c>
      <c r="G166">
        <v>0</v>
      </c>
      <c r="H166">
        <v>0</v>
      </c>
      <c r="I166">
        <v>3.3</v>
      </c>
      <c r="J166">
        <v>2014</v>
      </c>
      <c r="K166">
        <v>6</v>
      </c>
      <c r="L166">
        <v>276</v>
      </c>
      <c r="M166" t="s">
        <v>15</v>
      </c>
      <c r="N166">
        <f t="shared" si="6"/>
        <v>18.64</v>
      </c>
      <c r="O166" t="str">
        <f t="shared" si="7"/>
        <v>June</v>
      </c>
      <c r="P166" t="str">
        <f t="shared" si="8"/>
        <v>Weekend</v>
      </c>
    </row>
    <row r="167" spans="1:16" x14ac:dyDescent="0.3">
      <c r="A167" s="1">
        <v>41806</v>
      </c>
      <c r="B167">
        <v>4.34</v>
      </c>
      <c r="C167">
        <v>4.34</v>
      </c>
      <c r="D167">
        <v>7.4</v>
      </c>
      <c r="E167">
        <v>12.2</v>
      </c>
      <c r="F167">
        <v>11</v>
      </c>
      <c r="G167">
        <v>0</v>
      </c>
      <c r="H167">
        <v>5</v>
      </c>
      <c r="I167">
        <v>5</v>
      </c>
      <c r="J167">
        <v>2014</v>
      </c>
      <c r="K167">
        <v>6</v>
      </c>
      <c r="L167">
        <v>276</v>
      </c>
      <c r="M167" t="s">
        <v>16</v>
      </c>
      <c r="N167">
        <f t="shared" si="6"/>
        <v>49.28</v>
      </c>
      <c r="O167" t="str">
        <f t="shared" si="7"/>
        <v>June</v>
      </c>
      <c r="P167" t="str">
        <f t="shared" si="8"/>
        <v>Weekday</v>
      </c>
    </row>
    <row r="168" spans="1:16" x14ac:dyDescent="0.3">
      <c r="A168" s="1">
        <v>41807</v>
      </c>
      <c r="B168">
        <v>5</v>
      </c>
      <c r="C168">
        <v>2.34</v>
      </c>
      <c r="D168">
        <v>4</v>
      </c>
      <c r="E168">
        <v>14</v>
      </c>
      <c r="F168">
        <v>12</v>
      </c>
      <c r="G168">
        <v>2</v>
      </c>
      <c r="H168">
        <v>0</v>
      </c>
      <c r="I168">
        <v>3</v>
      </c>
      <c r="J168">
        <v>2014</v>
      </c>
      <c r="K168">
        <v>6</v>
      </c>
      <c r="L168">
        <v>276</v>
      </c>
      <c r="M168" t="s">
        <v>17</v>
      </c>
      <c r="N168">
        <f t="shared" si="6"/>
        <v>42.34</v>
      </c>
      <c r="O168" t="str">
        <f t="shared" si="7"/>
        <v>June</v>
      </c>
      <c r="P168" t="str">
        <f t="shared" si="8"/>
        <v>Weekday</v>
      </c>
    </row>
    <row r="169" spans="1:16" x14ac:dyDescent="0.3">
      <c r="A169" s="1">
        <v>41808</v>
      </c>
      <c r="B169">
        <v>2</v>
      </c>
      <c r="C169">
        <v>2</v>
      </c>
      <c r="D169">
        <v>4.7</v>
      </c>
      <c r="E169">
        <v>18</v>
      </c>
      <c r="F169">
        <v>6</v>
      </c>
      <c r="G169">
        <v>0</v>
      </c>
      <c r="H169">
        <v>1</v>
      </c>
      <c r="I169">
        <v>3</v>
      </c>
      <c r="J169">
        <v>2014</v>
      </c>
      <c r="K169">
        <v>6</v>
      </c>
      <c r="L169">
        <v>276</v>
      </c>
      <c r="M169" t="s">
        <v>18</v>
      </c>
      <c r="N169">
        <f t="shared" si="6"/>
        <v>36.700000000000003</v>
      </c>
      <c r="O169" t="str">
        <f t="shared" si="7"/>
        <v>June</v>
      </c>
      <c r="P169" t="str">
        <f t="shared" si="8"/>
        <v>Weekday</v>
      </c>
    </row>
    <row r="170" spans="1:16" x14ac:dyDescent="0.3">
      <c r="A170" s="1">
        <v>41809</v>
      </c>
      <c r="B170">
        <v>3</v>
      </c>
      <c r="C170">
        <v>3.33</v>
      </c>
      <c r="D170">
        <v>1</v>
      </c>
      <c r="E170">
        <v>14</v>
      </c>
      <c r="F170">
        <v>8</v>
      </c>
      <c r="G170">
        <v>0</v>
      </c>
      <c r="H170">
        <v>0</v>
      </c>
      <c r="I170">
        <v>1</v>
      </c>
      <c r="J170">
        <v>2014</v>
      </c>
      <c r="K170">
        <v>6</v>
      </c>
      <c r="L170">
        <v>276</v>
      </c>
      <c r="M170" t="s">
        <v>12</v>
      </c>
      <c r="N170">
        <f t="shared" si="6"/>
        <v>30.33</v>
      </c>
      <c r="O170" t="str">
        <f t="shared" si="7"/>
        <v>June</v>
      </c>
      <c r="P170" t="str">
        <f t="shared" si="8"/>
        <v>Weekday</v>
      </c>
    </row>
    <row r="171" spans="1:16" x14ac:dyDescent="0.3">
      <c r="A171" s="1">
        <v>41810</v>
      </c>
      <c r="B171">
        <v>7.34</v>
      </c>
      <c r="C171">
        <v>2.02</v>
      </c>
      <c r="D171">
        <v>3</v>
      </c>
      <c r="E171">
        <v>14.5</v>
      </c>
      <c r="F171">
        <v>9</v>
      </c>
      <c r="G171">
        <v>0</v>
      </c>
      <c r="H171">
        <v>3</v>
      </c>
      <c r="I171">
        <v>6</v>
      </c>
      <c r="J171">
        <v>2014</v>
      </c>
      <c r="K171">
        <v>6</v>
      </c>
      <c r="L171">
        <v>276</v>
      </c>
      <c r="M171" t="s">
        <v>13</v>
      </c>
      <c r="N171">
        <f t="shared" si="6"/>
        <v>44.86</v>
      </c>
      <c r="O171" t="str">
        <f t="shared" si="7"/>
        <v>June</v>
      </c>
      <c r="P171" t="str">
        <f t="shared" si="8"/>
        <v>Weekday</v>
      </c>
    </row>
    <row r="172" spans="1:16" x14ac:dyDescent="0.3">
      <c r="A172" s="1">
        <v>41811</v>
      </c>
      <c r="B172">
        <v>6</v>
      </c>
      <c r="C172">
        <v>5.68</v>
      </c>
      <c r="D172">
        <v>2</v>
      </c>
      <c r="E172">
        <v>16</v>
      </c>
      <c r="F172">
        <v>12</v>
      </c>
      <c r="G172">
        <v>3</v>
      </c>
      <c r="H172">
        <v>0</v>
      </c>
      <c r="I172">
        <v>3</v>
      </c>
      <c r="J172">
        <v>2014</v>
      </c>
      <c r="K172">
        <v>6</v>
      </c>
      <c r="L172">
        <v>276</v>
      </c>
      <c r="M172" t="s">
        <v>14</v>
      </c>
      <c r="N172">
        <f t="shared" si="6"/>
        <v>47.68</v>
      </c>
      <c r="O172" t="str">
        <f t="shared" si="7"/>
        <v>June</v>
      </c>
      <c r="P172" t="str">
        <f t="shared" si="8"/>
        <v>Weekend</v>
      </c>
    </row>
    <row r="173" spans="1:16" x14ac:dyDescent="0.3">
      <c r="A173" s="1">
        <v>41812</v>
      </c>
      <c r="B173">
        <v>4</v>
      </c>
      <c r="C173">
        <v>1.02</v>
      </c>
      <c r="D173">
        <v>4</v>
      </c>
      <c r="E173">
        <v>18</v>
      </c>
      <c r="F173">
        <v>8</v>
      </c>
      <c r="G173">
        <v>0</v>
      </c>
      <c r="H173">
        <v>2</v>
      </c>
      <c r="I173">
        <v>3</v>
      </c>
      <c r="J173">
        <v>2014</v>
      </c>
      <c r="K173">
        <v>6</v>
      </c>
      <c r="L173">
        <v>276</v>
      </c>
      <c r="M173" t="s">
        <v>15</v>
      </c>
      <c r="N173">
        <f t="shared" si="6"/>
        <v>40.019999999999996</v>
      </c>
      <c r="O173" t="str">
        <f t="shared" si="7"/>
        <v>June</v>
      </c>
      <c r="P173" t="str">
        <f t="shared" si="8"/>
        <v>Weekend</v>
      </c>
    </row>
    <row r="174" spans="1:16" x14ac:dyDescent="0.3">
      <c r="A174" s="1">
        <v>41813</v>
      </c>
      <c r="B174">
        <v>2.34</v>
      </c>
      <c r="C174">
        <v>7.68</v>
      </c>
      <c r="D174">
        <v>3</v>
      </c>
      <c r="E174">
        <v>25.2</v>
      </c>
      <c r="F174">
        <v>12</v>
      </c>
      <c r="G174">
        <v>0</v>
      </c>
      <c r="H174">
        <v>2</v>
      </c>
      <c r="I174">
        <v>3</v>
      </c>
      <c r="J174">
        <v>2014</v>
      </c>
      <c r="K174">
        <v>6</v>
      </c>
      <c r="L174">
        <v>276</v>
      </c>
      <c r="M174" t="s">
        <v>16</v>
      </c>
      <c r="N174">
        <f t="shared" si="6"/>
        <v>55.22</v>
      </c>
      <c r="O174" t="str">
        <f t="shared" si="7"/>
        <v>June</v>
      </c>
      <c r="P174" t="str">
        <f t="shared" si="8"/>
        <v>Weekday</v>
      </c>
    </row>
    <row r="175" spans="1:16" x14ac:dyDescent="0.3">
      <c r="A175" s="1">
        <v>41814</v>
      </c>
      <c r="B175">
        <v>3</v>
      </c>
      <c r="C175">
        <v>5.14</v>
      </c>
      <c r="D175">
        <v>4</v>
      </c>
      <c r="E175">
        <v>16.2</v>
      </c>
      <c r="F175">
        <v>23</v>
      </c>
      <c r="G175">
        <v>0</v>
      </c>
      <c r="H175">
        <v>2</v>
      </c>
      <c r="I175">
        <v>4</v>
      </c>
      <c r="J175">
        <v>2014</v>
      </c>
      <c r="K175">
        <v>6</v>
      </c>
      <c r="L175">
        <v>276</v>
      </c>
      <c r="M175" t="s">
        <v>17</v>
      </c>
      <c r="N175">
        <f t="shared" si="6"/>
        <v>57.34</v>
      </c>
      <c r="O175" t="str">
        <f t="shared" si="7"/>
        <v>June</v>
      </c>
      <c r="P175" t="str">
        <f t="shared" si="8"/>
        <v>Weekday</v>
      </c>
    </row>
    <row r="176" spans="1:16" x14ac:dyDescent="0.3">
      <c r="A176" s="1">
        <v>41815</v>
      </c>
      <c r="B176">
        <v>8</v>
      </c>
      <c r="C176">
        <v>5.34</v>
      </c>
      <c r="D176">
        <v>7</v>
      </c>
      <c r="E176">
        <v>33.799999999999997</v>
      </c>
      <c r="F176">
        <v>19</v>
      </c>
      <c r="G176">
        <v>0</v>
      </c>
      <c r="H176">
        <v>0</v>
      </c>
      <c r="I176">
        <v>1</v>
      </c>
      <c r="J176">
        <v>2014</v>
      </c>
      <c r="K176">
        <v>6</v>
      </c>
      <c r="L176">
        <v>276</v>
      </c>
      <c r="M176" t="s">
        <v>18</v>
      </c>
      <c r="N176">
        <f t="shared" si="6"/>
        <v>74.14</v>
      </c>
      <c r="O176" t="str">
        <f t="shared" si="7"/>
        <v>June</v>
      </c>
      <c r="P176" t="str">
        <f t="shared" si="8"/>
        <v>Weekday</v>
      </c>
    </row>
    <row r="177" spans="1:16" x14ac:dyDescent="0.3">
      <c r="A177" s="1">
        <v>41816</v>
      </c>
      <c r="B177">
        <v>3</v>
      </c>
      <c r="C177">
        <v>2</v>
      </c>
      <c r="D177">
        <v>11.3</v>
      </c>
      <c r="E177">
        <v>19.3</v>
      </c>
      <c r="F177">
        <v>14</v>
      </c>
      <c r="G177">
        <v>0</v>
      </c>
      <c r="H177">
        <v>0</v>
      </c>
      <c r="I177">
        <v>1</v>
      </c>
      <c r="J177">
        <v>2014</v>
      </c>
      <c r="K177">
        <v>6</v>
      </c>
      <c r="L177">
        <v>276</v>
      </c>
      <c r="M177" t="s">
        <v>12</v>
      </c>
      <c r="N177">
        <f t="shared" si="6"/>
        <v>50.6</v>
      </c>
      <c r="O177" t="str">
        <f t="shared" si="7"/>
        <v>June</v>
      </c>
      <c r="P177" t="str">
        <f t="shared" si="8"/>
        <v>Weekday</v>
      </c>
    </row>
    <row r="178" spans="1:16" x14ac:dyDescent="0.3">
      <c r="A178" s="1">
        <v>41817</v>
      </c>
      <c r="B178">
        <v>4.34</v>
      </c>
      <c r="C178">
        <v>1</v>
      </c>
      <c r="D178">
        <v>6</v>
      </c>
      <c r="E178">
        <v>32.299999999999997</v>
      </c>
      <c r="F178">
        <v>13</v>
      </c>
      <c r="G178">
        <v>0</v>
      </c>
      <c r="H178">
        <v>1</v>
      </c>
      <c r="I178">
        <v>3</v>
      </c>
      <c r="J178">
        <v>2014</v>
      </c>
      <c r="K178">
        <v>6</v>
      </c>
      <c r="L178">
        <v>276</v>
      </c>
      <c r="M178" t="s">
        <v>13</v>
      </c>
      <c r="N178">
        <f t="shared" si="6"/>
        <v>60.64</v>
      </c>
      <c r="O178" t="str">
        <f t="shared" si="7"/>
        <v>June</v>
      </c>
      <c r="P178" t="str">
        <f t="shared" si="8"/>
        <v>Weekday</v>
      </c>
    </row>
    <row r="179" spans="1:16" x14ac:dyDescent="0.3">
      <c r="A179" s="1">
        <v>41818</v>
      </c>
      <c r="B179">
        <v>0.34</v>
      </c>
      <c r="C179">
        <v>5.34</v>
      </c>
      <c r="D179">
        <v>5</v>
      </c>
      <c r="E179">
        <v>20</v>
      </c>
      <c r="F179">
        <v>14</v>
      </c>
      <c r="G179">
        <v>1</v>
      </c>
      <c r="H179">
        <v>1</v>
      </c>
      <c r="I179">
        <v>5</v>
      </c>
      <c r="J179">
        <v>2014</v>
      </c>
      <c r="K179">
        <v>6</v>
      </c>
      <c r="L179">
        <v>276</v>
      </c>
      <c r="M179" t="s">
        <v>14</v>
      </c>
      <c r="N179">
        <f t="shared" si="6"/>
        <v>51.68</v>
      </c>
      <c r="O179" t="str">
        <f t="shared" si="7"/>
        <v>June</v>
      </c>
      <c r="P179" t="str">
        <f t="shared" si="8"/>
        <v>Weekend</v>
      </c>
    </row>
    <row r="180" spans="1:16" x14ac:dyDescent="0.3">
      <c r="A180" s="1">
        <v>41819</v>
      </c>
      <c r="B180">
        <v>0</v>
      </c>
      <c r="C180">
        <v>1</v>
      </c>
      <c r="D180">
        <v>1</v>
      </c>
      <c r="E180">
        <v>10</v>
      </c>
      <c r="F180">
        <v>1</v>
      </c>
      <c r="G180">
        <v>0</v>
      </c>
      <c r="H180">
        <v>0</v>
      </c>
      <c r="I180">
        <v>1</v>
      </c>
      <c r="J180">
        <v>2014</v>
      </c>
      <c r="K180">
        <v>6</v>
      </c>
      <c r="L180">
        <v>276</v>
      </c>
      <c r="M180" t="s">
        <v>15</v>
      </c>
      <c r="N180">
        <f t="shared" si="6"/>
        <v>14</v>
      </c>
      <c r="O180" t="str">
        <f t="shared" si="7"/>
        <v>June</v>
      </c>
      <c r="P180" t="str">
        <f t="shared" si="8"/>
        <v>Weekend</v>
      </c>
    </row>
    <row r="181" spans="1:16" x14ac:dyDescent="0.3">
      <c r="A181" s="1">
        <v>41820</v>
      </c>
      <c r="B181">
        <v>6</v>
      </c>
      <c r="C181">
        <v>5.34</v>
      </c>
      <c r="D181">
        <v>1</v>
      </c>
      <c r="E181">
        <v>25</v>
      </c>
      <c r="F181">
        <v>6</v>
      </c>
      <c r="G181">
        <v>0</v>
      </c>
      <c r="H181">
        <v>0</v>
      </c>
      <c r="I181">
        <v>0</v>
      </c>
      <c r="J181">
        <v>2014</v>
      </c>
      <c r="K181">
        <v>6</v>
      </c>
      <c r="L181">
        <v>276</v>
      </c>
      <c r="M181" t="s">
        <v>16</v>
      </c>
      <c r="N181">
        <f t="shared" si="6"/>
        <v>43.34</v>
      </c>
      <c r="O181" t="str">
        <f t="shared" si="7"/>
        <v>June</v>
      </c>
      <c r="P181" t="str">
        <f t="shared" si="8"/>
        <v>Weekday</v>
      </c>
    </row>
    <row r="182" spans="1:16" x14ac:dyDescent="0.3">
      <c r="A182" s="1">
        <v>41821</v>
      </c>
      <c r="B182">
        <v>4.34</v>
      </c>
      <c r="C182">
        <v>2.34</v>
      </c>
      <c r="D182">
        <v>2</v>
      </c>
      <c r="E182">
        <v>19</v>
      </c>
      <c r="F182">
        <v>10</v>
      </c>
      <c r="G182">
        <v>0</v>
      </c>
      <c r="H182">
        <v>0</v>
      </c>
      <c r="I182">
        <v>2</v>
      </c>
      <c r="J182">
        <v>2014</v>
      </c>
      <c r="K182">
        <v>7</v>
      </c>
      <c r="L182">
        <v>276</v>
      </c>
      <c r="M182" t="s">
        <v>17</v>
      </c>
      <c r="N182">
        <f t="shared" si="6"/>
        <v>39.68</v>
      </c>
      <c r="O182" t="str">
        <f t="shared" si="7"/>
        <v>July</v>
      </c>
      <c r="P182" t="str">
        <f t="shared" si="8"/>
        <v>Weekday</v>
      </c>
    </row>
    <row r="183" spans="1:16" x14ac:dyDescent="0.3">
      <c r="A183" s="1">
        <v>41822</v>
      </c>
      <c r="B183">
        <v>3</v>
      </c>
      <c r="C183">
        <v>0.34</v>
      </c>
      <c r="D183">
        <v>4</v>
      </c>
      <c r="E183">
        <v>21.6</v>
      </c>
      <c r="F183">
        <v>7</v>
      </c>
      <c r="G183">
        <v>0</v>
      </c>
      <c r="H183">
        <v>6</v>
      </c>
      <c r="I183">
        <v>3</v>
      </c>
      <c r="J183">
        <v>2014</v>
      </c>
      <c r="K183">
        <v>7</v>
      </c>
      <c r="L183">
        <v>276</v>
      </c>
      <c r="M183" t="s">
        <v>18</v>
      </c>
      <c r="N183">
        <f t="shared" si="6"/>
        <v>44.94</v>
      </c>
      <c r="O183" t="str">
        <f t="shared" si="7"/>
        <v>July</v>
      </c>
      <c r="P183" t="str">
        <f t="shared" si="8"/>
        <v>Weekday</v>
      </c>
    </row>
    <row r="184" spans="1:16" x14ac:dyDescent="0.3">
      <c r="A184" s="1">
        <v>41823</v>
      </c>
      <c r="B184">
        <v>2.33</v>
      </c>
      <c r="C184">
        <v>5.68</v>
      </c>
      <c r="D184">
        <v>7</v>
      </c>
      <c r="E184">
        <v>12.5</v>
      </c>
      <c r="F184">
        <v>7</v>
      </c>
      <c r="G184">
        <v>2</v>
      </c>
      <c r="H184">
        <v>0</v>
      </c>
      <c r="I184">
        <v>2</v>
      </c>
      <c r="J184">
        <v>2014</v>
      </c>
      <c r="K184">
        <v>7</v>
      </c>
      <c r="L184">
        <v>276</v>
      </c>
      <c r="M184" t="s">
        <v>12</v>
      </c>
      <c r="N184">
        <f t="shared" si="6"/>
        <v>38.51</v>
      </c>
      <c r="O184" t="str">
        <f t="shared" si="7"/>
        <v>July</v>
      </c>
      <c r="P184" t="str">
        <f t="shared" si="8"/>
        <v>Weekday</v>
      </c>
    </row>
    <row r="185" spans="1:16" x14ac:dyDescent="0.3">
      <c r="A185" s="1">
        <v>41824</v>
      </c>
      <c r="B185">
        <v>4.34</v>
      </c>
      <c r="C185">
        <v>4.7</v>
      </c>
      <c r="D185">
        <v>7</v>
      </c>
      <c r="E185">
        <v>10.5</v>
      </c>
      <c r="F185">
        <v>14</v>
      </c>
      <c r="G185">
        <v>0</v>
      </c>
      <c r="H185">
        <v>2</v>
      </c>
      <c r="I185">
        <v>3</v>
      </c>
      <c r="J185">
        <v>2014</v>
      </c>
      <c r="K185">
        <v>7</v>
      </c>
      <c r="L185">
        <v>276</v>
      </c>
      <c r="M185" t="s">
        <v>13</v>
      </c>
      <c r="N185">
        <f t="shared" si="6"/>
        <v>45.54</v>
      </c>
      <c r="O185" t="str">
        <f t="shared" si="7"/>
        <v>July</v>
      </c>
      <c r="P185" t="str">
        <f t="shared" si="8"/>
        <v>Weekday</v>
      </c>
    </row>
    <row r="186" spans="1:16" x14ac:dyDescent="0.3">
      <c r="A186" s="1">
        <v>41825</v>
      </c>
      <c r="B186">
        <v>3.34</v>
      </c>
      <c r="C186">
        <v>4.34</v>
      </c>
      <c r="D186">
        <v>6</v>
      </c>
      <c r="E186">
        <v>37</v>
      </c>
      <c r="F186">
        <v>11</v>
      </c>
      <c r="G186">
        <v>1</v>
      </c>
      <c r="H186">
        <v>0</v>
      </c>
      <c r="I186">
        <v>0</v>
      </c>
      <c r="J186">
        <v>2014</v>
      </c>
      <c r="K186">
        <v>7</v>
      </c>
      <c r="L186">
        <v>276</v>
      </c>
      <c r="M186" t="s">
        <v>14</v>
      </c>
      <c r="N186">
        <f t="shared" si="6"/>
        <v>62.68</v>
      </c>
      <c r="O186" t="str">
        <f t="shared" si="7"/>
        <v>July</v>
      </c>
      <c r="P186" t="str">
        <f t="shared" si="8"/>
        <v>Weekend</v>
      </c>
    </row>
    <row r="187" spans="1:16" x14ac:dyDescent="0.3">
      <c r="A187" s="1">
        <v>41826</v>
      </c>
      <c r="B187">
        <v>4</v>
      </c>
      <c r="C187">
        <v>2</v>
      </c>
      <c r="D187">
        <v>3</v>
      </c>
      <c r="E187">
        <v>10.199999999999999</v>
      </c>
      <c r="F187">
        <v>9</v>
      </c>
      <c r="G187">
        <v>0</v>
      </c>
      <c r="H187">
        <v>0</v>
      </c>
      <c r="I187">
        <v>0</v>
      </c>
      <c r="J187">
        <v>2014</v>
      </c>
      <c r="K187">
        <v>7</v>
      </c>
      <c r="L187">
        <v>276</v>
      </c>
      <c r="M187" t="s">
        <v>15</v>
      </c>
      <c r="N187">
        <f t="shared" si="6"/>
        <v>28.2</v>
      </c>
      <c r="O187" t="str">
        <f t="shared" si="7"/>
        <v>July</v>
      </c>
      <c r="P187" t="str">
        <f t="shared" si="8"/>
        <v>Weekend</v>
      </c>
    </row>
    <row r="188" spans="1:16" x14ac:dyDescent="0.3">
      <c r="A188" s="1">
        <v>41827</v>
      </c>
      <c r="B188">
        <v>2</v>
      </c>
      <c r="C188">
        <v>3.34</v>
      </c>
      <c r="D188">
        <v>4</v>
      </c>
      <c r="E188">
        <v>13</v>
      </c>
      <c r="F188">
        <v>11</v>
      </c>
      <c r="G188">
        <v>0</v>
      </c>
      <c r="H188">
        <v>0</v>
      </c>
      <c r="I188">
        <v>4</v>
      </c>
      <c r="J188">
        <v>2014</v>
      </c>
      <c r="K188">
        <v>7</v>
      </c>
      <c r="L188">
        <v>276</v>
      </c>
      <c r="M188" t="s">
        <v>16</v>
      </c>
      <c r="N188">
        <f t="shared" si="6"/>
        <v>37.340000000000003</v>
      </c>
      <c r="O188" t="str">
        <f t="shared" si="7"/>
        <v>July</v>
      </c>
      <c r="P188" t="str">
        <f t="shared" si="8"/>
        <v>Weekday</v>
      </c>
    </row>
    <row r="189" spans="1:16" x14ac:dyDescent="0.3">
      <c r="A189" s="1">
        <v>41828</v>
      </c>
      <c r="B189">
        <v>6.34</v>
      </c>
      <c r="C189">
        <v>2.34</v>
      </c>
      <c r="D189">
        <v>3</v>
      </c>
      <c r="E189">
        <v>14</v>
      </c>
      <c r="F189">
        <v>3</v>
      </c>
      <c r="G189">
        <v>0</v>
      </c>
      <c r="H189">
        <v>5</v>
      </c>
      <c r="I189">
        <v>1</v>
      </c>
      <c r="J189">
        <v>2014</v>
      </c>
      <c r="K189">
        <v>7</v>
      </c>
      <c r="L189">
        <v>276</v>
      </c>
      <c r="M189" t="s">
        <v>17</v>
      </c>
      <c r="N189">
        <f t="shared" si="6"/>
        <v>34.68</v>
      </c>
      <c r="O189" t="str">
        <f t="shared" si="7"/>
        <v>July</v>
      </c>
      <c r="P189" t="str">
        <f t="shared" si="8"/>
        <v>Weekday</v>
      </c>
    </row>
    <row r="190" spans="1:16" x14ac:dyDescent="0.3">
      <c r="A190" s="1">
        <v>41829</v>
      </c>
      <c r="B190">
        <v>3</v>
      </c>
      <c r="C190">
        <v>6.34</v>
      </c>
      <c r="D190">
        <v>5</v>
      </c>
      <c r="E190">
        <v>13</v>
      </c>
      <c r="F190">
        <v>6</v>
      </c>
      <c r="G190">
        <v>4</v>
      </c>
      <c r="H190">
        <v>0</v>
      </c>
      <c r="I190">
        <v>2.2000000000000002</v>
      </c>
      <c r="J190">
        <v>2014</v>
      </c>
      <c r="K190">
        <v>7</v>
      </c>
      <c r="L190">
        <v>276</v>
      </c>
      <c r="M190" t="s">
        <v>18</v>
      </c>
      <c r="N190">
        <f t="shared" si="6"/>
        <v>39.540000000000006</v>
      </c>
      <c r="O190" t="str">
        <f t="shared" si="7"/>
        <v>July</v>
      </c>
      <c r="P190" t="str">
        <f t="shared" si="8"/>
        <v>Weekday</v>
      </c>
    </row>
    <row r="191" spans="1:16" x14ac:dyDescent="0.3">
      <c r="A191" s="1">
        <v>41830</v>
      </c>
      <c r="B191">
        <v>2.33</v>
      </c>
      <c r="C191">
        <v>4.66</v>
      </c>
      <c r="D191">
        <v>8</v>
      </c>
      <c r="E191">
        <v>21.2</v>
      </c>
      <c r="F191">
        <v>32</v>
      </c>
      <c r="G191">
        <v>0</v>
      </c>
      <c r="H191">
        <v>5</v>
      </c>
      <c r="I191">
        <v>4</v>
      </c>
      <c r="J191">
        <v>2014</v>
      </c>
      <c r="K191">
        <v>7</v>
      </c>
      <c r="L191">
        <v>276</v>
      </c>
      <c r="M191" t="s">
        <v>12</v>
      </c>
      <c r="N191">
        <f t="shared" si="6"/>
        <v>77.19</v>
      </c>
      <c r="O191" t="str">
        <f t="shared" si="7"/>
        <v>July</v>
      </c>
      <c r="P191" t="str">
        <f t="shared" si="8"/>
        <v>Weekday</v>
      </c>
    </row>
    <row r="192" spans="1:16" x14ac:dyDescent="0.3">
      <c r="A192" s="1">
        <v>41831</v>
      </c>
      <c r="B192">
        <v>2</v>
      </c>
      <c r="C192">
        <v>1.68</v>
      </c>
      <c r="D192">
        <v>3.2</v>
      </c>
      <c r="E192">
        <v>16.5</v>
      </c>
      <c r="F192">
        <v>17</v>
      </c>
      <c r="G192">
        <v>0</v>
      </c>
      <c r="H192">
        <v>5</v>
      </c>
      <c r="I192">
        <v>1</v>
      </c>
      <c r="J192">
        <v>2014</v>
      </c>
      <c r="K192">
        <v>7</v>
      </c>
      <c r="L192">
        <v>276</v>
      </c>
      <c r="M192" t="s">
        <v>13</v>
      </c>
      <c r="N192">
        <f t="shared" si="6"/>
        <v>46.379999999999995</v>
      </c>
      <c r="O192" t="str">
        <f t="shared" si="7"/>
        <v>July</v>
      </c>
      <c r="P192" t="str">
        <f t="shared" si="8"/>
        <v>Weekday</v>
      </c>
    </row>
    <row r="193" spans="1:16" x14ac:dyDescent="0.3">
      <c r="A193" s="1">
        <v>41832</v>
      </c>
      <c r="B193">
        <v>8.34</v>
      </c>
      <c r="C193">
        <v>2.68</v>
      </c>
      <c r="D193">
        <v>10.5</v>
      </c>
      <c r="E193">
        <v>28.1</v>
      </c>
      <c r="F193">
        <v>12</v>
      </c>
      <c r="G193">
        <v>3</v>
      </c>
      <c r="H193">
        <v>12</v>
      </c>
      <c r="I193">
        <v>4</v>
      </c>
      <c r="J193">
        <v>2014</v>
      </c>
      <c r="K193">
        <v>7</v>
      </c>
      <c r="L193">
        <v>276</v>
      </c>
      <c r="M193" t="s">
        <v>14</v>
      </c>
      <c r="N193">
        <f t="shared" si="6"/>
        <v>80.62</v>
      </c>
      <c r="O193" t="str">
        <f t="shared" si="7"/>
        <v>July</v>
      </c>
      <c r="P193" t="str">
        <f t="shared" si="8"/>
        <v>Weekend</v>
      </c>
    </row>
    <row r="194" spans="1:16" x14ac:dyDescent="0.3">
      <c r="A194" s="1">
        <v>41833</v>
      </c>
      <c r="B194">
        <v>2</v>
      </c>
      <c r="C194">
        <v>1.34</v>
      </c>
      <c r="D194">
        <v>1</v>
      </c>
      <c r="E194">
        <v>17</v>
      </c>
      <c r="F194">
        <v>2</v>
      </c>
      <c r="G194">
        <v>0</v>
      </c>
      <c r="H194">
        <v>0</v>
      </c>
      <c r="I194">
        <v>0</v>
      </c>
      <c r="J194">
        <v>2014</v>
      </c>
      <c r="K194">
        <v>7</v>
      </c>
      <c r="L194">
        <v>276</v>
      </c>
      <c r="M194" t="s">
        <v>15</v>
      </c>
      <c r="N194">
        <f t="shared" si="6"/>
        <v>23.34</v>
      </c>
      <c r="O194" t="str">
        <f t="shared" si="7"/>
        <v>July</v>
      </c>
      <c r="P194" t="str">
        <f t="shared" si="8"/>
        <v>Weekend</v>
      </c>
    </row>
    <row r="195" spans="1:16" x14ac:dyDescent="0.3">
      <c r="A195" s="1">
        <v>41834</v>
      </c>
      <c r="B195">
        <v>5</v>
      </c>
      <c r="C195">
        <v>3.04</v>
      </c>
      <c r="D195">
        <v>3</v>
      </c>
      <c r="E195">
        <v>11.8</v>
      </c>
      <c r="F195">
        <v>19</v>
      </c>
      <c r="G195">
        <v>1</v>
      </c>
      <c r="H195">
        <v>2</v>
      </c>
      <c r="I195">
        <v>2</v>
      </c>
      <c r="J195">
        <v>2014</v>
      </c>
      <c r="K195">
        <v>7</v>
      </c>
      <c r="L195">
        <v>276</v>
      </c>
      <c r="M195" t="s">
        <v>16</v>
      </c>
      <c r="N195">
        <f t="shared" ref="N195:N258" si="9">SUM(B195:I195)</f>
        <v>46.84</v>
      </c>
      <c r="O195" t="str">
        <f t="shared" ref="O195:O258" si="10">TEXT(A195,"mmmm")</f>
        <v>July</v>
      </c>
      <c r="P195" t="str">
        <f t="shared" ref="P195:P258" si="11">IF(OR(M195="Saturday",M195="Sunday"),"Weekend","Weekday")</f>
        <v>Weekday</v>
      </c>
    </row>
    <row r="196" spans="1:16" x14ac:dyDescent="0.3">
      <c r="A196" s="1">
        <v>41835</v>
      </c>
      <c r="B196">
        <v>3.34</v>
      </c>
      <c r="C196">
        <v>1.68</v>
      </c>
      <c r="D196">
        <v>1</v>
      </c>
      <c r="E196">
        <v>15.6</v>
      </c>
      <c r="F196">
        <v>18</v>
      </c>
      <c r="G196">
        <v>0</v>
      </c>
      <c r="H196">
        <v>0</v>
      </c>
      <c r="I196">
        <v>1.3</v>
      </c>
      <c r="J196">
        <v>2014</v>
      </c>
      <c r="K196">
        <v>7</v>
      </c>
      <c r="L196">
        <v>276</v>
      </c>
      <c r="M196" t="s">
        <v>17</v>
      </c>
      <c r="N196">
        <f t="shared" si="9"/>
        <v>40.919999999999995</v>
      </c>
      <c r="O196" t="str">
        <f t="shared" si="10"/>
        <v>July</v>
      </c>
      <c r="P196" t="str">
        <f t="shared" si="11"/>
        <v>Weekday</v>
      </c>
    </row>
    <row r="197" spans="1:16" x14ac:dyDescent="0.3">
      <c r="A197" s="1">
        <v>41836</v>
      </c>
      <c r="B197">
        <v>4</v>
      </c>
      <c r="C197">
        <v>3.34</v>
      </c>
      <c r="D197">
        <v>3</v>
      </c>
      <c r="E197">
        <v>13</v>
      </c>
      <c r="F197">
        <v>12</v>
      </c>
      <c r="G197">
        <v>1</v>
      </c>
      <c r="H197">
        <v>4</v>
      </c>
      <c r="I197">
        <v>0</v>
      </c>
      <c r="J197">
        <v>2014</v>
      </c>
      <c r="K197">
        <v>7</v>
      </c>
      <c r="L197">
        <v>276</v>
      </c>
      <c r="M197" t="s">
        <v>18</v>
      </c>
      <c r="N197">
        <f t="shared" si="9"/>
        <v>40.340000000000003</v>
      </c>
      <c r="O197" t="str">
        <f t="shared" si="10"/>
        <v>July</v>
      </c>
      <c r="P197" t="str">
        <f t="shared" si="11"/>
        <v>Weekday</v>
      </c>
    </row>
    <row r="198" spans="1:16" x14ac:dyDescent="0.3">
      <c r="A198" s="1">
        <v>41837</v>
      </c>
      <c r="B198">
        <v>2</v>
      </c>
      <c r="C198">
        <v>3</v>
      </c>
      <c r="D198">
        <v>5</v>
      </c>
      <c r="E198">
        <v>25</v>
      </c>
      <c r="F198">
        <v>14</v>
      </c>
      <c r="G198">
        <v>1</v>
      </c>
      <c r="H198">
        <v>0</v>
      </c>
      <c r="I198">
        <v>1</v>
      </c>
      <c r="J198">
        <v>2014</v>
      </c>
      <c r="K198">
        <v>7</v>
      </c>
      <c r="L198">
        <v>276</v>
      </c>
      <c r="M198" t="s">
        <v>12</v>
      </c>
      <c r="N198">
        <f t="shared" si="9"/>
        <v>51</v>
      </c>
      <c r="O198" t="str">
        <f t="shared" si="10"/>
        <v>July</v>
      </c>
      <c r="P198" t="str">
        <f t="shared" si="11"/>
        <v>Weekday</v>
      </c>
    </row>
    <row r="199" spans="1:16" x14ac:dyDescent="0.3">
      <c r="A199" s="1">
        <v>41838</v>
      </c>
      <c r="B199">
        <v>9</v>
      </c>
      <c r="C199">
        <v>2.34</v>
      </c>
      <c r="D199">
        <v>1.5</v>
      </c>
      <c r="E199">
        <v>14.2</v>
      </c>
      <c r="F199">
        <v>6</v>
      </c>
      <c r="G199">
        <v>3</v>
      </c>
      <c r="H199">
        <v>0</v>
      </c>
      <c r="I199">
        <v>4</v>
      </c>
      <c r="J199">
        <v>2014</v>
      </c>
      <c r="K199">
        <v>7</v>
      </c>
      <c r="L199">
        <v>276</v>
      </c>
      <c r="M199" t="s">
        <v>13</v>
      </c>
      <c r="N199">
        <f t="shared" si="9"/>
        <v>40.04</v>
      </c>
      <c r="O199" t="str">
        <f t="shared" si="10"/>
        <v>July</v>
      </c>
      <c r="P199" t="str">
        <f t="shared" si="11"/>
        <v>Weekday</v>
      </c>
    </row>
    <row r="200" spans="1:16" x14ac:dyDescent="0.3">
      <c r="A200" s="1">
        <v>41839</v>
      </c>
      <c r="B200">
        <v>7.33</v>
      </c>
      <c r="C200">
        <v>7.02</v>
      </c>
      <c r="D200">
        <v>6</v>
      </c>
      <c r="E200">
        <v>8.4</v>
      </c>
      <c r="F200">
        <v>10</v>
      </c>
      <c r="G200">
        <v>0</v>
      </c>
      <c r="H200">
        <v>6</v>
      </c>
      <c r="I200">
        <v>6</v>
      </c>
      <c r="J200">
        <v>2014</v>
      </c>
      <c r="K200">
        <v>7</v>
      </c>
      <c r="L200">
        <v>276</v>
      </c>
      <c r="M200" t="s">
        <v>14</v>
      </c>
      <c r="N200">
        <f t="shared" si="9"/>
        <v>50.75</v>
      </c>
      <c r="O200" t="str">
        <f t="shared" si="10"/>
        <v>July</v>
      </c>
      <c r="P200" t="str">
        <f t="shared" si="11"/>
        <v>Weekend</v>
      </c>
    </row>
    <row r="201" spans="1:16" x14ac:dyDescent="0.3">
      <c r="A201" s="1">
        <v>41840</v>
      </c>
      <c r="B201">
        <v>3</v>
      </c>
      <c r="C201">
        <v>0.34</v>
      </c>
      <c r="D201">
        <v>1</v>
      </c>
      <c r="E201">
        <v>8</v>
      </c>
      <c r="F201">
        <v>5</v>
      </c>
      <c r="G201">
        <v>0</v>
      </c>
      <c r="H201">
        <v>0</v>
      </c>
      <c r="I201">
        <v>0.1</v>
      </c>
      <c r="J201">
        <v>2014</v>
      </c>
      <c r="K201">
        <v>7</v>
      </c>
      <c r="L201">
        <v>276</v>
      </c>
      <c r="M201" t="s">
        <v>15</v>
      </c>
      <c r="N201">
        <f t="shared" si="9"/>
        <v>17.440000000000001</v>
      </c>
      <c r="O201" t="str">
        <f t="shared" si="10"/>
        <v>July</v>
      </c>
      <c r="P201" t="str">
        <f t="shared" si="11"/>
        <v>Weekend</v>
      </c>
    </row>
    <row r="202" spans="1:16" x14ac:dyDescent="0.3">
      <c r="A202" s="1">
        <v>41841</v>
      </c>
      <c r="B202">
        <v>3</v>
      </c>
      <c r="C202">
        <v>4.68</v>
      </c>
      <c r="D202">
        <v>8</v>
      </c>
      <c r="E202">
        <v>20</v>
      </c>
      <c r="F202">
        <v>13</v>
      </c>
      <c r="G202">
        <v>1</v>
      </c>
      <c r="H202">
        <v>0</v>
      </c>
      <c r="I202">
        <v>2</v>
      </c>
      <c r="J202">
        <v>2014</v>
      </c>
      <c r="K202">
        <v>7</v>
      </c>
      <c r="L202">
        <v>276</v>
      </c>
      <c r="M202" t="s">
        <v>16</v>
      </c>
      <c r="N202">
        <f t="shared" si="9"/>
        <v>51.68</v>
      </c>
      <c r="O202" t="str">
        <f t="shared" si="10"/>
        <v>July</v>
      </c>
      <c r="P202" t="str">
        <f t="shared" si="11"/>
        <v>Weekday</v>
      </c>
    </row>
    <row r="203" spans="1:16" x14ac:dyDescent="0.3">
      <c r="A203" s="1">
        <v>41842</v>
      </c>
      <c r="B203">
        <v>5</v>
      </c>
      <c r="C203">
        <v>5.68</v>
      </c>
      <c r="D203">
        <v>3</v>
      </c>
      <c r="E203">
        <v>9</v>
      </c>
      <c r="F203">
        <v>7</v>
      </c>
      <c r="G203">
        <v>0</v>
      </c>
      <c r="H203">
        <v>1</v>
      </c>
      <c r="I203">
        <v>2</v>
      </c>
      <c r="J203">
        <v>2014</v>
      </c>
      <c r="K203">
        <v>7</v>
      </c>
      <c r="L203">
        <v>276</v>
      </c>
      <c r="M203" t="s">
        <v>17</v>
      </c>
      <c r="N203">
        <f t="shared" si="9"/>
        <v>32.68</v>
      </c>
      <c r="O203" t="str">
        <f t="shared" si="10"/>
        <v>July</v>
      </c>
      <c r="P203" t="str">
        <f t="shared" si="11"/>
        <v>Weekday</v>
      </c>
    </row>
    <row r="204" spans="1:16" x14ac:dyDescent="0.3">
      <c r="A204" s="1">
        <v>41843</v>
      </c>
      <c r="B204">
        <v>2.67</v>
      </c>
      <c r="C204">
        <v>6.37</v>
      </c>
      <c r="D204">
        <v>2</v>
      </c>
      <c r="E204">
        <v>8</v>
      </c>
      <c r="F204">
        <v>19</v>
      </c>
      <c r="G204">
        <v>0</v>
      </c>
      <c r="H204">
        <v>0</v>
      </c>
      <c r="I204">
        <v>3</v>
      </c>
      <c r="J204">
        <v>2014</v>
      </c>
      <c r="K204">
        <v>7</v>
      </c>
      <c r="L204">
        <v>276</v>
      </c>
      <c r="M204" t="s">
        <v>18</v>
      </c>
      <c r="N204">
        <f t="shared" si="9"/>
        <v>41.04</v>
      </c>
      <c r="O204" t="str">
        <f t="shared" si="10"/>
        <v>July</v>
      </c>
      <c r="P204" t="str">
        <f t="shared" si="11"/>
        <v>Weekday</v>
      </c>
    </row>
    <row r="205" spans="1:16" x14ac:dyDescent="0.3">
      <c r="A205" s="1">
        <v>41844</v>
      </c>
      <c r="B205">
        <v>5.34</v>
      </c>
      <c r="C205">
        <v>2</v>
      </c>
      <c r="D205">
        <v>4.4000000000000004</v>
      </c>
      <c r="E205">
        <v>23</v>
      </c>
      <c r="F205">
        <v>5</v>
      </c>
      <c r="G205">
        <v>0</v>
      </c>
      <c r="H205">
        <v>0</v>
      </c>
      <c r="I205">
        <v>2</v>
      </c>
      <c r="J205">
        <v>2014</v>
      </c>
      <c r="K205">
        <v>7</v>
      </c>
      <c r="L205">
        <v>276</v>
      </c>
      <c r="M205" t="s">
        <v>12</v>
      </c>
      <c r="N205">
        <f t="shared" si="9"/>
        <v>41.74</v>
      </c>
      <c r="O205" t="str">
        <f t="shared" si="10"/>
        <v>July</v>
      </c>
      <c r="P205" t="str">
        <f t="shared" si="11"/>
        <v>Weekday</v>
      </c>
    </row>
    <row r="206" spans="1:16" x14ac:dyDescent="0.3">
      <c r="A206" s="1">
        <v>41845</v>
      </c>
      <c r="B206">
        <v>5</v>
      </c>
      <c r="C206">
        <v>2.02</v>
      </c>
      <c r="D206">
        <v>7.5</v>
      </c>
      <c r="E206">
        <v>10</v>
      </c>
      <c r="F206">
        <v>15</v>
      </c>
      <c r="G206">
        <v>1</v>
      </c>
      <c r="H206">
        <v>1</v>
      </c>
      <c r="I206">
        <v>2</v>
      </c>
      <c r="J206">
        <v>2014</v>
      </c>
      <c r="K206">
        <v>7</v>
      </c>
      <c r="L206">
        <v>276</v>
      </c>
      <c r="M206" t="s">
        <v>13</v>
      </c>
      <c r="N206">
        <f t="shared" si="9"/>
        <v>43.519999999999996</v>
      </c>
      <c r="O206" t="str">
        <f t="shared" si="10"/>
        <v>July</v>
      </c>
      <c r="P206" t="str">
        <f t="shared" si="11"/>
        <v>Weekday</v>
      </c>
    </row>
    <row r="207" spans="1:16" x14ac:dyDescent="0.3">
      <c r="A207" s="1">
        <v>41846</v>
      </c>
      <c r="B207">
        <v>4</v>
      </c>
      <c r="C207">
        <v>6.68</v>
      </c>
      <c r="D207">
        <v>6.2</v>
      </c>
      <c r="E207">
        <v>36.200000000000003</v>
      </c>
      <c r="F207">
        <v>13</v>
      </c>
      <c r="G207">
        <v>0</v>
      </c>
      <c r="H207">
        <v>0</v>
      </c>
      <c r="I207">
        <v>4</v>
      </c>
      <c r="J207">
        <v>2014</v>
      </c>
      <c r="K207">
        <v>7</v>
      </c>
      <c r="L207">
        <v>276</v>
      </c>
      <c r="M207" t="s">
        <v>14</v>
      </c>
      <c r="N207">
        <f t="shared" si="9"/>
        <v>70.08</v>
      </c>
      <c r="O207" t="str">
        <f t="shared" si="10"/>
        <v>July</v>
      </c>
      <c r="P207" t="str">
        <f t="shared" si="11"/>
        <v>Weekend</v>
      </c>
    </row>
    <row r="208" spans="1:16" x14ac:dyDescent="0.3">
      <c r="A208" s="1">
        <v>41847</v>
      </c>
      <c r="B208">
        <v>3</v>
      </c>
      <c r="C208">
        <v>1.34</v>
      </c>
      <c r="D208">
        <v>2</v>
      </c>
      <c r="E208">
        <v>10</v>
      </c>
      <c r="F208">
        <v>5</v>
      </c>
      <c r="G208">
        <v>0</v>
      </c>
      <c r="H208">
        <v>6</v>
      </c>
      <c r="I208">
        <v>1</v>
      </c>
      <c r="J208">
        <v>2014</v>
      </c>
      <c r="K208">
        <v>7</v>
      </c>
      <c r="L208">
        <v>276</v>
      </c>
      <c r="M208" t="s">
        <v>15</v>
      </c>
      <c r="N208">
        <f t="shared" si="9"/>
        <v>28.34</v>
      </c>
      <c r="O208" t="str">
        <f t="shared" si="10"/>
        <v>July</v>
      </c>
      <c r="P208" t="str">
        <f t="shared" si="11"/>
        <v>Weekend</v>
      </c>
    </row>
    <row r="209" spans="1:16" x14ac:dyDescent="0.3">
      <c r="A209" s="1">
        <v>41848</v>
      </c>
      <c r="B209">
        <v>2</v>
      </c>
      <c r="C209">
        <v>1.34</v>
      </c>
      <c r="D209">
        <v>2</v>
      </c>
      <c r="E209">
        <v>9.1</v>
      </c>
      <c r="F209">
        <v>9</v>
      </c>
      <c r="G209">
        <v>0</v>
      </c>
      <c r="H209">
        <v>0</v>
      </c>
      <c r="I209">
        <v>2</v>
      </c>
      <c r="J209">
        <v>2014</v>
      </c>
      <c r="K209">
        <v>7</v>
      </c>
      <c r="L209">
        <v>276</v>
      </c>
      <c r="M209" t="s">
        <v>16</v>
      </c>
      <c r="N209">
        <f t="shared" si="9"/>
        <v>25.439999999999998</v>
      </c>
      <c r="O209" t="str">
        <f t="shared" si="10"/>
        <v>July</v>
      </c>
      <c r="P209" t="str">
        <f t="shared" si="11"/>
        <v>Weekday</v>
      </c>
    </row>
    <row r="210" spans="1:16" x14ac:dyDescent="0.3">
      <c r="A210" s="1">
        <v>41849</v>
      </c>
      <c r="B210">
        <v>2.34</v>
      </c>
      <c r="C210">
        <v>0.68</v>
      </c>
      <c r="D210">
        <v>1</v>
      </c>
      <c r="E210">
        <v>13</v>
      </c>
      <c r="F210">
        <v>15</v>
      </c>
      <c r="G210">
        <v>3</v>
      </c>
      <c r="H210">
        <v>0</v>
      </c>
      <c r="I210">
        <v>5</v>
      </c>
      <c r="J210">
        <v>2014</v>
      </c>
      <c r="K210">
        <v>7</v>
      </c>
      <c r="L210">
        <v>276</v>
      </c>
      <c r="M210" t="s">
        <v>17</v>
      </c>
      <c r="N210">
        <f t="shared" si="9"/>
        <v>40.019999999999996</v>
      </c>
      <c r="O210" t="str">
        <f t="shared" si="10"/>
        <v>July</v>
      </c>
      <c r="P210" t="str">
        <f t="shared" si="11"/>
        <v>Weekday</v>
      </c>
    </row>
    <row r="211" spans="1:16" x14ac:dyDescent="0.3">
      <c r="A211" s="1">
        <v>41850</v>
      </c>
      <c r="B211">
        <v>0.68</v>
      </c>
      <c r="C211">
        <v>1.34</v>
      </c>
      <c r="D211">
        <v>5</v>
      </c>
      <c r="E211">
        <v>13.5</v>
      </c>
      <c r="F211">
        <v>14</v>
      </c>
      <c r="G211">
        <v>0</v>
      </c>
      <c r="H211">
        <v>6</v>
      </c>
      <c r="I211">
        <v>4.5</v>
      </c>
      <c r="J211">
        <v>2014</v>
      </c>
      <c r="K211">
        <v>7</v>
      </c>
      <c r="L211">
        <v>276</v>
      </c>
      <c r="M211" t="s">
        <v>18</v>
      </c>
      <c r="N211">
        <f t="shared" si="9"/>
        <v>45.019999999999996</v>
      </c>
      <c r="O211" t="str">
        <f t="shared" si="10"/>
        <v>July</v>
      </c>
      <c r="P211" t="str">
        <f t="shared" si="11"/>
        <v>Weekday</v>
      </c>
    </row>
    <row r="212" spans="1:16" x14ac:dyDescent="0.3">
      <c r="A212" s="1">
        <v>41851</v>
      </c>
      <c r="B212">
        <v>3</v>
      </c>
      <c r="C212">
        <v>0.34</v>
      </c>
      <c r="D212">
        <v>4</v>
      </c>
      <c r="E212">
        <v>10.5</v>
      </c>
      <c r="F212">
        <v>8</v>
      </c>
      <c r="G212">
        <v>0</v>
      </c>
      <c r="H212">
        <v>0</v>
      </c>
      <c r="I212">
        <v>1</v>
      </c>
      <c r="J212">
        <v>2014</v>
      </c>
      <c r="K212">
        <v>7</v>
      </c>
      <c r="L212">
        <v>276</v>
      </c>
      <c r="M212" t="s">
        <v>12</v>
      </c>
      <c r="N212">
        <f t="shared" si="9"/>
        <v>26.84</v>
      </c>
      <c r="O212" t="str">
        <f t="shared" si="10"/>
        <v>July</v>
      </c>
      <c r="P212" t="str">
        <f t="shared" si="11"/>
        <v>Weekday</v>
      </c>
    </row>
    <row r="213" spans="1:16" x14ac:dyDescent="0.3">
      <c r="A213" s="1">
        <v>41852</v>
      </c>
      <c r="B213">
        <v>2</v>
      </c>
      <c r="C213">
        <v>1</v>
      </c>
      <c r="D213">
        <v>2.2000000000000002</v>
      </c>
      <c r="E213">
        <v>14</v>
      </c>
      <c r="F213">
        <v>17</v>
      </c>
      <c r="G213">
        <v>1</v>
      </c>
      <c r="H213">
        <v>0</v>
      </c>
      <c r="I213">
        <v>1</v>
      </c>
      <c r="J213">
        <v>2014</v>
      </c>
      <c r="K213">
        <v>8</v>
      </c>
      <c r="L213">
        <v>276</v>
      </c>
      <c r="M213" t="s">
        <v>13</v>
      </c>
      <c r="N213">
        <f t="shared" si="9"/>
        <v>38.200000000000003</v>
      </c>
      <c r="O213" t="str">
        <f t="shared" si="10"/>
        <v>August</v>
      </c>
      <c r="P213" t="str">
        <f t="shared" si="11"/>
        <v>Weekday</v>
      </c>
    </row>
    <row r="214" spans="1:16" x14ac:dyDescent="0.3">
      <c r="A214" s="1">
        <v>41853</v>
      </c>
      <c r="B214">
        <v>5</v>
      </c>
      <c r="C214">
        <v>2.0099999999999998</v>
      </c>
      <c r="D214">
        <v>6</v>
      </c>
      <c r="E214">
        <v>29</v>
      </c>
      <c r="F214">
        <v>12</v>
      </c>
      <c r="G214">
        <v>0</v>
      </c>
      <c r="H214">
        <v>5</v>
      </c>
      <c r="I214">
        <v>3</v>
      </c>
      <c r="J214">
        <v>2014</v>
      </c>
      <c r="K214">
        <v>8</v>
      </c>
      <c r="L214">
        <v>276</v>
      </c>
      <c r="M214" t="s">
        <v>14</v>
      </c>
      <c r="N214">
        <f t="shared" si="9"/>
        <v>62.01</v>
      </c>
      <c r="O214" t="str">
        <f t="shared" si="10"/>
        <v>August</v>
      </c>
      <c r="P214" t="str">
        <f t="shared" si="11"/>
        <v>Weekend</v>
      </c>
    </row>
    <row r="215" spans="1:16" x14ac:dyDescent="0.3">
      <c r="A215" s="1">
        <v>41854</v>
      </c>
      <c r="B215">
        <v>5</v>
      </c>
      <c r="C215">
        <v>1</v>
      </c>
      <c r="D215">
        <v>3</v>
      </c>
      <c r="E215">
        <v>6</v>
      </c>
      <c r="F215">
        <v>5</v>
      </c>
      <c r="G215">
        <v>5</v>
      </c>
      <c r="H215">
        <v>0</v>
      </c>
      <c r="I215">
        <v>0</v>
      </c>
      <c r="J215">
        <v>2014</v>
      </c>
      <c r="K215">
        <v>8</v>
      </c>
      <c r="L215">
        <v>276</v>
      </c>
      <c r="M215" t="s">
        <v>15</v>
      </c>
      <c r="N215">
        <f t="shared" si="9"/>
        <v>25</v>
      </c>
      <c r="O215" t="str">
        <f t="shared" si="10"/>
        <v>August</v>
      </c>
      <c r="P215" t="str">
        <f t="shared" si="11"/>
        <v>Weekend</v>
      </c>
    </row>
    <row r="216" spans="1:16" x14ac:dyDescent="0.3">
      <c r="A216" s="1">
        <v>41855</v>
      </c>
      <c r="B216">
        <v>4</v>
      </c>
      <c r="C216">
        <v>5.0199999999999996</v>
      </c>
      <c r="D216">
        <v>6</v>
      </c>
      <c r="E216">
        <v>21.5</v>
      </c>
      <c r="F216">
        <v>14</v>
      </c>
      <c r="G216">
        <v>0</v>
      </c>
      <c r="H216">
        <v>0</v>
      </c>
      <c r="I216">
        <v>4</v>
      </c>
      <c r="J216">
        <v>2014</v>
      </c>
      <c r="K216">
        <v>8</v>
      </c>
      <c r="L216">
        <v>276</v>
      </c>
      <c r="M216" t="s">
        <v>16</v>
      </c>
      <c r="N216">
        <f t="shared" si="9"/>
        <v>54.519999999999996</v>
      </c>
      <c r="O216" t="str">
        <f t="shared" si="10"/>
        <v>August</v>
      </c>
      <c r="P216" t="str">
        <f t="shared" si="11"/>
        <v>Weekday</v>
      </c>
    </row>
    <row r="217" spans="1:16" x14ac:dyDescent="0.3">
      <c r="A217" s="1">
        <v>41856</v>
      </c>
      <c r="B217">
        <v>2</v>
      </c>
      <c r="C217">
        <v>1.34</v>
      </c>
      <c r="D217">
        <v>3</v>
      </c>
      <c r="E217">
        <v>17.100000000000001</v>
      </c>
      <c r="F217">
        <v>9</v>
      </c>
      <c r="G217">
        <v>0</v>
      </c>
      <c r="H217">
        <v>0</v>
      </c>
      <c r="I217">
        <v>0</v>
      </c>
      <c r="J217">
        <v>2014</v>
      </c>
      <c r="K217">
        <v>8</v>
      </c>
      <c r="L217">
        <v>276</v>
      </c>
      <c r="M217" t="s">
        <v>17</v>
      </c>
      <c r="N217">
        <f t="shared" si="9"/>
        <v>32.44</v>
      </c>
      <c r="O217" t="str">
        <f t="shared" si="10"/>
        <v>August</v>
      </c>
      <c r="P217" t="str">
        <f t="shared" si="11"/>
        <v>Weekday</v>
      </c>
    </row>
    <row r="218" spans="1:16" x14ac:dyDescent="0.3">
      <c r="A218" s="1">
        <v>41857</v>
      </c>
      <c r="B218">
        <v>6</v>
      </c>
      <c r="C218">
        <v>5</v>
      </c>
      <c r="D218">
        <v>1.4</v>
      </c>
      <c r="E218">
        <v>17</v>
      </c>
      <c r="F218">
        <v>7</v>
      </c>
      <c r="G218">
        <v>1</v>
      </c>
      <c r="H218">
        <v>1</v>
      </c>
      <c r="I218">
        <v>1</v>
      </c>
      <c r="J218">
        <v>2014</v>
      </c>
      <c r="K218">
        <v>8</v>
      </c>
      <c r="L218">
        <v>276</v>
      </c>
      <c r="M218" t="s">
        <v>18</v>
      </c>
      <c r="N218">
        <f t="shared" si="9"/>
        <v>39.4</v>
      </c>
      <c r="O218" t="str">
        <f t="shared" si="10"/>
        <v>August</v>
      </c>
      <c r="P218" t="str">
        <f t="shared" si="11"/>
        <v>Weekday</v>
      </c>
    </row>
    <row r="219" spans="1:16" x14ac:dyDescent="0.3">
      <c r="A219" s="1">
        <v>41858</v>
      </c>
      <c r="B219">
        <v>3.34</v>
      </c>
      <c r="C219">
        <v>2.68</v>
      </c>
      <c r="D219">
        <v>3</v>
      </c>
      <c r="E219">
        <v>33</v>
      </c>
      <c r="F219">
        <v>13</v>
      </c>
      <c r="G219">
        <v>1</v>
      </c>
      <c r="H219">
        <v>0</v>
      </c>
      <c r="I219">
        <v>2</v>
      </c>
      <c r="J219">
        <v>2014</v>
      </c>
      <c r="K219">
        <v>8</v>
      </c>
      <c r="L219">
        <v>276</v>
      </c>
      <c r="M219" t="s">
        <v>12</v>
      </c>
      <c r="N219">
        <f t="shared" si="9"/>
        <v>58.019999999999996</v>
      </c>
      <c r="O219" t="str">
        <f t="shared" si="10"/>
        <v>August</v>
      </c>
      <c r="P219" t="str">
        <f t="shared" si="11"/>
        <v>Weekday</v>
      </c>
    </row>
    <row r="220" spans="1:16" x14ac:dyDescent="0.3">
      <c r="A220" s="1">
        <v>41859</v>
      </c>
      <c r="B220">
        <v>5.0199999999999996</v>
      </c>
      <c r="C220">
        <v>4.0199999999999996</v>
      </c>
      <c r="D220">
        <v>5</v>
      </c>
      <c r="E220">
        <v>13</v>
      </c>
      <c r="F220">
        <v>12</v>
      </c>
      <c r="G220">
        <v>3</v>
      </c>
      <c r="H220">
        <v>2</v>
      </c>
      <c r="I220">
        <v>2</v>
      </c>
      <c r="J220">
        <v>2014</v>
      </c>
      <c r="K220">
        <v>8</v>
      </c>
      <c r="L220">
        <v>276</v>
      </c>
      <c r="M220" t="s">
        <v>13</v>
      </c>
      <c r="N220">
        <f t="shared" si="9"/>
        <v>46.04</v>
      </c>
      <c r="O220" t="str">
        <f t="shared" si="10"/>
        <v>August</v>
      </c>
      <c r="P220" t="str">
        <f t="shared" si="11"/>
        <v>Weekday</v>
      </c>
    </row>
    <row r="221" spans="1:16" x14ac:dyDescent="0.3">
      <c r="A221" s="1">
        <v>41860</v>
      </c>
      <c r="B221">
        <v>4</v>
      </c>
      <c r="C221">
        <v>1.34</v>
      </c>
      <c r="D221">
        <v>6</v>
      </c>
      <c r="E221">
        <v>19</v>
      </c>
      <c r="F221">
        <v>24</v>
      </c>
      <c r="G221">
        <v>3</v>
      </c>
      <c r="H221">
        <v>0</v>
      </c>
      <c r="I221">
        <v>5.9</v>
      </c>
      <c r="J221">
        <v>2014</v>
      </c>
      <c r="K221">
        <v>8</v>
      </c>
      <c r="L221">
        <v>276</v>
      </c>
      <c r="M221" t="s">
        <v>14</v>
      </c>
      <c r="N221">
        <f t="shared" si="9"/>
        <v>63.24</v>
      </c>
      <c r="O221" t="str">
        <f t="shared" si="10"/>
        <v>August</v>
      </c>
      <c r="P221" t="str">
        <f t="shared" si="11"/>
        <v>Weekend</v>
      </c>
    </row>
    <row r="222" spans="1:16" x14ac:dyDescent="0.3">
      <c r="A222" s="1">
        <v>41861</v>
      </c>
      <c r="B222">
        <v>4</v>
      </c>
      <c r="C222">
        <v>0.34</v>
      </c>
      <c r="D222">
        <v>4</v>
      </c>
      <c r="E222">
        <v>3</v>
      </c>
      <c r="F222">
        <v>4</v>
      </c>
      <c r="G222">
        <v>0</v>
      </c>
      <c r="H222">
        <v>0</v>
      </c>
      <c r="I222">
        <v>2</v>
      </c>
      <c r="J222">
        <v>2014</v>
      </c>
      <c r="K222">
        <v>8</v>
      </c>
      <c r="L222">
        <v>276</v>
      </c>
      <c r="M222" t="s">
        <v>15</v>
      </c>
      <c r="N222">
        <f t="shared" si="9"/>
        <v>17.34</v>
      </c>
      <c r="O222" t="str">
        <f t="shared" si="10"/>
        <v>August</v>
      </c>
      <c r="P222" t="str">
        <f t="shared" si="11"/>
        <v>Weekend</v>
      </c>
    </row>
    <row r="223" spans="1:16" x14ac:dyDescent="0.3">
      <c r="A223" s="1">
        <v>41862</v>
      </c>
      <c r="B223">
        <v>8</v>
      </c>
      <c r="C223">
        <v>5.36</v>
      </c>
      <c r="D223">
        <v>9.1999999999999993</v>
      </c>
      <c r="E223">
        <v>20</v>
      </c>
      <c r="F223">
        <v>18</v>
      </c>
      <c r="G223">
        <v>0</v>
      </c>
      <c r="H223">
        <v>0</v>
      </c>
      <c r="I223">
        <v>2</v>
      </c>
      <c r="J223">
        <v>2014</v>
      </c>
      <c r="K223">
        <v>8</v>
      </c>
      <c r="L223">
        <v>276</v>
      </c>
      <c r="M223" t="s">
        <v>16</v>
      </c>
      <c r="N223">
        <f t="shared" si="9"/>
        <v>62.56</v>
      </c>
      <c r="O223" t="str">
        <f t="shared" si="10"/>
        <v>August</v>
      </c>
      <c r="P223" t="str">
        <f t="shared" si="11"/>
        <v>Weekday</v>
      </c>
    </row>
    <row r="224" spans="1:16" x14ac:dyDescent="0.3">
      <c r="A224" s="1">
        <v>41863</v>
      </c>
      <c r="B224">
        <v>0</v>
      </c>
      <c r="C224">
        <v>1.36</v>
      </c>
      <c r="D224">
        <v>4.5</v>
      </c>
      <c r="E224">
        <v>10</v>
      </c>
      <c r="F224">
        <v>8</v>
      </c>
      <c r="G224">
        <v>1</v>
      </c>
      <c r="H224">
        <v>0</v>
      </c>
      <c r="I224">
        <v>4.5999999999999996</v>
      </c>
      <c r="J224">
        <v>2014</v>
      </c>
      <c r="K224">
        <v>8</v>
      </c>
      <c r="L224">
        <v>276</v>
      </c>
      <c r="M224" t="s">
        <v>17</v>
      </c>
      <c r="N224">
        <f t="shared" si="9"/>
        <v>29.46</v>
      </c>
      <c r="O224" t="str">
        <f t="shared" si="10"/>
        <v>August</v>
      </c>
      <c r="P224" t="str">
        <f t="shared" si="11"/>
        <v>Weekday</v>
      </c>
    </row>
    <row r="225" spans="1:16" x14ac:dyDescent="0.3">
      <c r="A225" s="1">
        <v>41864</v>
      </c>
      <c r="B225">
        <v>1.34</v>
      </c>
      <c r="C225">
        <v>3.34</v>
      </c>
      <c r="D225">
        <v>1</v>
      </c>
      <c r="E225">
        <v>20.3</v>
      </c>
      <c r="F225">
        <v>11</v>
      </c>
      <c r="G225">
        <v>0</v>
      </c>
      <c r="H225">
        <v>0</v>
      </c>
      <c r="I225">
        <v>7</v>
      </c>
      <c r="J225">
        <v>2014</v>
      </c>
      <c r="K225">
        <v>8</v>
      </c>
      <c r="L225">
        <v>276</v>
      </c>
      <c r="M225" t="s">
        <v>18</v>
      </c>
      <c r="N225">
        <f t="shared" si="9"/>
        <v>43.980000000000004</v>
      </c>
      <c r="O225" t="str">
        <f t="shared" si="10"/>
        <v>August</v>
      </c>
      <c r="P225" t="str">
        <f t="shared" si="11"/>
        <v>Weekday</v>
      </c>
    </row>
    <row r="226" spans="1:16" x14ac:dyDescent="0.3">
      <c r="A226" s="1">
        <v>41865</v>
      </c>
      <c r="B226">
        <v>4</v>
      </c>
      <c r="C226">
        <v>2.34</v>
      </c>
      <c r="D226">
        <v>6</v>
      </c>
      <c r="E226">
        <v>14.4</v>
      </c>
      <c r="F226">
        <v>13</v>
      </c>
      <c r="G226">
        <v>0</v>
      </c>
      <c r="H226">
        <v>0</v>
      </c>
      <c r="I226">
        <v>6</v>
      </c>
      <c r="J226">
        <v>2014</v>
      </c>
      <c r="K226">
        <v>8</v>
      </c>
      <c r="L226">
        <v>276</v>
      </c>
      <c r="M226" t="s">
        <v>12</v>
      </c>
      <c r="N226">
        <f t="shared" si="9"/>
        <v>45.74</v>
      </c>
      <c r="O226" t="str">
        <f t="shared" si="10"/>
        <v>August</v>
      </c>
      <c r="P226" t="str">
        <f t="shared" si="11"/>
        <v>Weekday</v>
      </c>
    </row>
    <row r="227" spans="1:16" x14ac:dyDescent="0.3">
      <c r="A227" s="1">
        <v>41866</v>
      </c>
      <c r="B227">
        <v>4.34</v>
      </c>
      <c r="C227">
        <v>4.0199999999999996</v>
      </c>
      <c r="D227">
        <v>7</v>
      </c>
      <c r="E227">
        <v>13.2</v>
      </c>
      <c r="F227">
        <v>15</v>
      </c>
      <c r="G227">
        <v>2</v>
      </c>
      <c r="H227">
        <v>3</v>
      </c>
      <c r="I227">
        <v>2</v>
      </c>
      <c r="J227">
        <v>2014</v>
      </c>
      <c r="K227">
        <v>8</v>
      </c>
      <c r="L227">
        <v>276</v>
      </c>
      <c r="M227" t="s">
        <v>13</v>
      </c>
      <c r="N227">
        <f t="shared" si="9"/>
        <v>50.56</v>
      </c>
      <c r="O227" t="str">
        <f t="shared" si="10"/>
        <v>August</v>
      </c>
      <c r="P227" t="str">
        <f t="shared" si="11"/>
        <v>Weekday</v>
      </c>
    </row>
    <row r="228" spans="1:16" x14ac:dyDescent="0.3">
      <c r="A228" s="1">
        <v>41867</v>
      </c>
      <c r="B228">
        <v>8</v>
      </c>
      <c r="C228">
        <v>2.4300000000000002</v>
      </c>
      <c r="D228">
        <v>5</v>
      </c>
      <c r="E228">
        <v>19</v>
      </c>
      <c r="F228">
        <v>27</v>
      </c>
      <c r="G228">
        <v>2</v>
      </c>
      <c r="H228">
        <v>0</v>
      </c>
      <c r="I228">
        <v>1</v>
      </c>
      <c r="J228">
        <v>2014</v>
      </c>
      <c r="K228">
        <v>8</v>
      </c>
      <c r="L228">
        <v>276</v>
      </c>
      <c r="M228" t="s">
        <v>14</v>
      </c>
      <c r="N228">
        <f t="shared" si="9"/>
        <v>64.430000000000007</v>
      </c>
      <c r="O228" t="str">
        <f t="shared" si="10"/>
        <v>August</v>
      </c>
      <c r="P228" t="str">
        <f t="shared" si="11"/>
        <v>Weekend</v>
      </c>
    </row>
    <row r="229" spans="1:16" x14ac:dyDescent="0.3">
      <c r="A229" s="1">
        <v>41868</v>
      </c>
      <c r="B229">
        <v>0.34</v>
      </c>
      <c r="C229">
        <v>0.68</v>
      </c>
      <c r="D229">
        <v>2</v>
      </c>
      <c r="E229">
        <v>6.5</v>
      </c>
      <c r="F229">
        <v>7</v>
      </c>
      <c r="G229">
        <v>0</v>
      </c>
      <c r="H229">
        <v>0</v>
      </c>
      <c r="I229">
        <v>1</v>
      </c>
      <c r="J229">
        <v>2014</v>
      </c>
      <c r="K229">
        <v>8</v>
      </c>
      <c r="L229">
        <v>276</v>
      </c>
      <c r="M229" t="s">
        <v>15</v>
      </c>
      <c r="N229">
        <f t="shared" si="9"/>
        <v>17.52</v>
      </c>
      <c r="O229" t="str">
        <f t="shared" si="10"/>
        <v>August</v>
      </c>
      <c r="P229" t="str">
        <f t="shared" si="11"/>
        <v>Weekend</v>
      </c>
    </row>
    <row r="230" spans="1:16" x14ac:dyDescent="0.3">
      <c r="A230" s="1">
        <v>41869</v>
      </c>
      <c r="B230">
        <v>4.34</v>
      </c>
      <c r="C230">
        <v>6</v>
      </c>
      <c r="D230">
        <v>3.1</v>
      </c>
      <c r="E230">
        <v>16.5</v>
      </c>
      <c r="F230">
        <v>21</v>
      </c>
      <c r="G230">
        <v>3</v>
      </c>
      <c r="H230">
        <v>10</v>
      </c>
      <c r="I230">
        <v>2</v>
      </c>
      <c r="J230">
        <v>2014</v>
      </c>
      <c r="K230">
        <v>8</v>
      </c>
      <c r="L230">
        <v>276</v>
      </c>
      <c r="M230" t="s">
        <v>16</v>
      </c>
      <c r="N230">
        <f t="shared" si="9"/>
        <v>65.94</v>
      </c>
      <c r="O230" t="str">
        <f t="shared" si="10"/>
        <v>August</v>
      </c>
      <c r="P230" t="str">
        <f t="shared" si="11"/>
        <v>Weekday</v>
      </c>
    </row>
    <row r="231" spans="1:16" x14ac:dyDescent="0.3">
      <c r="A231" s="1">
        <v>41870</v>
      </c>
      <c r="B231">
        <v>11.34</v>
      </c>
      <c r="C231">
        <v>6.35</v>
      </c>
      <c r="D231">
        <v>5</v>
      </c>
      <c r="E231">
        <v>16.100000000000001</v>
      </c>
      <c r="F231">
        <v>13</v>
      </c>
      <c r="G231">
        <v>1</v>
      </c>
      <c r="H231">
        <v>3</v>
      </c>
      <c r="I231">
        <v>1.1000000000000001</v>
      </c>
      <c r="J231">
        <v>2014</v>
      </c>
      <c r="K231">
        <v>8</v>
      </c>
      <c r="L231">
        <v>276</v>
      </c>
      <c r="M231" t="s">
        <v>17</v>
      </c>
      <c r="N231">
        <f t="shared" si="9"/>
        <v>56.89</v>
      </c>
      <c r="O231" t="str">
        <f t="shared" si="10"/>
        <v>August</v>
      </c>
      <c r="P231" t="str">
        <f t="shared" si="11"/>
        <v>Weekday</v>
      </c>
    </row>
    <row r="232" spans="1:16" x14ac:dyDescent="0.3">
      <c r="A232" s="1">
        <v>41871</v>
      </c>
      <c r="B232">
        <v>5.34</v>
      </c>
      <c r="C232">
        <v>5.34</v>
      </c>
      <c r="D232">
        <v>1.4</v>
      </c>
      <c r="E232">
        <v>9</v>
      </c>
      <c r="F232">
        <v>10</v>
      </c>
      <c r="G232">
        <v>2</v>
      </c>
      <c r="H232">
        <v>0</v>
      </c>
      <c r="I232">
        <v>1</v>
      </c>
      <c r="J232">
        <v>2014</v>
      </c>
      <c r="K232">
        <v>8</v>
      </c>
      <c r="L232">
        <v>276</v>
      </c>
      <c r="M232" t="s">
        <v>18</v>
      </c>
      <c r="N232">
        <f t="shared" si="9"/>
        <v>34.08</v>
      </c>
      <c r="O232" t="str">
        <f t="shared" si="10"/>
        <v>August</v>
      </c>
      <c r="P232" t="str">
        <f t="shared" si="11"/>
        <v>Weekday</v>
      </c>
    </row>
    <row r="233" spans="1:16" x14ac:dyDescent="0.3">
      <c r="A233" s="1">
        <v>41872</v>
      </c>
      <c r="B233">
        <v>3</v>
      </c>
      <c r="C233">
        <v>1</v>
      </c>
      <c r="D233">
        <v>2</v>
      </c>
      <c r="E233">
        <v>18</v>
      </c>
      <c r="F233">
        <v>16</v>
      </c>
      <c r="G233">
        <v>1</v>
      </c>
      <c r="H233">
        <v>0</v>
      </c>
      <c r="I233">
        <v>2.2000000000000002</v>
      </c>
      <c r="J233">
        <v>2014</v>
      </c>
      <c r="K233">
        <v>8</v>
      </c>
      <c r="L233">
        <v>276</v>
      </c>
      <c r="M233" t="s">
        <v>12</v>
      </c>
      <c r="N233">
        <f t="shared" si="9"/>
        <v>43.2</v>
      </c>
      <c r="O233" t="str">
        <f t="shared" si="10"/>
        <v>August</v>
      </c>
      <c r="P233" t="str">
        <f t="shared" si="11"/>
        <v>Weekday</v>
      </c>
    </row>
    <row r="234" spans="1:16" x14ac:dyDescent="0.3">
      <c r="A234" s="1">
        <v>41873</v>
      </c>
      <c r="B234">
        <v>6.34</v>
      </c>
      <c r="C234">
        <v>1.34</v>
      </c>
      <c r="D234">
        <v>5</v>
      </c>
      <c r="E234">
        <v>19</v>
      </c>
      <c r="F234">
        <v>15</v>
      </c>
      <c r="G234">
        <v>0</v>
      </c>
      <c r="H234">
        <v>0</v>
      </c>
      <c r="I234">
        <v>1</v>
      </c>
      <c r="J234">
        <v>2014</v>
      </c>
      <c r="K234">
        <v>8</v>
      </c>
      <c r="L234">
        <v>276</v>
      </c>
      <c r="M234" t="s">
        <v>13</v>
      </c>
      <c r="N234">
        <f t="shared" si="9"/>
        <v>47.68</v>
      </c>
      <c r="O234" t="str">
        <f t="shared" si="10"/>
        <v>August</v>
      </c>
      <c r="P234" t="str">
        <f t="shared" si="11"/>
        <v>Weekday</v>
      </c>
    </row>
    <row r="235" spans="1:16" x14ac:dyDescent="0.3">
      <c r="A235" s="1">
        <v>41874</v>
      </c>
      <c r="B235">
        <v>3</v>
      </c>
      <c r="C235">
        <v>3.02</v>
      </c>
      <c r="D235">
        <v>1</v>
      </c>
      <c r="E235">
        <v>25.6</v>
      </c>
      <c r="F235">
        <v>5</v>
      </c>
      <c r="G235">
        <v>0</v>
      </c>
      <c r="H235">
        <v>0</v>
      </c>
      <c r="I235">
        <v>4</v>
      </c>
      <c r="J235">
        <v>2014</v>
      </c>
      <c r="K235">
        <v>8</v>
      </c>
      <c r="L235">
        <v>276</v>
      </c>
      <c r="M235" t="s">
        <v>14</v>
      </c>
      <c r="N235">
        <f t="shared" si="9"/>
        <v>41.620000000000005</v>
      </c>
      <c r="O235" t="str">
        <f t="shared" si="10"/>
        <v>August</v>
      </c>
      <c r="P235" t="str">
        <f t="shared" si="11"/>
        <v>Weekend</v>
      </c>
    </row>
    <row r="236" spans="1:16" x14ac:dyDescent="0.3">
      <c r="A236" s="1">
        <v>41875</v>
      </c>
      <c r="B236">
        <v>3</v>
      </c>
      <c r="C236">
        <v>2.1749999999999998</v>
      </c>
      <c r="D236">
        <v>3</v>
      </c>
      <c r="E236">
        <v>7</v>
      </c>
      <c r="F236">
        <v>12</v>
      </c>
      <c r="G236">
        <v>0</v>
      </c>
      <c r="H236">
        <v>1</v>
      </c>
      <c r="I236">
        <v>0</v>
      </c>
      <c r="J236">
        <v>2014</v>
      </c>
      <c r="K236">
        <v>8</v>
      </c>
      <c r="L236">
        <v>276</v>
      </c>
      <c r="M236" t="s">
        <v>15</v>
      </c>
      <c r="N236">
        <f t="shared" si="9"/>
        <v>28.175000000000001</v>
      </c>
      <c r="O236" t="str">
        <f t="shared" si="10"/>
        <v>August</v>
      </c>
      <c r="P236" t="str">
        <f t="shared" si="11"/>
        <v>Weekend</v>
      </c>
    </row>
    <row r="237" spans="1:16" x14ac:dyDescent="0.3">
      <c r="A237" s="1">
        <v>41876</v>
      </c>
      <c r="B237">
        <v>4.01</v>
      </c>
      <c r="C237">
        <v>3.1749999999999998</v>
      </c>
      <c r="D237">
        <v>3</v>
      </c>
      <c r="E237">
        <v>21.2</v>
      </c>
      <c r="F237">
        <v>21</v>
      </c>
      <c r="G237">
        <v>0</v>
      </c>
      <c r="H237">
        <v>0</v>
      </c>
      <c r="I237">
        <v>0</v>
      </c>
      <c r="J237">
        <v>2014</v>
      </c>
      <c r="K237">
        <v>8</v>
      </c>
      <c r="L237">
        <v>276</v>
      </c>
      <c r="M237" t="s">
        <v>16</v>
      </c>
      <c r="N237">
        <f t="shared" si="9"/>
        <v>52.384999999999998</v>
      </c>
      <c r="O237" t="str">
        <f t="shared" si="10"/>
        <v>August</v>
      </c>
      <c r="P237" t="str">
        <f t="shared" si="11"/>
        <v>Weekday</v>
      </c>
    </row>
    <row r="238" spans="1:16" x14ac:dyDescent="0.3">
      <c r="A238" s="1">
        <v>41877</v>
      </c>
      <c r="B238">
        <v>2.34</v>
      </c>
      <c r="C238">
        <v>5.34</v>
      </c>
      <c r="D238">
        <v>3</v>
      </c>
      <c r="E238">
        <v>31</v>
      </c>
      <c r="F238">
        <v>14</v>
      </c>
      <c r="G238">
        <v>1</v>
      </c>
      <c r="H238">
        <v>1</v>
      </c>
      <c r="I238">
        <v>3</v>
      </c>
      <c r="J238">
        <v>2014</v>
      </c>
      <c r="K238">
        <v>8</v>
      </c>
      <c r="L238">
        <v>276</v>
      </c>
      <c r="M238" t="s">
        <v>17</v>
      </c>
      <c r="N238">
        <f t="shared" si="9"/>
        <v>60.68</v>
      </c>
      <c r="O238" t="str">
        <f t="shared" si="10"/>
        <v>August</v>
      </c>
      <c r="P238" t="str">
        <f t="shared" si="11"/>
        <v>Weekday</v>
      </c>
    </row>
    <row r="239" spans="1:16" x14ac:dyDescent="0.3">
      <c r="A239" s="1">
        <v>41878</v>
      </c>
      <c r="B239">
        <v>3.34</v>
      </c>
      <c r="C239">
        <v>8.02</v>
      </c>
      <c r="D239">
        <v>4</v>
      </c>
      <c r="E239">
        <v>21</v>
      </c>
      <c r="F239">
        <v>14</v>
      </c>
      <c r="G239">
        <v>0</v>
      </c>
      <c r="H239">
        <v>0</v>
      </c>
      <c r="I239">
        <v>3</v>
      </c>
      <c r="J239">
        <v>2014</v>
      </c>
      <c r="K239">
        <v>8</v>
      </c>
      <c r="L239">
        <v>276</v>
      </c>
      <c r="M239" t="s">
        <v>18</v>
      </c>
      <c r="N239">
        <f t="shared" si="9"/>
        <v>53.36</v>
      </c>
      <c r="O239" t="str">
        <f t="shared" si="10"/>
        <v>August</v>
      </c>
      <c r="P239" t="str">
        <f t="shared" si="11"/>
        <v>Weekday</v>
      </c>
    </row>
    <row r="240" spans="1:16" x14ac:dyDescent="0.3">
      <c r="A240" s="1">
        <v>41879</v>
      </c>
      <c r="B240">
        <v>2.34</v>
      </c>
      <c r="C240">
        <v>5.36</v>
      </c>
      <c r="D240">
        <v>6</v>
      </c>
      <c r="E240">
        <v>32.67</v>
      </c>
      <c r="F240">
        <v>19</v>
      </c>
      <c r="G240">
        <v>0</v>
      </c>
      <c r="H240">
        <v>4</v>
      </c>
      <c r="I240">
        <v>0</v>
      </c>
      <c r="J240">
        <v>2014</v>
      </c>
      <c r="K240">
        <v>8</v>
      </c>
      <c r="L240">
        <v>276</v>
      </c>
      <c r="M240" t="s">
        <v>12</v>
      </c>
      <c r="N240">
        <f t="shared" si="9"/>
        <v>69.37</v>
      </c>
      <c r="O240" t="str">
        <f t="shared" si="10"/>
        <v>August</v>
      </c>
      <c r="P240" t="str">
        <f t="shared" si="11"/>
        <v>Weekday</v>
      </c>
    </row>
    <row r="241" spans="1:16" x14ac:dyDescent="0.3">
      <c r="A241" s="1">
        <v>41880</v>
      </c>
      <c r="B241">
        <v>6.34</v>
      </c>
      <c r="C241">
        <v>3.68</v>
      </c>
      <c r="D241">
        <v>5</v>
      </c>
      <c r="E241">
        <v>26.28</v>
      </c>
      <c r="F241">
        <v>18</v>
      </c>
      <c r="G241">
        <v>1</v>
      </c>
      <c r="H241">
        <v>0</v>
      </c>
      <c r="I241">
        <v>3</v>
      </c>
      <c r="J241">
        <v>2014</v>
      </c>
      <c r="K241">
        <v>8</v>
      </c>
      <c r="L241">
        <v>276</v>
      </c>
      <c r="M241" t="s">
        <v>13</v>
      </c>
      <c r="N241">
        <f t="shared" si="9"/>
        <v>63.3</v>
      </c>
      <c r="O241" t="str">
        <f t="shared" si="10"/>
        <v>August</v>
      </c>
      <c r="P241" t="str">
        <f t="shared" si="11"/>
        <v>Weekday</v>
      </c>
    </row>
    <row r="242" spans="1:16" x14ac:dyDescent="0.3">
      <c r="A242" s="1">
        <v>41881</v>
      </c>
      <c r="B242">
        <v>3.68</v>
      </c>
      <c r="C242">
        <v>3.02</v>
      </c>
      <c r="D242">
        <v>7</v>
      </c>
      <c r="E242">
        <v>13</v>
      </c>
      <c r="F242">
        <v>13</v>
      </c>
      <c r="G242">
        <v>1</v>
      </c>
      <c r="H242">
        <v>0</v>
      </c>
      <c r="I242">
        <v>4</v>
      </c>
      <c r="J242">
        <v>2014</v>
      </c>
      <c r="K242">
        <v>8</v>
      </c>
      <c r="L242">
        <v>276</v>
      </c>
      <c r="M242" t="s">
        <v>14</v>
      </c>
      <c r="N242">
        <f t="shared" si="9"/>
        <v>44.7</v>
      </c>
      <c r="O242" t="str">
        <f t="shared" si="10"/>
        <v>August</v>
      </c>
      <c r="P242" t="str">
        <f t="shared" si="11"/>
        <v>Weekend</v>
      </c>
    </row>
    <row r="243" spans="1:16" x14ac:dyDescent="0.3">
      <c r="A243" s="1">
        <v>41882</v>
      </c>
      <c r="B243">
        <v>0</v>
      </c>
      <c r="C243">
        <v>2.68</v>
      </c>
      <c r="D243">
        <v>1</v>
      </c>
      <c r="E243">
        <v>15</v>
      </c>
      <c r="F243">
        <v>13</v>
      </c>
      <c r="G243">
        <v>0</v>
      </c>
      <c r="H243">
        <v>7</v>
      </c>
      <c r="I243">
        <v>2</v>
      </c>
      <c r="J243">
        <v>2014</v>
      </c>
      <c r="K243">
        <v>8</v>
      </c>
      <c r="L243">
        <v>276</v>
      </c>
      <c r="M243" t="s">
        <v>15</v>
      </c>
      <c r="N243">
        <f t="shared" si="9"/>
        <v>40.68</v>
      </c>
      <c r="O243" t="str">
        <f t="shared" si="10"/>
        <v>August</v>
      </c>
      <c r="P243" t="str">
        <f t="shared" si="11"/>
        <v>Weekend</v>
      </c>
    </row>
    <row r="244" spans="1:16" x14ac:dyDescent="0.3">
      <c r="A244" s="1">
        <v>41883</v>
      </c>
      <c r="B244">
        <v>3.34</v>
      </c>
      <c r="C244">
        <v>1.7150000000000001</v>
      </c>
      <c r="D244">
        <v>1</v>
      </c>
      <c r="E244">
        <v>15.5</v>
      </c>
      <c r="F244">
        <v>15</v>
      </c>
      <c r="G244">
        <v>0</v>
      </c>
      <c r="H244">
        <v>0</v>
      </c>
      <c r="I244">
        <v>5.5</v>
      </c>
      <c r="J244">
        <v>2014</v>
      </c>
      <c r="K244">
        <v>9</v>
      </c>
      <c r="L244">
        <v>276</v>
      </c>
      <c r="M244" t="s">
        <v>16</v>
      </c>
      <c r="N244">
        <f t="shared" si="9"/>
        <v>42.055</v>
      </c>
      <c r="O244" t="str">
        <f t="shared" si="10"/>
        <v>September</v>
      </c>
      <c r="P244" t="str">
        <f t="shared" si="11"/>
        <v>Weekday</v>
      </c>
    </row>
    <row r="245" spans="1:16" x14ac:dyDescent="0.3">
      <c r="A245" s="1">
        <v>41884</v>
      </c>
      <c r="B245">
        <v>2.34</v>
      </c>
      <c r="C245">
        <v>4.68</v>
      </c>
      <c r="D245">
        <v>5.2</v>
      </c>
      <c r="E245">
        <v>20.14</v>
      </c>
      <c r="F245">
        <v>7</v>
      </c>
      <c r="G245">
        <v>0</v>
      </c>
      <c r="H245">
        <v>2</v>
      </c>
      <c r="I245">
        <v>3</v>
      </c>
      <c r="J245">
        <v>2014</v>
      </c>
      <c r="K245">
        <v>9</v>
      </c>
      <c r="L245">
        <v>276</v>
      </c>
      <c r="M245" t="s">
        <v>17</v>
      </c>
      <c r="N245">
        <f t="shared" si="9"/>
        <v>44.36</v>
      </c>
      <c r="O245" t="str">
        <f t="shared" si="10"/>
        <v>September</v>
      </c>
      <c r="P245" t="str">
        <f t="shared" si="11"/>
        <v>Weekday</v>
      </c>
    </row>
    <row r="246" spans="1:16" x14ac:dyDescent="0.3">
      <c r="A246" s="1">
        <v>41885</v>
      </c>
      <c r="B246">
        <v>7</v>
      </c>
      <c r="C246">
        <v>6.34</v>
      </c>
      <c r="D246">
        <v>4</v>
      </c>
      <c r="E246">
        <v>22.18</v>
      </c>
      <c r="F246">
        <v>12</v>
      </c>
      <c r="G246">
        <v>0</v>
      </c>
      <c r="H246">
        <v>2</v>
      </c>
      <c r="I246">
        <v>3</v>
      </c>
      <c r="J246">
        <v>2014</v>
      </c>
      <c r="K246">
        <v>9</v>
      </c>
      <c r="L246">
        <v>276</v>
      </c>
      <c r="M246" t="s">
        <v>18</v>
      </c>
      <c r="N246">
        <f t="shared" si="9"/>
        <v>56.519999999999996</v>
      </c>
      <c r="O246" t="str">
        <f t="shared" si="10"/>
        <v>September</v>
      </c>
      <c r="P246" t="str">
        <f t="shared" si="11"/>
        <v>Weekday</v>
      </c>
    </row>
    <row r="247" spans="1:16" x14ac:dyDescent="0.3">
      <c r="A247" s="1">
        <v>41886</v>
      </c>
      <c r="B247">
        <v>5.68</v>
      </c>
      <c r="C247">
        <v>5.34</v>
      </c>
      <c r="D247">
        <v>3</v>
      </c>
      <c r="E247">
        <v>17.600000000000001</v>
      </c>
      <c r="F247">
        <v>21</v>
      </c>
      <c r="G247">
        <v>1</v>
      </c>
      <c r="H247">
        <v>0</v>
      </c>
      <c r="I247">
        <v>1</v>
      </c>
      <c r="J247">
        <v>2014</v>
      </c>
      <c r="K247">
        <v>9</v>
      </c>
      <c r="L247">
        <v>276</v>
      </c>
      <c r="M247" t="s">
        <v>12</v>
      </c>
      <c r="N247">
        <f t="shared" si="9"/>
        <v>54.620000000000005</v>
      </c>
      <c r="O247" t="str">
        <f t="shared" si="10"/>
        <v>September</v>
      </c>
      <c r="P247" t="str">
        <f t="shared" si="11"/>
        <v>Weekday</v>
      </c>
    </row>
    <row r="248" spans="1:16" x14ac:dyDescent="0.3">
      <c r="A248" s="1">
        <v>41887</v>
      </c>
      <c r="B248">
        <v>4</v>
      </c>
      <c r="C248">
        <v>0.77900000000000003</v>
      </c>
      <c r="D248">
        <v>3</v>
      </c>
      <c r="E248">
        <v>15.6</v>
      </c>
      <c r="F248">
        <v>15</v>
      </c>
      <c r="G248">
        <v>2</v>
      </c>
      <c r="H248">
        <v>0</v>
      </c>
      <c r="I248">
        <v>2</v>
      </c>
      <c r="J248">
        <v>2014</v>
      </c>
      <c r="K248">
        <v>9</v>
      </c>
      <c r="L248">
        <v>276</v>
      </c>
      <c r="M248" t="s">
        <v>13</v>
      </c>
      <c r="N248">
        <f t="shared" si="9"/>
        <v>42.378999999999998</v>
      </c>
      <c r="O248" t="str">
        <f t="shared" si="10"/>
        <v>September</v>
      </c>
      <c r="P248" t="str">
        <f t="shared" si="11"/>
        <v>Weekday</v>
      </c>
    </row>
    <row r="249" spans="1:16" x14ac:dyDescent="0.3">
      <c r="A249" s="1">
        <v>41888</v>
      </c>
      <c r="B249">
        <v>5.34</v>
      </c>
      <c r="C249">
        <v>5</v>
      </c>
      <c r="D249">
        <v>2.4</v>
      </c>
      <c r="E249">
        <v>15.7</v>
      </c>
      <c r="F249">
        <v>30</v>
      </c>
      <c r="G249">
        <v>2</v>
      </c>
      <c r="H249">
        <v>5</v>
      </c>
      <c r="I249">
        <v>3.1</v>
      </c>
      <c r="J249">
        <v>2014</v>
      </c>
      <c r="K249">
        <v>9</v>
      </c>
      <c r="L249">
        <v>276</v>
      </c>
      <c r="M249" t="s">
        <v>14</v>
      </c>
      <c r="N249">
        <f t="shared" si="9"/>
        <v>68.539999999999992</v>
      </c>
      <c r="O249" t="str">
        <f t="shared" si="10"/>
        <v>September</v>
      </c>
      <c r="P249" t="str">
        <f t="shared" si="11"/>
        <v>Weekend</v>
      </c>
    </row>
    <row r="250" spans="1:16" x14ac:dyDescent="0.3">
      <c r="A250" s="1">
        <v>41889</v>
      </c>
      <c r="B250">
        <v>2</v>
      </c>
      <c r="C250">
        <v>5.5149999999999997</v>
      </c>
      <c r="D250">
        <v>5</v>
      </c>
      <c r="E250">
        <v>7</v>
      </c>
      <c r="F250">
        <v>9</v>
      </c>
      <c r="G250">
        <v>0</v>
      </c>
      <c r="H250">
        <v>0</v>
      </c>
      <c r="I250">
        <v>1</v>
      </c>
      <c r="J250">
        <v>2014</v>
      </c>
      <c r="K250">
        <v>9</v>
      </c>
      <c r="L250">
        <v>276</v>
      </c>
      <c r="M250" t="s">
        <v>15</v>
      </c>
      <c r="N250">
        <f t="shared" si="9"/>
        <v>29.515000000000001</v>
      </c>
      <c r="O250" t="str">
        <f t="shared" si="10"/>
        <v>September</v>
      </c>
      <c r="P250" t="str">
        <f t="shared" si="11"/>
        <v>Weekend</v>
      </c>
    </row>
    <row r="251" spans="1:16" x14ac:dyDescent="0.3">
      <c r="A251" s="1">
        <v>41890</v>
      </c>
      <c r="B251">
        <v>1</v>
      </c>
      <c r="C251">
        <v>5.36</v>
      </c>
      <c r="D251">
        <v>3.5</v>
      </c>
      <c r="E251">
        <v>20.8</v>
      </c>
      <c r="F251">
        <v>15</v>
      </c>
      <c r="G251">
        <v>0</v>
      </c>
      <c r="H251">
        <v>1</v>
      </c>
      <c r="I251">
        <v>4</v>
      </c>
      <c r="J251">
        <v>2014</v>
      </c>
      <c r="K251">
        <v>9</v>
      </c>
      <c r="L251">
        <v>276</v>
      </c>
      <c r="M251" t="s">
        <v>16</v>
      </c>
      <c r="N251">
        <f t="shared" si="9"/>
        <v>50.66</v>
      </c>
      <c r="O251" t="str">
        <f t="shared" si="10"/>
        <v>September</v>
      </c>
      <c r="P251" t="str">
        <f t="shared" si="11"/>
        <v>Weekday</v>
      </c>
    </row>
    <row r="252" spans="1:16" x14ac:dyDescent="0.3">
      <c r="A252" s="1">
        <v>41891</v>
      </c>
      <c r="B252">
        <v>6.34</v>
      </c>
      <c r="C252">
        <v>2.34</v>
      </c>
      <c r="D252">
        <v>4</v>
      </c>
      <c r="E252">
        <v>29.2</v>
      </c>
      <c r="F252">
        <v>17</v>
      </c>
      <c r="G252">
        <v>0</v>
      </c>
      <c r="H252">
        <v>2</v>
      </c>
      <c r="I252">
        <v>1.2</v>
      </c>
      <c r="J252">
        <v>2014</v>
      </c>
      <c r="K252">
        <v>9</v>
      </c>
      <c r="L252">
        <v>276</v>
      </c>
      <c r="M252" t="s">
        <v>17</v>
      </c>
      <c r="N252">
        <f t="shared" si="9"/>
        <v>62.08</v>
      </c>
      <c r="O252" t="str">
        <f t="shared" si="10"/>
        <v>September</v>
      </c>
      <c r="P252" t="str">
        <f t="shared" si="11"/>
        <v>Weekday</v>
      </c>
    </row>
    <row r="253" spans="1:16" x14ac:dyDescent="0.3">
      <c r="A253" s="1">
        <v>41892</v>
      </c>
      <c r="B253">
        <v>4.34</v>
      </c>
      <c r="C253">
        <v>3.34</v>
      </c>
      <c r="D253">
        <v>3.5</v>
      </c>
      <c r="E253">
        <v>37.799999999999997</v>
      </c>
      <c r="F253">
        <v>12</v>
      </c>
      <c r="G253">
        <v>0</v>
      </c>
      <c r="H253">
        <v>0</v>
      </c>
      <c r="I253">
        <v>1</v>
      </c>
      <c r="J253">
        <v>2014</v>
      </c>
      <c r="K253">
        <v>9</v>
      </c>
      <c r="L253">
        <v>276</v>
      </c>
      <c r="M253" t="s">
        <v>18</v>
      </c>
      <c r="N253">
        <f t="shared" si="9"/>
        <v>61.98</v>
      </c>
      <c r="O253" t="str">
        <f t="shared" si="10"/>
        <v>September</v>
      </c>
      <c r="P253" t="str">
        <f t="shared" si="11"/>
        <v>Weekday</v>
      </c>
    </row>
    <row r="254" spans="1:16" x14ac:dyDescent="0.3">
      <c r="A254" s="1">
        <v>41893</v>
      </c>
      <c r="B254">
        <v>0</v>
      </c>
      <c r="C254">
        <v>1.34</v>
      </c>
      <c r="D254">
        <v>4</v>
      </c>
      <c r="E254">
        <v>32.200000000000003</v>
      </c>
      <c r="F254">
        <v>15</v>
      </c>
      <c r="G254">
        <v>0</v>
      </c>
      <c r="H254">
        <v>10</v>
      </c>
      <c r="I254">
        <v>0</v>
      </c>
      <c r="J254">
        <v>2014</v>
      </c>
      <c r="K254">
        <v>9</v>
      </c>
      <c r="L254">
        <v>276</v>
      </c>
      <c r="M254" t="s">
        <v>12</v>
      </c>
      <c r="N254">
        <f t="shared" si="9"/>
        <v>62.540000000000006</v>
      </c>
      <c r="O254" t="str">
        <f t="shared" si="10"/>
        <v>September</v>
      </c>
      <c r="P254" t="str">
        <f t="shared" si="11"/>
        <v>Weekday</v>
      </c>
    </row>
    <row r="255" spans="1:16" x14ac:dyDescent="0.3">
      <c r="A255" s="1">
        <v>41894</v>
      </c>
      <c r="B255">
        <v>2.68</v>
      </c>
      <c r="C255">
        <v>2.67</v>
      </c>
      <c r="D255">
        <v>1</v>
      </c>
      <c r="E255">
        <v>20</v>
      </c>
      <c r="F255">
        <v>19</v>
      </c>
      <c r="G255">
        <v>0</v>
      </c>
      <c r="H255">
        <v>8</v>
      </c>
      <c r="I255">
        <v>1</v>
      </c>
      <c r="J255">
        <v>2014</v>
      </c>
      <c r="K255">
        <v>9</v>
      </c>
      <c r="L255">
        <v>276</v>
      </c>
      <c r="M255" t="s">
        <v>13</v>
      </c>
      <c r="N255">
        <f t="shared" si="9"/>
        <v>54.35</v>
      </c>
      <c r="O255" t="str">
        <f t="shared" si="10"/>
        <v>September</v>
      </c>
      <c r="P255" t="str">
        <f t="shared" si="11"/>
        <v>Weekday</v>
      </c>
    </row>
    <row r="256" spans="1:16" x14ac:dyDescent="0.3">
      <c r="A256" s="1">
        <v>41895</v>
      </c>
      <c r="B256">
        <v>3</v>
      </c>
      <c r="C256">
        <v>5.36</v>
      </c>
      <c r="D256">
        <v>4.4000000000000004</v>
      </c>
      <c r="E256">
        <v>56.85</v>
      </c>
      <c r="F256">
        <v>20</v>
      </c>
      <c r="G256">
        <v>0</v>
      </c>
      <c r="H256">
        <v>1</v>
      </c>
      <c r="I256">
        <v>3</v>
      </c>
      <c r="J256">
        <v>2014</v>
      </c>
      <c r="K256">
        <v>9</v>
      </c>
      <c r="L256">
        <v>276</v>
      </c>
      <c r="M256" t="s">
        <v>14</v>
      </c>
      <c r="N256">
        <f t="shared" si="9"/>
        <v>93.61</v>
      </c>
      <c r="O256" t="str">
        <f t="shared" si="10"/>
        <v>September</v>
      </c>
      <c r="P256" t="str">
        <f t="shared" si="11"/>
        <v>Weekend</v>
      </c>
    </row>
    <row r="257" spans="1:16" x14ac:dyDescent="0.3">
      <c r="A257" s="1">
        <v>41896</v>
      </c>
      <c r="B257">
        <v>1.34</v>
      </c>
      <c r="C257">
        <v>2</v>
      </c>
      <c r="D257">
        <v>2</v>
      </c>
      <c r="E257">
        <v>19.5</v>
      </c>
      <c r="F257">
        <v>6</v>
      </c>
      <c r="G257">
        <v>0</v>
      </c>
      <c r="H257">
        <v>6</v>
      </c>
      <c r="I257">
        <v>0</v>
      </c>
      <c r="J257">
        <v>2014</v>
      </c>
      <c r="K257">
        <v>9</v>
      </c>
      <c r="L257">
        <v>276</v>
      </c>
      <c r="M257" t="s">
        <v>15</v>
      </c>
      <c r="N257">
        <f t="shared" si="9"/>
        <v>36.840000000000003</v>
      </c>
      <c r="O257" t="str">
        <f t="shared" si="10"/>
        <v>September</v>
      </c>
      <c r="P257" t="str">
        <f t="shared" si="11"/>
        <v>Weekend</v>
      </c>
    </row>
    <row r="258" spans="1:16" x14ac:dyDescent="0.3">
      <c r="A258" s="1">
        <v>41897</v>
      </c>
      <c r="B258">
        <v>1.34</v>
      </c>
      <c r="C258">
        <v>3</v>
      </c>
      <c r="D258">
        <v>5.4</v>
      </c>
      <c r="E258">
        <v>28.2</v>
      </c>
      <c r="F258">
        <v>9</v>
      </c>
      <c r="G258">
        <v>0</v>
      </c>
      <c r="H258">
        <v>1</v>
      </c>
      <c r="I258">
        <v>0</v>
      </c>
      <c r="J258">
        <v>2014</v>
      </c>
      <c r="K258">
        <v>9</v>
      </c>
      <c r="L258">
        <v>276</v>
      </c>
      <c r="M258" t="s">
        <v>16</v>
      </c>
      <c r="N258">
        <f t="shared" si="9"/>
        <v>47.94</v>
      </c>
      <c r="O258" t="str">
        <f t="shared" si="10"/>
        <v>September</v>
      </c>
      <c r="P258" t="str">
        <f t="shared" si="11"/>
        <v>Weekday</v>
      </c>
    </row>
    <row r="259" spans="1:16" x14ac:dyDescent="0.3">
      <c r="A259" s="1">
        <v>41898</v>
      </c>
      <c r="B259">
        <v>4</v>
      </c>
      <c r="C259">
        <v>2.68</v>
      </c>
      <c r="D259">
        <v>0</v>
      </c>
      <c r="E259">
        <v>59.3</v>
      </c>
      <c r="F259">
        <v>13</v>
      </c>
      <c r="G259">
        <v>0</v>
      </c>
      <c r="H259">
        <v>0</v>
      </c>
      <c r="I259">
        <v>0</v>
      </c>
      <c r="J259">
        <v>2014</v>
      </c>
      <c r="K259">
        <v>9</v>
      </c>
      <c r="L259">
        <v>276</v>
      </c>
      <c r="M259" t="s">
        <v>17</v>
      </c>
      <c r="N259">
        <f t="shared" ref="N259:N322" si="12">SUM(B259:I259)</f>
        <v>78.97999999999999</v>
      </c>
      <c r="O259" t="str">
        <f t="shared" ref="O259:O322" si="13">TEXT(A259,"mmmm")</f>
        <v>September</v>
      </c>
      <c r="P259" t="str">
        <f t="shared" ref="P259:P322" si="14">IF(OR(M259="Saturday",M259="Sunday"),"Weekend","Weekday")</f>
        <v>Weekday</v>
      </c>
    </row>
    <row r="260" spans="1:16" x14ac:dyDescent="0.3">
      <c r="A260" s="1">
        <v>41899</v>
      </c>
      <c r="B260">
        <v>2.34</v>
      </c>
      <c r="C260">
        <v>6</v>
      </c>
      <c r="D260">
        <v>4</v>
      </c>
      <c r="E260">
        <v>39.6</v>
      </c>
      <c r="F260">
        <v>11</v>
      </c>
      <c r="G260">
        <v>2</v>
      </c>
      <c r="H260">
        <v>19</v>
      </c>
      <c r="I260">
        <v>4</v>
      </c>
      <c r="J260">
        <v>2014</v>
      </c>
      <c r="K260">
        <v>9</v>
      </c>
      <c r="L260">
        <v>276</v>
      </c>
      <c r="M260" t="s">
        <v>18</v>
      </c>
      <c r="N260">
        <f t="shared" si="12"/>
        <v>87.94</v>
      </c>
      <c r="O260" t="str">
        <f t="shared" si="13"/>
        <v>September</v>
      </c>
      <c r="P260" t="str">
        <f t="shared" si="14"/>
        <v>Weekday</v>
      </c>
    </row>
    <row r="261" spans="1:16" x14ac:dyDescent="0.3">
      <c r="A261" s="1">
        <v>41900</v>
      </c>
      <c r="B261">
        <v>3</v>
      </c>
      <c r="C261">
        <v>2.02</v>
      </c>
      <c r="D261">
        <v>1</v>
      </c>
      <c r="E261">
        <v>44</v>
      </c>
      <c r="F261">
        <v>7</v>
      </c>
      <c r="G261">
        <v>0</v>
      </c>
      <c r="H261">
        <v>0</v>
      </c>
      <c r="I261">
        <v>1</v>
      </c>
      <c r="J261">
        <v>2014</v>
      </c>
      <c r="K261">
        <v>9</v>
      </c>
      <c r="L261">
        <v>276</v>
      </c>
      <c r="M261" t="s">
        <v>12</v>
      </c>
      <c r="N261">
        <f t="shared" si="12"/>
        <v>58.019999999999996</v>
      </c>
      <c r="O261" t="str">
        <f t="shared" si="13"/>
        <v>September</v>
      </c>
      <c r="P261" t="str">
        <f t="shared" si="14"/>
        <v>Weekday</v>
      </c>
    </row>
    <row r="262" spans="1:16" x14ac:dyDescent="0.3">
      <c r="A262" s="1">
        <v>41901</v>
      </c>
      <c r="B262">
        <v>2</v>
      </c>
      <c r="C262">
        <v>4.34</v>
      </c>
      <c r="D262">
        <v>7.8</v>
      </c>
      <c r="E262">
        <v>23</v>
      </c>
      <c r="F262">
        <v>8</v>
      </c>
      <c r="G262">
        <v>0</v>
      </c>
      <c r="H262">
        <v>22</v>
      </c>
      <c r="I262">
        <v>0</v>
      </c>
      <c r="J262">
        <v>2014</v>
      </c>
      <c r="K262">
        <v>9</v>
      </c>
      <c r="L262">
        <v>276</v>
      </c>
      <c r="M262" t="s">
        <v>13</v>
      </c>
      <c r="N262">
        <f t="shared" si="12"/>
        <v>67.14</v>
      </c>
      <c r="O262" t="str">
        <f t="shared" si="13"/>
        <v>September</v>
      </c>
      <c r="P262" t="str">
        <f t="shared" si="14"/>
        <v>Weekday</v>
      </c>
    </row>
    <row r="263" spans="1:16" x14ac:dyDescent="0.3">
      <c r="A263" s="1">
        <v>41902</v>
      </c>
      <c r="B263">
        <v>4.34</v>
      </c>
      <c r="C263">
        <v>1.855</v>
      </c>
      <c r="D263">
        <v>4.5</v>
      </c>
      <c r="E263">
        <v>20.6</v>
      </c>
      <c r="F263">
        <v>14</v>
      </c>
      <c r="G263">
        <v>1</v>
      </c>
      <c r="H263">
        <v>2</v>
      </c>
      <c r="I263">
        <v>0</v>
      </c>
      <c r="J263">
        <v>2014</v>
      </c>
      <c r="K263">
        <v>9</v>
      </c>
      <c r="L263">
        <v>276</v>
      </c>
      <c r="M263" t="s">
        <v>14</v>
      </c>
      <c r="N263">
        <f t="shared" si="12"/>
        <v>48.295000000000002</v>
      </c>
      <c r="O263" t="str">
        <f t="shared" si="13"/>
        <v>September</v>
      </c>
      <c r="P263" t="str">
        <f t="shared" si="14"/>
        <v>Weekend</v>
      </c>
    </row>
    <row r="264" spans="1:16" x14ac:dyDescent="0.3">
      <c r="A264" s="1">
        <v>41903</v>
      </c>
      <c r="B264">
        <v>1</v>
      </c>
      <c r="C264">
        <v>3.02</v>
      </c>
      <c r="D264">
        <v>6</v>
      </c>
      <c r="E264">
        <v>12.4</v>
      </c>
      <c r="F264">
        <v>7</v>
      </c>
      <c r="G264">
        <v>0</v>
      </c>
      <c r="H264">
        <v>0</v>
      </c>
      <c r="I264">
        <v>3</v>
      </c>
      <c r="J264">
        <v>2014</v>
      </c>
      <c r="K264">
        <v>9</v>
      </c>
      <c r="L264">
        <v>276</v>
      </c>
      <c r="M264" t="s">
        <v>15</v>
      </c>
      <c r="N264">
        <f t="shared" si="12"/>
        <v>32.42</v>
      </c>
      <c r="O264" t="str">
        <f t="shared" si="13"/>
        <v>September</v>
      </c>
      <c r="P264" t="str">
        <f t="shared" si="14"/>
        <v>Weekend</v>
      </c>
    </row>
    <row r="265" spans="1:16" x14ac:dyDescent="0.3">
      <c r="A265" s="1">
        <v>41904</v>
      </c>
      <c r="B265">
        <v>3.34</v>
      </c>
      <c r="C265">
        <v>4</v>
      </c>
      <c r="D265">
        <v>5.5</v>
      </c>
      <c r="E265">
        <v>34.200000000000003</v>
      </c>
      <c r="F265">
        <v>10</v>
      </c>
      <c r="G265">
        <v>1</v>
      </c>
      <c r="H265">
        <v>0</v>
      </c>
      <c r="I265">
        <v>2</v>
      </c>
      <c r="J265">
        <v>2014</v>
      </c>
      <c r="K265">
        <v>9</v>
      </c>
      <c r="L265">
        <v>276</v>
      </c>
      <c r="M265" t="s">
        <v>16</v>
      </c>
      <c r="N265">
        <f t="shared" si="12"/>
        <v>60.040000000000006</v>
      </c>
      <c r="O265" t="str">
        <f t="shared" si="13"/>
        <v>September</v>
      </c>
      <c r="P265" t="str">
        <f t="shared" si="14"/>
        <v>Weekday</v>
      </c>
    </row>
    <row r="266" spans="1:16" x14ac:dyDescent="0.3">
      <c r="A266" s="1">
        <v>41905</v>
      </c>
      <c r="B266">
        <v>3</v>
      </c>
      <c r="C266">
        <v>3.34</v>
      </c>
      <c r="D266">
        <v>5.5</v>
      </c>
      <c r="E266">
        <v>26</v>
      </c>
      <c r="F266">
        <v>10</v>
      </c>
      <c r="G266">
        <v>0</v>
      </c>
      <c r="H266">
        <v>1</v>
      </c>
      <c r="I266">
        <v>2</v>
      </c>
      <c r="J266">
        <v>2014</v>
      </c>
      <c r="K266">
        <v>9</v>
      </c>
      <c r="L266">
        <v>276</v>
      </c>
      <c r="M266" t="s">
        <v>17</v>
      </c>
      <c r="N266">
        <f t="shared" si="12"/>
        <v>50.84</v>
      </c>
      <c r="O266" t="str">
        <f t="shared" si="13"/>
        <v>September</v>
      </c>
      <c r="P266" t="str">
        <f t="shared" si="14"/>
        <v>Weekday</v>
      </c>
    </row>
    <row r="267" spans="1:16" x14ac:dyDescent="0.3">
      <c r="A267" s="1">
        <v>41906</v>
      </c>
      <c r="B267">
        <v>6</v>
      </c>
      <c r="C267">
        <v>3.34</v>
      </c>
      <c r="D267">
        <v>1.4</v>
      </c>
      <c r="E267">
        <v>24.7</v>
      </c>
      <c r="F267">
        <v>14</v>
      </c>
      <c r="G267">
        <v>0</v>
      </c>
      <c r="H267">
        <v>0</v>
      </c>
      <c r="I267">
        <v>0</v>
      </c>
      <c r="J267">
        <v>2014</v>
      </c>
      <c r="K267">
        <v>9</v>
      </c>
      <c r="L267">
        <v>276</v>
      </c>
      <c r="M267" t="s">
        <v>18</v>
      </c>
      <c r="N267">
        <f t="shared" si="12"/>
        <v>49.44</v>
      </c>
      <c r="O267" t="str">
        <f t="shared" si="13"/>
        <v>September</v>
      </c>
      <c r="P267" t="str">
        <f t="shared" si="14"/>
        <v>Weekday</v>
      </c>
    </row>
    <row r="268" spans="1:16" x14ac:dyDescent="0.3">
      <c r="A268" s="1">
        <v>41907</v>
      </c>
      <c r="B268">
        <v>4.68</v>
      </c>
      <c r="C268">
        <v>6.34</v>
      </c>
      <c r="D268">
        <v>8.1999999999999993</v>
      </c>
      <c r="E268">
        <v>49.15</v>
      </c>
      <c r="F268">
        <v>15</v>
      </c>
      <c r="G268">
        <v>1</v>
      </c>
      <c r="H268">
        <v>1</v>
      </c>
      <c r="I268">
        <v>5</v>
      </c>
      <c r="J268">
        <v>2014</v>
      </c>
      <c r="K268">
        <v>9</v>
      </c>
      <c r="L268">
        <v>276</v>
      </c>
      <c r="M268" t="s">
        <v>12</v>
      </c>
      <c r="N268">
        <f t="shared" si="12"/>
        <v>90.37</v>
      </c>
      <c r="O268" t="str">
        <f t="shared" si="13"/>
        <v>September</v>
      </c>
      <c r="P268" t="str">
        <f t="shared" si="14"/>
        <v>Weekday</v>
      </c>
    </row>
    <row r="269" spans="1:16" x14ac:dyDescent="0.3">
      <c r="A269" s="1">
        <v>41908</v>
      </c>
      <c r="B269">
        <v>4</v>
      </c>
      <c r="C269">
        <v>3.68</v>
      </c>
      <c r="D269">
        <v>3.5</v>
      </c>
      <c r="E269">
        <v>38</v>
      </c>
      <c r="F269">
        <v>22</v>
      </c>
      <c r="G269">
        <v>2</v>
      </c>
      <c r="H269">
        <v>0</v>
      </c>
      <c r="I269">
        <v>1</v>
      </c>
      <c r="J269">
        <v>2014</v>
      </c>
      <c r="K269">
        <v>9</v>
      </c>
      <c r="L269">
        <v>276</v>
      </c>
      <c r="M269" t="s">
        <v>13</v>
      </c>
      <c r="N269">
        <f t="shared" si="12"/>
        <v>74.180000000000007</v>
      </c>
      <c r="O269" t="str">
        <f t="shared" si="13"/>
        <v>September</v>
      </c>
      <c r="P269" t="str">
        <f t="shared" si="14"/>
        <v>Weekday</v>
      </c>
    </row>
    <row r="270" spans="1:16" x14ac:dyDescent="0.3">
      <c r="A270" s="1">
        <v>41909</v>
      </c>
      <c r="B270">
        <v>4</v>
      </c>
      <c r="C270">
        <v>2</v>
      </c>
      <c r="D270">
        <v>6</v>
      </c>
      <c r="E270">
        <v>46.3</v>
      </c>
      <c r="F270">
        <v>18</v>
      </c>
      <c r="G270">
        <v>0</v>
      </c>
      <c r="H270">
        <v>0</v>
      </c>
      <c r="I270">
        <v>4</v>
      </c>
      <c r="J270">
        <v>2014</v>
      </c>
      <c r="K270">
        <v>9</v>
      </c>
      <c r="L270">
        <v>276</v>
      </c>
      <c r="M270" t="s">
        <v>14</v>
      </c>
      <c r="N270">
        <f t="shared" si="12"/>
        <v>80.3</v>
      </c>
      <c r="O270" t="str">
        <f t="shared" si="13"/>
        <v>September</v>
      </c>
      <c r="P270" t="str">
        <f t="shared" si="14"/>
        <v>Weekend</v>
      </c>
    </row>
    <row r="271" spans="1:16" x14ac:dyDescent="0.3">
      <c r="A271" s="1">
        <v>41910</v>
      </c>
      <c r="B271">
        <v>0.34</v>
      </c>
      <c r="C271">
        <v>2.68</v>
      </c>
      <c r="D271">
        <v>1</v>
      </c>
      <c r="E271">
        <v>21.2</v>
      </c>
      <c r="F271">
        <v>6</v>
      </c>
      <c r="G271">
        <v>0</v>
      </c>
      <c r="H271">
        <v>0</v>
      </c>
      <c r="I271">
        <v>2</v>
      </c>
      <c r="J271">
        <v>2014</v>
      </c>
      <c r="K271">
        <v>9</v>
      </c>
      <c r="L271">
        <v>276</v>
      </c>
      <c r="M271" t="s">
        <v>15</v>
      </c>
      <c r="N271">
        <f t="shared" si="12"/>
        <v>33.22</v>
      </c>
      <c r="O271" t="str">
        <f t="shared" si="13"/>
        <v>September</v>
      </c>
      <c r="P271" t="str">
        <f t="shared" si="14"/>
        <v>Weekend</v>
      </c>
    </row>
    <row r="272" spans="1:16" x14ac:dyDescent="0.3">
      <c r="A272" s="1">
        <v>41911</v>
      </c>
      <c r="B272">
        <v>7</v>
      </c>
      <c r="C272">
        <v>3.68</v>
      </c>
      <c r="D272">
        <v>2.2999999999999998</v>
      </c>
      <c r="E272">
        <v>29.8</v>
      </c>
      <c r="F272">
        <v>12</v>
      </c>
      <c r="G272">
        <v>0</v>
      </c>
      <c r="H272">
        <v>10</v>
      </c>
      <c r="I272">
        <v>4</v>
      </c>
      <c r="J272">
        <v>2014</v>
      </c>
      <c r="K272">
        <v>9</v>
      </c>
      <c r="L272">
        <v>276</v>
      </c>
      <c r="M272" t="s">
        <v>16</v>
      </c>
      <c r="N272">
        <f t="shared" si="12"/>
        <v>68.78</v>
      </c>
      <c r="O272" t="str">
        <f t="shared" si="13"/>
        <v>September</v>
      </c>
      <c r="P272" t="str">
        <f t="shared" si="14"/>
        <v>Weekday</v>
      </c>
    </row>
    <row r="273" spans="1:16" x14ac:dyDescent="0.3">
      <c r="A273" s="1">
        <v>41912</v>
      </c>
      <c r="B273">
        <v>10</v>
      </c>
      <c r="C273">
        <v>5.34</v>
      </c>
      <c r="D273">
        <v>4</v>
      </c>
      <c r="E273">
        <v>61.3</v>
      </c>
      <c r="F273">
        <v>10</v>
      </c>
      <c r="G273">
        <v>2</v>
      </c>
      <c r="H273">
        <v>22</v>
      </c>
      <c r="I273">
        <v>2</v>
      </c>
      <c r="J273">
        <v>2014</v>
      </c>
      <c r="K273">
        <v>9</v>
      </c>
      <c r="L273">
        <v>276</v>
      </c>
      <c r="M273" t="s">
        <v>17</v>
      </c>
      <c r="N273">
        <f t="shared" si="12"/>
        <v>116.64</v>
      </c>
      <c r="O273" t="str">
        <f t="shared" si="13"/>
        <v>September</v>
      </c>
      <c r="P273" t="str">
        <f t="shared" si="14"/>
        <v>Weekday</v>
      </c>
    </row>
    <row r="274" spans="1:16" x14ac:dyDescent="0.3">
      <c r="A274" s="1">
        <v>41913</v>
      </c>
      <c r="B274">
        <v>2.34</v>
      </c>
      <c r="C274">
        <v>0</v>
      </c>
      <c r="D274">
        <v>2.4</v>
      </c>
      <c r="E274">
        <v>44</v>
      </c>
      <c r="F274">
        <v>15</v>
      </c>
      <c r="G274">
        <v>0</v>
      </c>
      <c r="H274">
        <v>11</v>
      </c>
      <c r="I274">
        <v>2</v>
      </c>
      <c r="J274">
        <v>2014</v>
      </c>
      <c r="K274">
        <v>10</v>
      </c>
      <c r="L274">
        <v>276</v>
      </c>
      <c r="M274" t="s">
        <v>18</v>
      </c>
      <c r="N274">
        <f t="shared" si="12"/>
        <v>76.740000000000009</v>
      </c>
      <c r="O274" t="str">
        <f t="shared" si="13"/>
        <v>October</v>
      </c>
      <c r="P274" t="str">
        <f t="shared" si="14"/>
        <v>Weekday</v>
      </c>
    </row>
    <row r="275" spans="1:16" x14ac:dyDescent="0.3">
      <c r="A275" s="1">
        <v>41914</v>
      </c>
      <c r="B275">
        <v>2</v>
      </c>
      <c r="C275">
        <v>4.99</v>
      </c>
      <c r="D275">
        <v>5</v>
      </c>
      <c r="E275">
        <v>23.9</v>
      </c>
      <c r="F275">
        <v>11</v>
      </c>
      <c r="G275">
        <v>0</v>
      </c>
      <c r="H275">
        <v>2</v>
      </c>
      <c r="I275">
        <v>1</v>
      </c>
      <c r="J275">
        <v>2014</v>
      </c>
      <c r="K275">
        <v>10</v>
      </c>
      <c r="L275">
        <v>276</v>
      </c>
      <c r="M275" t="s">
        <v>12</v>
      </c>
      <c r="N275">
        <f t="shared" si="12"/>
        <v>49.89</v>
      </c>
      <c r="O275" t="str">
        <f t="shared" si="13"/>
        <v>October</v>
      </c>
      <c r="P275" t="str">
        <f t="shared" si="14"/>
        <v>Weekday</v>
      </c>
    </row>
    <row r="276" spans="1:16" x14ac:dyDescent="0.3">
      <c r="A276" s="1">
        <v>41915</v>
      </c>
      <c r="B276">
        <v>4.33</v>
      </c>
      <c r="C276">
        <v>1.34</v>
      </c>
      <c r="D276">
        <v>5.9</v>
      </c>
      <c r="E276">
        <v>44.14</v>
      </c>
      <c r="F276">
        <v>12</v>
      </c>
      <c r="G276">
        <v>0</v>
      </c>
      <c r="H276">
        <v>11</v>
      </c>
      <c r="I276">
        <v>2</v>
      </c>
      <c r="J276">
        <v>2014</v>
      </c>
      <c r="K276">
        <v>10</v>
      </c>
      <c r="L276">
        <v>276</v>
      </c>
      <c r="M276" t="s">
        <v>13</v>
      </c>
      <c r="N276">
        <f t="shared" si="12"/>
        <v>80.710000000000008</v>
      </c>
      <c r="O276" t="str">
        <f t="shared" si="13"/>
        <v>October</v>
      </c>
      <c r="P276" t="str">
        <f t="shared" si="14"/>
        <v>Weekday</v>
      </c>
    </row>
    <row r="277" spans="1:16" x14ac:dyDescent="0.3">
      <c r="A277" s="1">
        <v>41916</v>
      </c>
      <c r="B277">
        <v>4.68</v>
      </c>
      <c r="C277">
        <v>7.766</v>
      </c>
      <c r="D277">
        <v>8</v>
      </c>
      <c r="E277">
        <v>49.9</v>
      </c>
      <c r="F277">
        <v>12</v>
      </c>
      <c r="G277">
        <v>1</v>
      </c>
      <c r="H277">
        <v>25</v>
      </c>
      <c r="I277">
        <v>0</v>
      </c>
      <c r="J277">
        <v>2014</v>
      </c>
      <c r="K277">
        <v>10</v>
      </c>
      <c r="L277">
        <v>276</v>
      </c>
      <c r="M277" t="s">
        <v>14</v>
      </c>
      <c r="N277">
        <f t="shared" si="12"/>
        <v>108.346</v>
      </c>
      <c r="O277" t="str">
        <f t="shared" si="13"/>
        <v>October</v>
      </c>
      <c r="P277" t="str">
        <f t="shared" si="14"/>
        <v>Weekend</v>
      </c>
    </row>
    <row r="278" spans="1:16" x14ac:dyDescent="0.3">
      <c r="A278" s="1">
        <v>41917</v>
      </c>
      <c r="B278">
        <v>2</v>
      </c>
      <c r="C278">
        <v>3.34</v>
      </c>
      <c r="D278">
        <v>3</v>
      </c>
      <c r="E278">
        <v>19</v>
      </c>
      <c r="F278">
        <v>1</v>
      </c>
      <c r="G278">
        <v>0</v>
      </c>
      <c r="H278">
        <v>0</v>
      </c>
      <c r="I278">
        <v>3</v>
      </c>
      <c r="J278">
        <v>2014</v>
      </c>
      <c r="K278">
        <v>10</v>
      </c>
      <c r="L278">
        <v>276</v>
      </c>
      <c r="M278" t="s">
        <v>15</v>
      </c>
      <c r="N278">
        <f t="shared" si="12"/>
        <v>31.34</v>
      </c>
      <c r="O278" t="str">
        <f t="shared" si="13"/>
        <v>October</v>
      </c>
      <c r="P278" t="str">
        <f t="shared" si="14"/>
        <v>Weekend</v>
      </c>
    </row>
    <row r="279" spans="1:16" x14ac:dyDescent="0.3">
      <c r="A279" s="1">
        <v>41918</v>
      </c>
      <c r="B279">
        <v>5.34</v>
      </c>
      <c r="C279">
        <v>1.365</v>
      </c>
      <c r="D279">
        <v>2.4</v>
      </c>
      <c r="E279">
        <v>69.875</v>
      </c>
      <c r="F279">
        <v>13</v>
      </c>
      <c r="G279">
        <v>1</v>
      </c>
      <c r="H279">
        <v>0</v>
      </c>
      <c r="I279">
        <v>1</v>
      </c>
      <c r="J279">
        <v>2014</v>
      </c>
      <c r="K279">
        <v>10</v>
      </c>
      <c r="L279">
        <v>276</v>
      </c>
      <c r="M279" t="s">
        <v>16</v>
      </c>
      <c r="N279">
        <f t="shared" si="12"/>
        <v>93.98</v>
      </c>
      <c r="O279" t="str">
        <f t="shared" si="13"/>
        <v>October</v>
      </c>
      <c r="P279" t="str">
        <f t="shared" si="14"/>
        <v>Weekday</v>
      </c>
    </row>
    <row r="280" spans="1:16" x14ac:dyDescent="0.3">
      <c r="A280" s="1">
        <v>41919</v>
      </c>
      <c r="B280">
        <v>3</v>
      </c>
      <c r="C280">
        <v>4.34</v>
      </c>
      <c r="D280">
        <v>2.2000000000000002</v>
      </c>
      <c r="E280">
        <v>41.7</v>
      </c>
      <c r="F280">
        <v>17</v>
      </c>
      <c r="G280">
        <v>1</v>
      </c>
      <c r="H280">
        <v>5</v>
      </c>
      <c r="I280">
        <v>0</v>
      </c>
      <c r="J280">
        <v>2014</v>
      </c>
      <c r="K280">
        <v>10</v>
      </c>
      <c r="L280">
        <v>276</v>
      </c>
      <c r="M280" t="s">
        <v>17</v>
      </c>
      <c r="N280">
        <f t="shared" si="12"/>
        <v>74.240000000000009</v>
      </c>
      <c r="O280" t="str">
        <f t="shared" si="13"/>
        <v>October</v>
      </c>
      <c r="P280" t="str">
        <f t="shared" si="14"/>
        <v>Weekday</v>
      </c>
    </row>
    <row r="281" spans="1:16" x14ac:dyDescent="0.3">
      <c r="A281" s="1">
        <v>41920</v>
      </c>
      <c r="B281">
        <v>3.68</v>
      </c>
      <c r="C281">
        <v>6</v>
      </c>
      <c r="D281">
        <v>7</v>
      </c>
      <c r="E281">
        <v>50</v>
      </c>
      <c r="F281">
        <v>17</v>
      </c>
      <c r="G281">
        <v>0</v>
      </c>
      <c r="H281">
        <v>0</v>
      </c>
      <c r="I281">
        <v>2</v>
      </c>
      <c r="J281">
        <v>2014</v>
      </c>
      <c r="K281">
        <v>10</v>
      </c>
      <c r="L281">
        <v>276</v>
      </c>
      <c r="M281" t="s">
        <v>18</v>
      </c>
      <c r="N281">
        <f t="shared" si="12"/>
        <v>85.68</v>
      </c>
      <c r="O281" t="str">
        <f t="shared" si="13"/>
        <v>October</v>
      </c>
      <c r="P281" t="str">
        <f t="shared" si="14"/>
        <v>Weekday</v>
      </c>
    </row>
    <row r="282" spans="1:16" x14ac:dyDescent="0.3">
      <c r="A282" s="1">
        <v>41921</v>
      </c>
      <c r="B282">
        <v>1</v>
      </c>
      <c r="C282">
        <v>4.6900000000000004</v>
      </c>
      <c r="D282">
        <v>6</v>
      </c>
      <c r="E282">
        <v>48.2</v>
      </c>
      <c r="F282">
        <v>10</v>
      </c>
      <c r="G282">
        <v>2</v>
      </c>
      <c r="H282">
        <v>5</v>
      </c>
      <c r="I282">
        <v>0</v>
      </c>
      <c r="J282">
        <v>2014</v>
      </c>
      <c r="K282">
        <v>10</v>
      </c>
      <c r="L282">
        <v>276</v>
      </c>
      <c r="M282" t="s">
        <v>12</v>
      </c>
      <c r="N282">
        <f t="shared" si="12"/>
        <v>76.89</v>
      </c>
      <c r="O282" t="str">
        <f t="shared" si="13"/>
        <v>October</v>
      </c>
      <c r="P282" t="str">
        <f t="shared" si="14"/>
        <v>Weekday</v>
      </c>
    </row>
    <row r="283" spans="1:16" x14ac:dyDescent="0.3">
      <c r="A283" s="1">
        <v>41922</v>
      </c>
      <c r="B283">
        <v>4.34</v>
      </c>
      <c r="C283">
        <v>2.68</v>
      </c>
      <c r="D283">
        <v>9</v>
      </c>
      <c r="E283">
        <v>28.8</v>
      </c>
      <c r="F283">
        <v>24</v>
      </c>
      <c r="G283">
        <v>3</v>
      </c>
      <c r="H283">
        <v>6</v>
      </c>
      <c r="I283">
        <v>0.5</v>
      </c>
      <c r="J283">
        <v>2014</v>
      </c>
      <c r="K283">
        <v>10</v>
      </c>
      <c r="L283">
        <v>276</v>
      </c>
      <c r="M283" t="s">
        <v>13</v>
      </c>
      <c r="N283">
        <f t="shared" si="12"/>
        <v>78.319999999999993</v>
      </c>
      <c r="O283" t="str">
        <f t="shared" si="13"/>
        <v>October</v>
      </c>
      <c r="P283" t="str">
        <f t="shared" si="14"/>
        <v>Weekday</v>
      </c>
    </row>
    <row r="284" spans="1:16" x14ac:dyDescent="0.3">
      <c r="A284" s="1">
        <v>41923</v>
      </c>
      <c r="B284">
        <v>3.34</v>
      </c>
      <c r="C284">
        <v>3.68</v>
      </c>
      <c r="D284">
        <v>5</v>
      </c>
      <c r="E284">
        <v>35.9</v>
      </c>
      <c r="F284">
        <v>15</v>
      </c>
      <c r="G284">
        <v>0</v>
      </c>
      <c r="H284">
        <v>0</v>
      </c>
      <c r="I284">
        <v>5</v>
      </c>
      <c r="J284">
        <v>2014</v>
      </c>
      <c r="K284">
        <v>10</v>
      </c>
      <c r="L284">
        <v>276</v>
      </c>
      <c r="M284" t="s">
        <v>14</v>
      </c>
      <c r="N284">
        <f t="shared" si="12"/>
        <v>67.92</v>
      </c>
      <c r="O284" t="str">
        <f t="shared" si="13"/>
        <v>October</v>
      </c>
      <c r="P284" t="str">
        <f t="shared" si="14"/>
        <v>Weekend</v>
      </c>
    </row>
    <row r="285" spans="1:16" x14ac:dyDescent="0.3">
      <c r="A285" s="1">
        <v>41924</v>
      </c>
      <c r="B285">
        <v>3</v>
      </c>
      <c r="C285">
        <v>0.33</v>
      </c>
      <c r="D285">
        <v>1.5</v>
      </c>
      <c r="E285">
        <v>22.5</v>
      </c>
      <c r="F285">
        <v>7</v>
      </c>
      <c r="G285">
        <v>0</v>
      </c>
      <c r="H285">
        <v>5</v>
      </c>
      <c r="I285">
        <v>2</v>
      </c>
      <c r="J285">
        <v>2014</v>
      </c>
      <c r="K285">
        <v>10</v>
      </c>
      <c r="L285">
        <v>276</v>
      </c>
      <c r="M285" t="s">
        <v>15</v>
      </c>
      <c r="N285">
        <f t="shared" si="12"/>
        <v>41.33</v>
      </c>
      <c r="O285" t="str">
        <f t="shared" si="13"/>
        <v>October</v>
      </c>
      <c r="P285" t="str">
        <f t="shared" si="14"/>
        <v>Weekend</v>
      </c>
    </row>
    <row r="286" spans="1:16" x14ac:dyDescent="0.3">
      <c r="A286" s="1">
        <v>41925</v>
      </c>
      <c r="B286">
        <v>1.68</v>
      </c>
      <c r="C286">
        <v>4</v>
      </c>
      <c r="D286">
        <v>6.2</v>
      </c>
      <c r="E286">
        <v>31.9</v>
      </c>
      <c r="F286">
        <v>11</v>
      </c>
      <c r="G286">
        <v>0</v>
      </c>
      <c r="H286">
        <v>1</v>
      </c>
      <c r="I286">
        <v>2</v>
      </c>
      <c r="J286">
        <v>2014</v>
      </c>
      <c r="K286">
        <v>10</v>
      </c>
      <c r="L286">
        <v>276</v>
      </c>
      <c r="M286" t="s">
        <v>16</v>
      </c>
      <c r="N286">
        <f t="shared" si="12"/>
        <v>57.78</v>
      </c>
      <c r="O286" t="str">
        <f t="shared" si="13"/>
        <v>October</v>
      </c>
      <c r="P286" t="str">
        <f t="shared" si="14"/>
        <v>Weekday</v>
      </c>
    </row>
    <row r="287" spans="1:16" x14ac:dyDescent="0.3">
      <c r="A287" s="1">
        <v>41926</v>
      </c>
      <c r="B287">
        <v>3</v>
      </c>
      <c r="C287">
        <v>5.41</v>
      </c>
      <c r="D287">
        <v>4.8</v>
      </c>
      <c r="E287">
        <v>31.8</v>
      </c>
      <c r="F287">
        <v>7</v>
      </c>
      <c r="G287">
        <v>0</v>
      </c>
      <c r="H287">
        <v>11</v>
      </c>
      <c r="I287">
        <v>0</v>
      </c>
      <c r="J287">
        <v>2014</v>
      </c>
      <c r="K287">
        <v>10</v>
      </c>
      <c r="L287">
        <v>276</v>
      </c>
      <c r="M287" t="s">
        <v>17</v>
      </c>
      <c r="N287">
        <f t="shared" si="12"/>
        <v>63.010000000000005</v>
      </c>
      <c r="O287" t="str">
        <f t="shared" si="13"/>
        <v>October</v>
      </c>
      <c r="P287" t="str">
        <f t="shared" si="14"/>
        <v>Weekday</v>
      </c>
    </row>
    <row r="288" spans="1:16" x14ac:dyDescent="0.3">
      <c r="A288" s="1">
        <v>41927</v>
      </c>
      <c r="B288">
        <v>1.33</v>
      </c>
      <c r="C288">
        <v>6.35</v>
      </c>
      <c r="D288">
        <v>3.5</v>
      </c>
      <c r="E288">
        <v>23.7</v>
      </c>
      <c r="F288">
        <v>14</v>
      </c>
      <c r="G288">
        <v>1</v>
      </c>
      <c r="H288">
        <v>2</v>
      </c>
      <c r="I288">
        <v>4</v>
      </c>
      <c r="J288">
        <v>2014</v>
      </c>
      <c r="K288">
        <v>10</v>
      </c>
      <c r="L288">
        <v>276</v>
      </c>
      <c r="M288" t="s">
        <v>18</v>
      </c>
      <c r="N288">
        <f t="shared" si="12"/>
        <v>55.879999999999995</v>
      </c>
      <c r="O288" t="str">
        <f t="shared" si="13"/>
        <v>October</v>
      </c>
      <c r="P288" t="str">
        <f t="shared" si="14"/>
        <v>Weekday</v>
      </c>
    </row>
    <row r="289" spans="1:16" x14ac:dyDescent="0.3">
      <c r="A289" s="1">
        <v>41928</v>
      </c>
      <c r="B289">
        <v>6.7750000000000004</v>
      </c>
      <c r="C289">
        <v>3.5103124999999999</v>
      </c>
      <c r="D289">
        <v>2.9375</v>
      </c>
      <c r="E289">
        <v>58.921875</v>
      </c>
      <c r="F289">
        <v>9.0625</v>
      </c>
      <c r="G289">
        <v>0.625</v>
      </c>
      <c r="H289">
        <v>5</v>
      </c>
      <c r="I289">
        <v>2.1875</v>
      </c>
      <c r="J289">
        <v>2014</v>
      </c>
      <c r="K289">
        <v>10</v>
      </c>
      <c r="L289">
        <v>276</v>
      </c>
      <c r="M289" t="s">
        <v>12</v>
      </c>
      <c r="N289">
        <f t="shared" si="12"/>
        <v>89.019687500000003</v>
      </c>
      <c r="O289" t="str">
        <f t="shared" si="13"/>
        <v>October</v>
      </c>
      <c r="P289" t="str">
        <f t="shared" si="14"/>
        <v>Weekday</v>
      </c>
    </row>
    <row r="290" spans="1:16" x14ac:dyDescent="0.3">
      <c r="A290" s="1">
        <v>41929</v>
      </c>
      <c r="B290">
        <v>3</v>
      </c>
      <c r="C290">
        <v>2.34</v>
      </c>
      <c r="D290">
        <v>3.4</v>
      </c>
      <c r="E290">
        <v>42</v>
      </c>
      <c r="F290">
        <v>22</v>
      </c>
      <c r="G290">
        <v>3</v>
      </c>
      <c r="H290">
        <v>0</v>
      </c>
      <c r="I290">
        <v>2</v>
      </c>
      <c r="J290">
        <v>2014</v>
      </c>
      <c r="K290">
        <v>10</v>
      </c>
      <c r="L290">
        <v>276</v>
      </c>
      <c r="M290" t="s">
        <v>13</v>
      </c>
      <c r="N290">
        <f t="shared" si="12"/>
        <v>77.740000000000009</v>
      </c>
      <c r="O290" t="str">
        <f t="shared" si="13"/>
        <v>October</v>
      </c>
      <c r="P290" t="str">
        <f t="shared" si="14"/>
        <v>Weekday</v>
      </c>
    </row>
    <row r="291" spans="1:16" x14ac:dyDescent="0.3">
      <c r="A291" s="1">
        <v>41930</v>
      </c>
      <c r="B291">
        <v>4</v>
      </c>
      <c r="C291">
        <v>6</v>
      </c>
      <c r="D291">
        <v>5.5</v>
      </c>
      <c r="E291">
        <v>21.4</v>
      </c>
      <c r="F291">
        <v>24</v>
      </c>
      <c r="G291">
        <v>0</v>
      </c>
      <c r="H291">
        <v>3</v>
      </c>
      <c r="I291">
        <v>2</v>
      </c>
      <c r="J291">
        <v>2014</v>
      </c>
      <c r="K291">
        <v>10</v>
      </c>
      <c r="L291">
        <v>276</v>
      </c>
      <c r="M291" t="s">
        <v>14</v>
      </c>
      <c r="N291">
        <f t="shared" si="12"/>
        <v>65.900000000000006</v>
      </c>
      <c r="O291" t="str">
        <f t="shared" si="13"/>
        <v>October</v>
      </c>
      <c r="P291" t="str">
        <f t="shared" si="14"/>
        <v>Weekend</v>
      </c>
    </row>
    <row r="292" spans="1:16" x14ac:dyDescent="0.3">
      <c r="A292" s="1">
        <v>41931</v>
      </c>
      <c r="B292">
        <v>3.33</v>
      </c>
      <c r="C292">
        <v>3</v>
      </c>
      <c r="D292">
        <v>2</v>
      </c>
      <c r="E292">
        <v>13.9</v>
      </c>
      <c r="F292">
        <v>9</v>
      </c>
      <c r="G292">
        <v>0</v>
      </c>
      <c r="H292">
        <v>6</v>
      </c>
      <c r="I292">
        <v>1</v>
      </c>
      <c r="J292">
        <v>2014</v>
      </c>
      <c r="K292">
        <v>10</v>
      </c>
      <c r="L292">
        <v>276</v>
      </c>
      <c r="M292" t="s">
        <v>15</v>
      </c>
      <c r="N292">
        <f t="shared" si="12"/>
        <v>38.230000000000004</v>
      </c>
      <c r="O292" t="str">
        <f t="shared" si="13"/>
        <v>October</v>
      </c>
      <c r="P292" t="str">
        <f t="shared" si="14"/>
        <v>Weekend</v>
      </c>
    </row>
    <row r="293" spans="1:16" x14ac:dyDescent="0.3">
      <c r="A293" s="1">
        <v>41932</v>
      </c>
      <c r="B293">
        <v>3.34</v>
      </c>
      <c r="C293">
        <v>5.66</v>
      </c>
      <c r="D293">
        <v>7.3</v>
      </c>
      <c r="E293">
        <v>35.4</v>
      </c>
      <c r="F293">
        <v>25</v>
      </c>
      <c r="G293">
        <v>2</v>
      </c>
      <c r="H293">
        <v>0</v>
      </c>
      <c r="I293">
        <v>1</v>
      </c>
      <c r="J293">
        <v>2014</v>
      </c>
      <c r="K293">
        <v>10</v>
      </c>
      <c r="L293">
        <v>276</v>
      </c>
      <c r="M293" t="s">
        <v>16</v>
      </c>
      <c r="N293">
        <f t="shared" si="12"/>
        <v>79.7</v>
      </c>
      <c r="O293" t="str">
        <f t="shared" si="13"/>
        <v>October</v>
      </c>
      <c r="P293" t="str">
        <f t="shared" si="14"/>
        <v>Weekday</v>
      </c>
    </row>
    <row r="294" spans="1:16" x14ac:dyDescent="0.3">
      <c r="A294" s="1">
        <v>41933</v>
      </c>
      <c r="B294">
        <v>2.34</v>
      </c>
      <c r="C294">
        <v>4.34</v>
      </c>
      <c r="D294">
        <v>6.4</v>
      </c>
      <c r="E294">
        <v>14.3</v>
      </c>
      <c r="F294">
        <v>11</v>
      </c>
      <c r="G294">
        <v>0</v>
      </c>
      <c r="H294">
        <v>20</v>
      </c>
      <c r="I294">
        <v>1</v>
      </c>
      <c r="J294">
        <v>2014</v>
      </c>
      <c r="K294">
        <v>10</v>
      </c>
      <c r="L294">
        <v>276</v>
      </c>
      <c r="M294" t="s">
        <v>17</v>
      </c>
      <c r="N294">
        <f t="shared" si="12"/>
        <v>59.38</v>
      </c>
      <c r="O294" t="str">
        <f t="shared" si="13"/>
        <v>October</v>
      </c>
      <c r="P294" t="str">
        <f t="shared" si="14"/>
        <v>Weekday</v>
      </c>
    </row>
    <row r="295" spans="1:16" x14ac:dyDescent="0.3">
      <c r="A295" s="1">
        <v>41934</v>
      </c>
      <c r="B295">
        <v>3.33</v>
      </c>
      <c r="C295">
        <v>2</v>
      </c>
      <c r="D295">
        <v>2.6</v>
      </c>
      <c r="E295">
        <v>20.9</v>
      </c>
      <c r="F295">
        <v>7</v>
      </c>
      <c r="G295">
        <v>0</v>
      </c>
      <c r="H295">
        <v>2</v>
      </c>
      <c r="I295">
        <v>1</v>
      </c>
      <c r="J295">
        <v>2014</v>
      </c>
      <c r="K295">
        <v>10</v>
      </c>
      <c r="L295">
        <v>276</v>
      </c>
      <c r="M295" t="s">
        <v>18</v>
      </c>
      <c r="N295">
        <f t="shared" si="12"/>
        <v>38.83</v>
      </c>
      <c r="O295" t="str">
        <f t="shared" si="13"/>
        <v>October</v>
      </c>
      <c r="P295" t="str">
        <f t="shared" si="14"/>
        <v>Weekday</v>
      </c>
    </row>
    <row r="296" spans="1:16" x14ac:dyDescent="0.3">
      <c r="A296" s="1">
        <v>41935</v>
      </c>
      <c r="B296">
        <v>1.34</v>
      </c>
      <c r="C296">
        <v>4.33</v>
      </c>
      <c r="D296">
        <v>0</v>
      </c>
      <c r="E296">
        <v>32.200000000000003</v>
      </c>
      <c r="F296">
        <v>7</v>
      </c>
      <c r="G296">
        <v>1</v>
      </c>
      <c r="H296">
        <v>0</v>
      </c>
      <c r="I296">
        <v>0</v>
      </c>
      <c r="J296">
        <v>2014</v>
      </c>
      <c r="K296">
        <v>10</v>
      </c>
      <c r="L296">
        <v>276</v>
      </c>
      <c r="M296" t="s">
        <v>12</v>
      </c>
      <c r="N296">
        <f t="shared" si="12"/>
        <v>45.870000000000005</v>
      </c>
      <c r="O296" t="str">
        <f t="shared" si="13"/>
        <v>October</v>
      </c>
      <c r="P296" t="str">
        <f t="shared" si="14"/>
        <v>Weekday</v>
      </c>
    </row>
    <row r="297" spans="1:16" x14ac:dyDescent="0.3">
      <c r="A297" s="1">
        <v>41936</v>
      </c>
      <c r="B297">
        <v>3.67</v>
      </c>
      <c r="C297">
        <v>2.67</v>
      </c>
      <c r="D297">
        <v>6.3</v>
      </c>
      <c r="E297">
        <v>49.4</v>
      </c>
      <c r="F297">
        <v>18</v>
      </c>
      <c r="G297">
        <v>0</v>
      </c>
      <c r="H297">
        <v>5</v>
      </c>
      <c r="I297">
        <v>1</v>
      </c>
      <c r="J297">
        <v>2014</v>
      </c>
      <c r="K297">
        <v>10</v>
      </c>
      <c r="L297">
        <v>276</v>
      </c>
      <c r="M297" t="s">
        <v>13</v>
      </c>
      <c r="N297">
        <f t="shared" si="12"/>
        <v>86.039999999999992</v>
      </c>
      <c r="O297" t="str">
        <f t="shared" si="13"/>
        <v>October</v>
      </c>
      <c r="P297" t="str">
        <f t="shared" si="14"/>
        <v>Weekday</v>
      </c>
    </row>
    <row r="298" spans="1:16" x14ac:dyDescent="0.3">
      <c r="A298" s="1">
        <v>41937</v>
      </c>
      <c r="B298">
        <v>2.33</v>
      </c>
      <c r="C298">
        <v>5.14</v>
      </c>
      <c r="D298">
        <v>1</v>
      </c>
      <c r="E298">
        <v>31</v>
      </c>
      <c r="F298">
        <v>21</v>
      </c>
      <c r="G298">
        <v>0</v>
      </c>
      <c r="H298">
        <v>2</v>
      </c>
      <c r="I298">
        <v>5</v>
      </c>
      <c r="J298">
        <v>2014</v>
      </c>
      <c r="K298">
        <v>10</v>
      </c>
      <c r="L298">
        <v>276</v>
      </c>
      <c r="M298" t="s">
        <v>14</v>
      </c>
      <c r="N298">
        <f t="shared" si="12"/>
        <v>67.47</v>
      </c>
      <c r="O298" t="str">
        <f t="shared" si="13"/>
        <v>October</v>
      </c>
      <c r="P298" t="str">
        <f t="shared" si="14"/>
        <v>Weekend</v>
      </c>
    </row>
    <row r="299" spans="1:16" x14ac:dyDescent="0.3">
      <c r="A299" s="1">
        <v>41938</v>
      </c>
      <c r="B299">
        <v>3.34</v>
      </c>
      <c r="C299">
        <v>1</v>
      </c>
      <c r="D299">
        <v>1.6</v>
      </c>
      <c r="E299">
        <v>30.4</v>
      </c>
      <c r="F299">
        <v>6</v>
      </c>
      <c r="G299">
        <v>0</v>
      </c>
      <c r="H299">
        <v>1</v>
      </c>
      <c r="I299">
        <v>1</v>
      </c>
      <c r="J299">
        <v>2014</v>
      </c>
      <c r="K299">
        <v>10</v>
      </c>
      <c r="L299">
        <v>276</v>
      </c>
      <c r="M299" t="s">
        <v>15</v>
      </c>
      <c r="N299">
        <f t="shared" si="12"/>
        <v>44.339999999999996</v>
      </c>
      <c r="O299" t="str">
        <f t="shared" si="13"/>
        <v>October</v>
      </c>
      <c r="P299" t="str">
        <f t="shared" si="14"/>
        <v>Weekend</v>
      </c>
    </row>
    <row r="300" spans="1:16" x14ac:dyDescent="0.3">
      <c r="A300" s="1">
        <v>41939</v>
      </c>
      <c r="B300">
        <v>8.34</v>
      </c>
      <c r="C300">
        <v>4.55</v>
      </c>
      <c r="D300">
        <v>4</v>
      </c>
      <c r="E300">
        <v>25.3</v>
      </c>
      <c r="F300">
        <v>17</v>
      </c>
      <c r="G300">
        <v>1</v>
      </c>
      <c r="H300">
        <v>3</v>
      </c>
      <c r="I300">
        <v>0</v>
      </c>
      <c r="J300">
        <v>2014</v>
      </c>
      <c r="K300">
        <v>10</v>
      </c>
      <c r="L300">
        <v>276</v>
      </c>
      <c r="M300" t="s">
        <v>16</v>
      </c>
      <c r="N300">
        <f t="shared" si="12"/>
        <v>63.19</v>
      </c>
      <c r="O300" t="str">
        <f t="shared" si="13"/>
        <v>October</v>
      </c>
      <c r="P300" t="str">
        <f t="shared" si="14"/>
        <v>Weekday</v>
      </c>
    </row>
    <row r="301" spans="1:16" x14ac:dyDescent="0.3">
      <c r="A301" s="1">
        <v>41940</v>
      </c>
      <c r="B301">
        <v>4</v>
      </c>
      <c r="C301">
        <v>3.48</v>
      </c>
      <c r="D301">
        <v>10</v>
      </c>
      <c r="E301">
        <v>40.4</v>
      </c>
      <c r="F301">
        <v>23</v>
      </c>
      <c r="G301">
        <v>0</v>
      </c>
      <c r="H301">
        <v>0</v>
      </c>
      <c r="I301">
        <v>2</v>
      </c>
      <c r="J301">
        <v>2014</v>
      </c>
      <c r="K301">
        <v>10</v>
      </c>
      <c r="L301">
        <v>276</v>
      </c>
      <c r="M301" t="s">
        <v>17</v>
      </c>
      <c r="N301">
        <f t="shared" si="12"/>
        <v>82.88</v>
      </c>
      <c r="O301" t="str">
        <f t="shared" si="13"/>
        <v>October</v>
      </c>
      <c r="P301" t="str">
        <f t="shared" si="14"/>
        <v>Weekday</v>
      </c>
    </row>
    <row r="302" spans="1:16" x14ac:dyDescent="0.3">
      <c r="A302" s="1">
        <v>41941</v>
      </c>
      <c r="B302">
        <v>5</v>
      </c>
      <c r="C302">
        <v>1</v>
      </c>
      <c r="D302">
        <v>6.6</v>
      </c>
      <c r="E302">
        <v>41</v>
      </c>
      <c r="F302">
        <v>20</v>
      </c>
      <c r="G302">
        <v>2</v>
      </c>
      <c r="H302">
        <v>27</v>
      </c>
      <c r="I302">
        <v>1</v>
      </c>
      <c r="J302">
        <v>2014</v>
      </c>
      <c r="K302">
        <v>10</v>
      </c>
      <c r="L302">
        <v>276</v>
      </c>
      <c r="M302" t="s">
        <v>18</v>
      </c>
      <c r="N302">
        <f t="shared" si="12"/>
        <v>103.6</v>
      </c>
      <c r="O302" t="str">
        <f t="shared" si="13"/>
        <v>October</v>
      </c>
      <c r="P302" t="str">
        <f t="shared" si="14"/>
        <v>Weekday</v>
      </c>
    </row>
    <row r="303" spans="1:16" x14ac:dyDescent="0.3">
      <c r="A303" s="1">
        <v>41942</v>
      </c>
      <c r="B303">
        <v>0</v>
      </c>
      <c r="C303">
        <v>1</v>
      </c>
      <c r="D303">
        <v>5</v>
      </c>
      <c r="E303">
        <v>20.3</v>
      </c>
      <c r="F303">
        <v>11</v>
      </c>
      <c r="G303">
        <v>1</v>
      </c>
      <c r="H303">
        <v>2</v>
      </c>
      <c r="I303">
        <v>0</v>
      </c>
      <c r="J303">
        <v>2014</v>
      </c>
      <c r="K303">
        <v>10</v>
      </c>
      <c r="L303">
        <v>276</v>
      </c>
      <c r="M303" t="s">
        <v>12</v>
      </c>
      <c r="N303">
        <f t="shared" si="12"/>
        <v>40.299999999999997</v>
      </c>
      <c r="O303" t="str">
        <f t="shared" si="13"/>
        <v>October</v>
      </c>
      <c r="P303" t="str">
        <f t="shared" si="14"/>
        <v>Weekday</v>
      </c>
    </row>
    <row r="304" spans="1:16" x14ac:dyDescent="0.3">
      <c r="A304" s="1">
        <v>41943</v>
      </c>
      <c r="B304">
        <v>2</v>
      </c>
      <c r="C304">
        <v>2.4500000000000002</v>
      </c>
      <c r="D304">
        <v>4</v>
      </c>
      <c r="E304">
        <v>31</v>
      </c>
      <c r="F304">
        <v>16</v>
      </c>
      <c r="G304">
        <v>0</v>
      </c>
      <c r="H304">
        <v>0</v>
      </c>
      <c r="I304">
        <v>2</v>
      </c>
      <c r="J304">
        <v>2014</v>
      </c>
      <c r="K304">
        <v>10</v>
      </c>
      <c r="L304">
        <v>276</v>
      </c>
      <c r="M304" t="s">
        <v>13</v>
      </c>
      <c r="N304">
        <f t="shared" si="12"/>
        <v>57.45</v>
      </c>
      <c r="O304" t="str">
        <f t="shared" si="13"/>
        <v>October</v>
      </c>
      <c r="P304" t="str">
        <f t="shared" si="14"/>
        <v>Weekday</v>
      </c>
    </row>
    <row r="305" spans="1:16" x14ac:dyDescent="0.3">
      <c r="A305" s="1">
        <v>41944</v>
      </c>
      <c r="B305">
        <v>2.33</v>
      </c>
      <c r="C305">
        <v>2.34</v>
      </c>
      <c r="D305">
        <v>3.5</v>
      </c>
      <c r="E305">
        <v>43.8</v>
      </c>
      <c r="F305">
        <v>22</v>
      </c>
      <c r="G305">
        <v>0</v>
      </c>
      <c r="H305">
        <v>7</v>
      </c>
      <c r="I305">
        <v>1</v>
      </c>
      <c r="J305">
        <v>2014</v>
      </c>
      <c r="K305">
        <v>11</v>
      </c>
      <c r="L305">
        <v>276</v>
      </c>
      <c r="M305" t="s">
        <v>14</v>
      </c>
      <c r="N305">
        <f t="shared" si="12"/>
        <v>81.97</v>
      </c>
      <c r="O305" t="str">
        <f t="shared" si="13"/>
        <v>November</v>
      </c>
      <c r="P305" t="str">
        <f t="shared" si="14"/>
        <v>Weekend</v>
      </c>
    </row>
    <row r="306" spans="1:16" x14ac:dyDescent="0.3">
      <c r="A306" s="1">
        <v>41945</v>
      </c>
      <c r="B306">
        <v>4</v>
      </c>
      <c r="C306">
        <v>0</v>
      </c>
      <c r="D306">
        <v>1</v>
      </c>
      <c r="E306">
        <v>2</v>
      </c>
      <c r="F306">
        <v>3.5</v>
      </c>
      <c r="G306">
        <v>0</v>
      </c>
      <c r="H306">
        <v>0</v>
      </c>
      <c r="I306">
        <v>1</v>
      </c>
      <c r="J306">
        <v>2014</v>
      </c>
      <c r="K306">
        <v>11</v>
      </c>
      <c r="L306">
        <v>276</v>
      </c>
      <c r="M306" t="s">
        <v>15</v>
      </c>
      <c r="N306">
        <f t="shared" si="12"/>
        <v>11.5</v>
      </c>
      <c r="O306" t="str">
        <f t="shared" si="13"/>
        <v>November</v>
      </c>
      <c r="P306" t="str">
        <f t="shared" si="14"/>
        <v>Weekend</v>
      </c>
    </row>
    <row r="307" spans="1:16" x14ac:dyDescent="0.3">
      <c r="A307" s="1">
        <v>41946</v>
      </c>
      <c r="B307">
        <v>7</v>
      </c>
      <c r="C307">
        <v>4.33</v>
      </c>
      <c r="D307">
        <v>1</v>
      </c>
      <c r="E307">
        <v>27.8</v>
      </c>
      <c r="F307">
        <v>19</v>
      </c>
      <c r="G307">
        <v>0</v>
      </c>
      <c r="H307">
        <v>5</v>
      </c>
      <c r="I307">
        <v>1</v>
      </c>
      <c r="J307">
        <v>2014</v>
      </c>
      <c r="K307">
        <v>11</v>
      </c>
      <c r="L307">
        <v>276</v>
      </c>
      <c r="M307" t="s">
        <v>16</v>
      </c>
      <c r="N307">
        <f t="shared" si="12"/>
        <v>65.13</v>
      </c>
      <c r="O307" t="str">
        <f t="shared" si="13"/>
        <v>November</v>
      </c>
      <c r="P307" t="str">
        <f t="shared" si="14"/>
        <v>Weekday</v>
      </c>
    </row>
    <row r="308" spans="1:16" x14ac:dyDescent="0.3">
      <c r="A308" s="1">
        <v>41947</v>
      </c>
      <c r="B308">
        <v>6.33</v>
      </c>
      <c r="C308">
        <v>1</v>
      </c>
      <c r="D308">
        <v>5.2</v>
      </c>
      <c r="E308">
        <v>26.5</v>
      </c>
      <c r="F308">
        <v>15</v>
      </c>
      <c r="G308">
        <v>0</v>
      </c>
      <c r="H308">
        <v>0</v>
      </c>
      <c r="I308">
        <v>1</v>
      </c>
      <c r="J308">
        <v>2014</v>
      </c>
      <c r="K308">
        <v>11</v>
      </c>
      <c r="L308">
        <v>276</v>
      </c>
      <c r="M308" t="s">
        <v>17</v>
      </c>
      <c r="N308">
        <f t="shared" si="12"/>
        <v>55.03</v>
      </c>
      <c r="O308" t="str">
        <f t="shared" si="13"/>
        <v>November</v>
      </c>
      <c r="P308" t="str">
        <f t="shared" si="14"/>
        <v>Weekday</v>
      </c>
    </row>
    <row r="309" spans="1:16" x14ac:dyDescent="0.3">
      <c r="A309" s="1">
        <v>41948</v>
      </c>
      <c r="B309">
        <v>0</v>
      </c>
      <c r="C309">
        <v>1.68</v>
      </c>
      <c r="D309">
        <v>4</v>
      </c>
      <c r="E309">
        <v>27</v>
      </c>
      <c r="F309">
        <v>19</v>
      </c>
      <c r="G309">
        <v>3</v>
      </c>
      <c r="H309">
        <v>1</v>
      </c>
      <c r="I309">
        <v>0</v>
      </c>
      <c r="J309">
        <v>2014</v>
      </c>
      <c r="K309">
        <v>11</v>
      </c>
      <c r="L309">
        <v>276</v>
      </c>
      <c r="M309" t="s">
        <v>18</v>
      </c>
      <c r="N309">
        <f t="shared" si="12"/>
        <v>55.68</v>
      </c>
      <c r="O309" t="str">
        <f t="shared" si="13"/>
        <v>November</v>
      </c>
      <c r="P309" t="str">
        <f t="shared" si="14"/>
        <v>Weekday</v>
      </c>
    </row>
    <row r="310" spans="1:16" x14ac:dyDescent="0.3">
      <c r="A310" s="1">
        <v>41949</v>
      </c>
      <c r="B310">
        <v>6</v>
      </c>
      <c r="C310">
        <v>2.34</v>
      </c>
      <c r="D310">
        <v>5.2</v>
      </c>
      <c r="E310">
        <v>23.4</v>
      </c>
      <c r="F310">
        <v>23</v>
      </c>
      <c r="G310">
        <v>1</v>
      </c>
      <c r="H310">
        <v>0</v>
      </c>
      <c r="I310">
        <v>0</v>
      </c>
      <c r="J310">
        <v>2014</v>
      </c>
      <c r="K310">
        <v>11</v>
      </c>
      <c r="L310">
        <v>276</v>
      </c>
      <c r="M310" t="s">
        <v>12</v>
      </c>
      <c r="N310">
        <f t="shared" si="12"/>
        <v>60.94</v>
      </c>
      <c r="O310" t="str">
        <f t="shared" si="13"/>
        <v>November</v>
      </c>
      <c r="P310" t="str">
        <f t="shared" si="14"/>
        <v>Weekday</v>
      </c>
    </row>
    <row r="311" spans="1:16" x14ac:dyDescent="0.3">
      <c r="A311" s="1">
        <v>41950</v>
      </c>
      <c r="B311">
        <v>6</v>
      </c>
      <c r="C311">
        <v>10.34</v>
      </c>
      <c r="D311">
        <v>5.5</v>
      </c>
      <c r="E311">
        <v>15.8</v>
      </c>
      <c r="F311">
        <v>32</v>
      </c>
      <c r="G311">
        <v>1</v>
      </c>
      <c r="H311">
        <v>0</v>
      </c>
      <c r="I311">
        <v>1</v>
      </c>
      <c r="J311">
        <v>2014</v>
      </c>
      <c r="K311">
        <v>11</v>
      </c>
      <c r="L311">
        <v>276</v>
      </c>
      <c r="M311" t="s">
        <v>13</v>
      </c>
      <c r="N311">
        <f t="shared" si="12"/>
        <v>71.64</v>
      </c>
      <c r="O311" t="str">
        <f t="shared" si="13"/>
        <v>November</v>
      </c>
      <c r="P311" t="str">
        <f t="shared" si="14"/>
        <v>Weekday</v>
      </c>
    </row>
    <row r="312" spans="1:16" x14ac:dyDescent="0.3">
      <c r="A312" s="1">
        <v>41951</v>
      </c>
      <c r="B312">
        <v>12</v>
      </c>
      <c r="C312">
        <v>7.02</v>
      </c>
      <c r="D312">
        <v>6</v>
      </c>
      <c r="E312">
        <v>34.4</v>
      </c>
      <c r="F312">
        <v>24</v>
      </c>
      <c r="G312">
        <v>0</v>
      </c>
      <c r="H312">
        <v>17</v>
      </c>
      <c r="I312">
        <v>2.2000000000000002</v>
      </c>
      <c r="J312">
        <v>2014</v>
      </c>
      <c r="K312">
        <v>11</v>
      </c>
      <c r="L312">
        <v>276</v>
      </c>
      <c r="M312" t="s">
        <v>14</v>
      </c>
      <c r="N312">
        <f t="shared" si="12"/>
        <v>102.62</v>
      </c>
      <c r="O312" t="str">
        <f t="shared" si="13"/>
        <v>November</v>
      </c>
      <c r="P312" t="str">
        <f t="shared" si="14"/>
        <v>Weekend</v>
      </c>
    </row>
    <row r="313" spans="1:16" x14ac:dyDescent="0.3">
      <c r="A313" s="1">
        <v>41952</v>
      </c>
      <c r="B313">
        <v>3.34</v>
      </c>
      <c r="C313">
        <v>4.34</v>
      </c>
      <c r="D313">
        <v>2.9</v>
      </c>
      <c r="E313">
        <v>23</v>
      </c>
      <c r="F313">
        <v>20</v>
      </c>
      <c r="G313">
        <v>0</v>
      </c>
      <c r="H313">
        <v>2</v>
      </c>
      <c r="I313">
        <v>1</v>
      </c>
      <c r="J313">
        <v>2014</v>
      </c>
      <c r="K313">
        <v>11</v>
      </c>
      <c r="L313">
        <v>276</v>
      </c>
      <c r="M313" t="s">
        <v>15</v>
      </c>
      <c r="N313">
        <f t="shared" si="12"/>
        <v>56.58</v>
      </c>
      <c r="O313" t="str">
        <f t="shared" si="13"/>
        <v>November</v>
      </c>
      <c r="P313" t="str">
        <f t="shared" si="14"/>
        <v>Weekend</v>
      </c>
    </row>
    <row r="314" spans="1:16" x14ac:dyDescent="0.3">
      <c r="A314" s="1">
        <v>41953</v>
      </c>
      <c r="B314">
        <v>1</v>
      </c>
      <c r="C314">
        <v>5.32</v>
      </c>
      <c r="D314">
        <v>3.3</v>
      </c>
      <c r="E314">
        <v>24.3</v>
      </c>
      <c r="F314">
        <v>13</v>
      </c>
      <c r="G314">
        <v>0</v>
      </c>
      <c r="H314">
        <v>7</v>
      </c>
      <c r="I314">
        <v>1</v>
      </c>
      <c r="J314">
        <v>2014</v>
      </c>
      <c r="K314">
        <v>11</v>
      </c>
      <c r="L314">
        <v>276</v>
      </c>
      <c r="M314" t="s">
        <v>16</v>
      </c>
      <c r="N314">
        <f t="shared" si="12"/>
        <v>54.92</v>
      </c>
      <c r="O314" t="str">
        <f t="shared" si="13"/>
        <v>November</v>
      </c>
      <c r="P314" t="str">
        <f t="shared" si="14"/>
        <v>Weekday</v>
      </c>
    </row>
    <row r="315" spans="1:16" x14ac:dyDescent="0.3">
      <c r="A315" s="1">
        <v>41954</v>
      </c>
      <c r="B315">
        <v>8</v>
      </c>
      <c r="C315">
        <v>4</v>
      </c>
      <c r="D315">
        <v>2</v>
      </c>
      <c r="E315">
        <v>23</v>
      </c>
      <c r="F315">
        <v>18</v>
      </c>
      <c r="G315">
        <v>0</v>
      </c>
      <c r="H315">
        <v>8</v>
      </c>
      <c r="I315">
        <v>2</v>
      </c>
      <c r="J315">
        <v>2014</v>
      </c>
      <c r="K315">
        <v>11</v>
      </c>
      <c r="L315">
        <v>276</v>
      </c>
      <c r="M315" t="s">
        <v>17</v>
      </c>
      <c r="N315">
        <f t="shared" si="12"/>
        <v>65</v>
      </c>
      <c r="O315" t="str">
        <f t="shared" si="13"/>
        <v>November</v>
      </c>
      <c r="P315" t="str">
        <f t="shared" si="14"/>
        <v>Weekday</v>
      </c>
    </row>
    <row r="316" spans="1:16" x14ac:dyDescent="0.3">
      <c r="A316" s="1">
        <v>41955</v>
      </c>
      <c r="B316">
        <v>3</v>
      </c>
      <c r="C316">
        <v>5</v>
      </c>
      <c r="D316">
        <v>4</v>
      </c>
      <c r="E316">
        <v>25</v>
      </c>
      <c r="F316">
        <v>16</v>
      </c>
      <c r="G316">
        <v>0</v>
      </c>
      <c r="H316">
        <v>3</v>
      </c>
      <c r="I316">
        <v>0</v>
      </c>
      <c r="J316">
        <v>2014</v>
      </c>
      <c r="K316">
        <v>11</v>
      </c>
      <c r="L316">
        <v>276</v>
      </c>
      <c r="M316" t="s">
        <v>18</v>
      </c>
      <c r="N316">
        <f t="shared" si="12"/>
        <v>56</v>
      </c>
      <c r="O316" t="str">
        <f t="shared" si="13"/>
        <v>November</v>
      </c>
      <c r="P316" t="str">
        <f t="shared" si="14"/>
        <v>Weekday</v>
      </c>
    </row>
    <row r="317" spans="1:16" x14ac:dyDescent="0.3">
      <c r="A317" s="1">
        <v>41956</v>
      </c>
      <c r="B317">
        <v>8</v>
      </c>
      <c r="C317">
        <v>2</v>
      </c>
      <c r="D317">
        <v>5</v>
      </c>
      <c r="E317">
        <v>33.200000000000003</v>
      </c>
      <c r="F317">
        <v>10</v>
      </c>
      <c r="G317">
        <v>0</v>
      </c>
      <c r="H317">
        <v>0</v>
      </c>
      <c r="I317">
        <v>2.2000000000000002</v>
      </c>
      <c r="J317">
        <v>2014</v>
      </c>
      <c r="K317">
        <v>11</v>
      </c>
      <c r="L317">
        <v>276</v>
      </c>
      <c r="M317" t="s">
        <v>12</v>
      </c>
      <c r="N317">
        <f t="shared" si="12"/>
        <v>60.400000000000006</v>
      </c>
      <c r="O317" t="str">
        <f t="shared" si="13"/>
        <v>November</v>
      </c>
      <c r="P317" t="str">
        <f t="shared" si="14"/>
        <v>Weekday</v>
      </c>
    </row>
    <row r="318" spans="1:16" x14ac:dyDescent="0.3">
      <c r="A318" s="1">
        <v>41957</v>
      </c>
      <c r="B318">
        <v>5.34</v>
      </c>
      <c r="C318">
        <v>0</v>
      </c>
      <c r="D318">
        <v>6</v>
      </c>
      <c r="E318">
        <v>29.4</v>
      </c>
      <c r="F318">
        <v>20</v>
      </c>
      <c r="G318">
        <v>1</v>
      </c>
      <c r="H318">
        <v>2</v>
      </c>
      <c r="I318">
        <v>3</v>
      </c>
      <c r="J318">
        <v>2014</v>
      </c>
      <c r="K318">
        <v>11</v>
      </c>
      <c r="L318">
        <v>276</v>
      </c>
      <c r="M318" t="s">
        <v>13</v>
      </c>
      <c r="N318">
        <f t="shared" si="12"/>
        <v>66.739999999999995</v>
      </c>
      <c r="O318" t="str">
        <f t="shared" si="13"/>
        <v>November</v>
      </c>
      <c r="P318" t="str">
        <f t="shared" si="14"/>
        <v>Weekday</v>
      </c>
    </row>
    <row r="319" spans="1:16" x14ac:dyDescent="0.3">
      <c r="A319" s="1">
        <v>41958</v>
      </c>
      <c r="B319">
        <v>4.33</v>
      </c>
      <c r="C319">
        <v>5.34</v>
      </c>
      <c r="D319">
        <v>5</v>
      </c>
      <c r="E319">
        <v>23.6</v>
      </c>
      <c r="F319">
        <v>20</v>
      </c>
      <c r="G319">
        <v>2</v>
      </c>
      <c r="H319">
        <v>2</v>
      </c>
      <c r="I319">
        <v>2</v>
      </c>
      <c r="J319">
        <v>2014</v>
      </c>
      <c r="K319">
        <v>11</v>
      </c>
      <c r="L319">
        <v>276</v>
      </c>
      <c r="M319" t="s">
        <v>14</v>
      </c>
      <c r="N319">
        <f t="shared" si="12"/>
        <v>64.27000000000001</v>
      </c>
      <c r="O319" t="str">
        <f t="shared" si="13"/>
        <v>November</v>
      </c>
      <c r="P319" t="str">
        <f t="shared" si="14"/>
        <v>Weekend</v>
      </c>
    </row>
    <row r="320" spans="1:16" x14ac:dyDescent="0.3">
      <c r="A320" s="1">
        <v>41959</v>
      </c>
      <c r="B320">
        <v>2</v>
      </c>
      <c r="C320">
        <v>2.68</v>
      </c>
      <c r="D320">
        <v>6</v>
      </c>
      <c r="E320">
        <v>18.600000000000001</v>
      </c>
      <c r="F320">
        <v>13</v>
      </c>
      <c r="G320">
        <v>1</v>
      </c>
      <c r="H320">
        <v>0</v>
      </c>
      <c r="I320">
        <v>0</v>
      </c>
      <c r="J320">
        <v>2014</v>
      </c>
      <c r="K320">
        <v>11</v>
      </c>
      <c r="L320">
        <v>276</v>
      </c>
      <c r="M320" t="s">
        <v>15</v>
      </c>
      <c r="N320">
        <f t="shared" si="12"/>
        <v>43.28</v>
      </c>
      <c r="O320" t="str">
        <f t="shared" si="13"/>
        <v>November</v>
      </c>
      <c r="P320" t="str">
        <f t="shared" si="14"/>
        <v>Weekend</v>
      </c>
    </row>
    <row r="321" spans="1:16" x14ac:dyDescent="0.3">
      <c r="A321" s="1">
        <v>41960</v>
      </c>
      <c r="B321">
        <v>9</v>
      </c>
      <c r="C321">
        <v>5.01</v>
      </c>
      <c r="D321">
        <v>5.5</v>
      </c>
      <c r="E321">
        <v>23</v>
      </c>
      <c r="F321">
        <v>23</v>
      </c>
      <c r="G321">
        <v>1</v>
      </c>
      <c r="H321">
        <v>10</v>
      </c>
      <c r="I321">
        <v>0.2</v>
      </c>
      <c r="J321">
        <v>2014</v>
      </c>
      <c r="K321">
        <v>11</v>
      </c>
      <c r="L321">
        <v>276</v>
      </c>
      <c r="M321" t="s">
        <v>16</v>
      </c>
      <c r="N321">
        <f t="shared" si="12"/>
        <v>76.709999999999994</v>
      </c>
      <c r="O321" t="str">
        <f t="shared" si="13"/>
        <v>November</v>
      </c>
      <c r="P321" t="str">
        <f t="shared" si="14"/>
        <v>Weekday</v>
      </c>
    </row>
    <row r="322" spans="1:16" x14ac:dyDescent="0.3">
      <c r="A322" s="1">
        <v>41961</v>
      </c>
      <c r="B322">
        <v>2.67</v>
      </c>
      <c r="C322">
        <v>2</v>
      </c>
      <c r="D322">
        <v>5</v>
      </c>
      <c r="E322">
        <v>19.3</v>
      </c>
      <c r="F322">
        <v>10.5</v>
      </c>
      <c r="G322">
        <v>1</v>
      </c>
      <c r="H322">
        <v>0</v>
      </c>
      <c r="I322">
        <v>1</v>
      </c>
      <c r="J322">
        <v>2014</v>
      </c>
      <c r="K322">
        <v>11</v>
      </c>
      <c r="L322">
        <v>276</v>
      </c>
      <c r="M322" t="s">
        <v>17</v>
      </c>
      <c r="N322">
        <f t="shared" si="12"/>
        <v>41.47</v>
      </c>
      <c r="O322" t="str">
        <f t="shared" si="13"/>
        <v>November</v>
      </c>
      <c r="P322" t="str">
        <f t="shared" si="14"/>
        <v>Weekday</v>
      </c>
    </row>
    <row r="323" spans="1:16" x14ac:dyDescent="0.3">
      <c r="A323" s="1">
        <v>41962</v>
      </c>
      <c r="B323">
        <v>1.34</v>
      </c>
      <c r="C323">
        <v>3.67</v>
      </c>
      <c r="D323">
        <v>10</v>
      </c>
      <c r="E323">
        <v>32</v>
      </c>
      <c r="F323">
        <v>17</v>
      </c>
      <c r="G323">
        <v>0</v>
      </c>
      <c r="H323">
        <v>10</v>
      </c>
      <c r="I323">
        <v>4</v>
      </c>
      <c r="J323">
        <v>2014</v>
      </c>
      <c r="K323">
        <v>11</v>
      </c>
      <c r="L323">
        <v>276</v>
      </c>
      <c r="M323" t="s">
        <v>18</v>
      </c>
      <c r="N323">
        <f t="shared" ref="N323:N386" si="15">SUM(B323:I323)</f>
        <v>78.009999999999991</v>
      </c>
      <c r="O323" t="str">
        <f t="shared" ref="O323:O386" si="16">TEXT(A323,"mmmm")</f>
        <v>November</v>
      </c>
      <c r="P323" t="str">
        <f t="shared" ref="P323:P386" si="17">IF(OR(M323="Saturday",M323="Sunday"),"Weekend","Weekday")</f>
        <v>Weekday</v>
      </c>
    </row>
    <row r="324" spans="1:16" x14ac:dyDescent="0.3">
      <c r="A324" s="1">
        <v>41963</v>
      </c>
      <c r="B324">
        <v>4</v>
      </c>
      <c r="C324">
        <v>7</v>
      </c>
      <c r="D324">
        <v>5</v>
      </c>
      <c r="E324">
        <v>18.8</v>
      </c>
      <c r="F324">
        <v>13</v>
      </c>
      <c r="G324">
        <v>0</v>
      </c>
      <c r="H324">
        <v>8</v>
      </c>
      <c r="I324">
        <v>0</v>
      </c>
      <c r="J324">
        <v>2014</v>
      </c>
      <c r="K324">
        <v>11</v>
      </c>
      <c r="L324">
        <v>276</v>
      </c>
      <c r="M324" t="s">
        <v>12</v>
      </c>
      <c r="N324">
        <f t="shared" si="15"/>
        <v>55.8</v>
      </c>
      <c r="O324" t="str">
        <f t="shared" si="16"/>
        <v>November</v>
      </c>
      <c r="P324" t="str">
        <f t="shared" si="17"/>
        <v>Weekday</v>
      </c>
    </row>
    <row r="325" spans="1:16" x14ac:dyDescent="0.3">
      <c r="A325" s="1">
        <v>41964</v>
      </c>
      <c r="B325">
        <v>1.34</v>
      </c>
      <c r="C325">
        <v>1.34</v>
      </c>
      <c r="D325">
        <v>3</v>
      </c>
      <c r="E325">
        <v>22.4</v>
      </c>
      <c r="F325">
        <v>16</v>
      </c>
      <c r="G325">
        <v>0</v>
      </c>
      <c r="H325">
        <v>2</v>
      </c>
      <c r="I325">
        <v>1</v>
      </c>
      <c r="J325">
        <v>2014</v>
      </c>
      <c r="K325">
        <v>11</v>
      </c>
      <c r="L325">
        <v>276</v>
      </c>
      <c r="M325" t="s">
        <v>13</v>
      </c>
      <c r="N325">
        <f t="shared" si="15"/>
        <v>47.08</v>
      </c>
      <c r="O325" t="str">
        <f t="shared" si="16"/>
        <v>November</v>
      </c>
      <c r="P325" t="str">
        <f t="shared" si="17"/>
        <v>Weekday</v>
      </c>
    </row>
    <row r="326" spans="1:16" x14ac:dyDescent="0.3">
      <c r="A326" s="1">
        <v>41965</v>
      </c>
      <c r="B326">
        <v>6</v>
      </c>
      <c r="C326">
        <v>2.34</v>
      </c>
      <c r="D326">
        <v>3</v>
      </c>
      <c r="E326">
        <v>23.7</v>
      </c>
      <c r="F326">
        <v>15</v>
      </c>
      <c r="G326">
        <v>1</v>
      </c>
      <c r="H326">
        <v>8</v>
      </c>
      <c r="I326">
        <v>1.4</v>
      </c>
      <c r="J326">
        <v>2014</v>
      </c>
      <c r="K326">
        <v>11</v>
      </c>
      <c r="L326">
        <v>276</v>
      </c>
      <c r="M326" t="s">
        <v>14</v>
      </c>
      <c r="N326">
        <f t="shared" si="15"/>
        <v>60.44</v>
      </c>
      <c r="O326" t="str">
        <f t="shared" si="16"/>
        <v>November</v>
      </c>
      <c r="P326" t="str">
        <f t="shared" si="17"/>
        <v>Weekend</v>
      </c>
    </row>
    <row r="327" spans="1:16" x14ac:dyDescent="0.3">
      <c r="A327" s="1">
        <v>41966</v>
      </c>
      <c r="B327">
        <v>4</v>
      </c>
      <c r="C327">
        <v>3.68</v>
      </c>
      <c r="D327">
        <v>6</v>
      </c>
      <c r="E327">
        <v>22.3</v>
      </c>
      <c r="F327">
        <v>11</v>
      </c>
      <c r="G327">
        <v>0</v>
      </c>
      <c r="H327">
        <v>0</v>
      </c>
      <c r="I327">
        <v>1.1000000000000001</v>
      </c>
      <c r="J327">
        <v>2014</v>
      </c>
      <c r="K327">
        <v>11</v>
      </c>
      <c r="L327">
        <v>276</v>
      </c>
      <c r="M327" t="s">
        <v>15</v>
      </c>
      <c r="N327">
        <f t="shared" si="15"/>
        <v>48.080000000000005</v>
      </c>
      <c r="O327" t="str">
        <f t="shared" si="16"/>
        <v>November</v>
      </c>
      <c r="P327" t="str">
        <f t="shared" si="17"/>
        <v>Weekend</v>
      </c>
    </row>
    <row r="328" spans="1:16" x14ac:dyDescent="0.3">
      <c r="A328" s="1">
        <v>41967</v>
      </c>
      <c r="B328">
        <v>4</v>
      </c>
      <c r="C328">
        <v>3</v>
      </c>
      <c r="D328">
        <v>6</v>
      </c>
      <c r="E328">
        <v>30.6</v>
      </c>
      <c r="F328">
        <v>19</v>
      </c>
      <c r="G328">
        <v>1</v>
      </c>
      <c r="H328">
        <v>1</v>
      </c>
      <c r="I328">
        <v>2.1</v>
      </c>
      <c r="J328">
        <v>2014</v>
      </c>
      <c r="K328">
        <v>11</v>
      </c>
      <c r="L328">
        <v>276</v>
      </c>
      <c r="M328" t="s">
        <v>16</v>
      </c>
      <c r="N328">
        <f t="shared" si="15"/>
        <v>66.699999999999989</v>
      </c>
      <c r="O328" t="str">
        <f t="shared" si="16"/>
        <v>November</v>
      </c>
      <c r="P328" t="str">
        <f t="shared" si="17"/>
        <v>Weekday</v>
      </c>
    </row>
    <row r="329" spans="1:16" x14ac:dyDescent="0.3">
      <c r="A329" s="1">
        <v>41968</v>
      </c>
      <c r="B329">
        <v>5.36</v>
      </c>
      <c r="C329">
        <v>1.68</v>
      </c>
      <c r="D329">
        <v>2</v>
      </c>
      <c r="E329">
        <v>19.2</v>
      </c>
      <c r="F329">
        <v>18</v>
      </c>
      <c r="G329">
        <v>0</v>
      </c>
      <c r="H329">
        <v>2</v>
      </c>
      <c r="I329">
        <v>3</v>
      </c>
      <c r="J329">
        <v>2014</v>
      </c>
      <c r="K329">
        <v>11</v>
      </c>
      <c r="L329">
        <v>276</v>
      </c>
      <c r="M329" t="s">
        <v>17</v>
      </c>
      <c r="N329">
        <f t="shared" si="15"/>
        <v>51.239999999999995</v>
      </c>
      <c r="O329" t="str">
        <f t="shared" si="16"/>
        <v>November</v>
      </c>
      <c r="P329" t="str">
        <f t="shared" si="17"/>
        <v>Weekday</v>
      </c>
    </row>
    <row r="330" spans="1:16" x14ac:dyDescent="0.3">
      <c r="A330" s="1">
        <v>41969</v>
      </c>
      <c r="B330">
        <v>3</v>
      </c>
      <c r="C330">
        <v>5</v>
      </c>
      <c r="D330">
        <v>6</v>
      </c>
      <c r="E330">
        <v>21</v>
      </c>
      <c r="F330">
        <v>13</v>
      </c>
      <c r="G330">
        <v>3</v>
      </c>
      <c r="H330">
        <v>11</v>
      </c>
      <c r="I330">
        <v>2</v>
      </c>
      <c r="J330">
        <v>2014</v>
      </c>
      <c r="K330">
        <v>11</v>
      </c>
      <c r="L330">
        <v>276</v>
      </c>
      <c r="M330" t="s">
        <v>18</v>
      </c>
      <c r="N330">
        <f t="shared" si="15"/>
        <v>64</v>
      </c>
      <c r="O330" t="str">
        <f t="shared" si="16"/>
        <v>November</v>
      </c>
      <c r="P330" t="str">
        <f t="shared" si="17"/>
        <v>Weekday</v>
      </c>
    </row>
    <row r="331" spans="1:16" x14ac:dyDescent="0.3">
      <c r="A331" s="1">
        <v>41970</v>
      </c>
      <c r="B331">
        <v>7</v>
      </c>
      <c r="C331">
        <v>3.67</v>
      </c>
      <c r="D331">
        <v>2.2999999999999998</v>
      </c>
      <c r="E331">
        <v>21.2</v>
      </c>
      <c r="F331">
        <v>9</v>
      </c>
      <c r="G331">
        <v>1</v>
      </c>
      <c r="H331">
        <v>4</v>
      </c>
      <c r="I331">
        <v>3</v>
      </c>
      <c r="J331">
        <v>2014</v>
      </c>
      <c r="K331">
        <v>11</v>
      </c>
      <c r="L331">
        <v>276</v>
      </c>
      <c r="M331" t="s">
        <v>12</v>
      </c>
      <c r="N331">
        <f t="shared" si="15"/>
        <v>51.17</v>
      </c>
      <c r="O331" t="str">
        <f t="shared" si="16"/>
        <v>November</v>
      </c>
      <c r="P331" t="str">
        <f t="shared" si="17"/>
        <v>Weekday</v>
      </c>
    </row>
    <row r="332" spans="1:16" x14ac:dyDescent="0.3">
      <c r="A332" s="1">
        <v>41971</v>
      </c>
      <c r="B332">
        <v>3.02</v>
      </c>
      <c r="C332">
        <v>1.4</v>
      </c>
      <c r="D332">
        <v>15</v>
      </c>
      <c r="E332">
        <v>15.9</v>
      </c>
      <c r="F332">
        <v>12</v>
      </c>
      <c r="G332">
        <v>1</v>
      </c>
      <c r="H332">
        <v>2</v>
      </c>
      <c r="I332">
        <v>1</v>
      </c>
      <c r="J332">
        <v>2014</v>
      </c>
      <c r="K332">
        <v>11</v>
      </c>
      <c r="L332">
        <v>276</v>
      </c>
      <c r="M332" t="s">
        <v>13</v>
      </c>
      <c r="N332">
        <f t="shared" si="15"/>
        <v>51.32</v>
      </c>
      <c r="O332" t="str">
        <f t="shared" si="16"/>
        <v>November</v>
      </c>
      <c r="P332" t="str">
        <f t="shared" si="17"/>
        <v>Weekday</v>
      </c>
    </row>
    <row r="333" spans="1:16" x14ac:dyDescent="0.3">
      <c r="A333" s="1">
        <v>41972</v>
      </c>
      <c r="B333">
        <v>3</v>
      </c>
      <c r="C333">
        <v>2.0099999999999998</v>
      </c>
      <c r="D333">
        <v>3.3</v>
      </c>
      <c r="E333">
        <v>31</v>
      </c>
      <c r="F333">
        <v>16</v>
      </c>
      <c r="G333">
        <v>0</v>
      </c>
      <c r="H333">
        <v>0</v>
      </c>
      <c r="I333">
        <v>5</v>
      </c>
      <c r="J333">
        <v>2014</v>
      </c>
      <c r="K333">
        <v>11</v>
      </c>
      <c r="L333">
        <v>276</v>
      </c>
      <c r="M333" t="s">
        <v>14</v>
      </c>
      <c r="N333">
        <f t="shared" si="15"/>
        <v>60.31</v>
      </c>
      <c r="O333" t="str">
        <f t="shared" si="16"/>
        <v>November</v>
      </c>
      <c r="P333" t="str">
        <f t="shared" si="17"/>
        <v>Weekend</v>
      </c>
    </row>
    <row r="334" spans="1:16" x14ac:dyDescent="0.3">
      <c r="A334" s="1">
        <v>41973</v>
      </c>
      <c r="B334">
        <v>5.68</v>
      </c>
      <c r="C334">
        <v>1.33</v>
      </c>
      <c r="D334">
        <v>5</v>
      </c>
      <c r="E334">
        <v>22.6</v>
      </c>
      <c r="F334">
        <v>9</v>
      </c>
      <c r="G334">
        <v>1</v>
      </c>
      <c r="H334">
        <v>0</v>
      </c>
      <c r="I334">
        <v>2</v>
      </c>
      <c r="J334">
        <v>2014</v>
      </c>
      <c r="K334">
        <v>11</v>
      </c>
      <c r="L334">
        <v>276</v>
      </c>
      <c r="M334" t="s">
        <v>15</v>
      </c>
      <c r="N334">
        <f t="shared" si="15"/>
        <v>46.61</v>
      </c>
      <c r="O334" t="str">
        <f t="shared" si="16"/>
        <v>November</v>
      </c>
      <c r="P334" t="str">
        <f t="shared" si="17"/>
        <v>Weekend</v>
      </c>
    </row>
    <row r="335" spans="1:16" x14ac:dyDescent="0.3">
      <c r="A335" s="1">
        <v>41974</v>
      </c>
      <c r="B335">
        <v>4.34</v>
      </c>
      <c r="C335">
        <v>4.01</v>
      </c>
      <c r="D335">
        <v>0</v>
      </c>
      <c r="E335">
        <v>36.4</v>
      </c>
      <c r="F335">
        <v>19</v>
      </c>
      <c r="G335">
        <v>0</v>
      </c>
      <c r="H335">
        <v>2</v>
      </c>
      <c r="I335">
        <v>2</v>
      </c>
      <c r="J335">
        <v>2014</v>
      </c>
      <c r="K335">
        <v>12</v>
      </c>
      <c r="L335">
        <v>276</v>
      </c>
      <c r="M335" t="s">
        <v>16</v>
      </c>
      <c r="N335">
        <f t="shared" si="15"/>
        <v>67.75</v>
      </c>
      <c r="O335" t="str">
        <f t="shared" si="16"/>
        <v>December</v>
      </c>
      <c r="P335" t="str">
        <f t="shared" si="17"/>
        <v>Weekday</v>
      </c>
    </row>
    <row r="336" spans="1:16" x14ac:dyDescent="0.3">
      <c r="A336" s="1">
        <v>41975</v>
      </c>
      <c r="B336">
        <v>6.99</v>
      </c>
      <c r="C336">
        <v>4.33</v>
      </c>
      <c r="D336">
        <v>3.7</v>
      </c>
      <c r="E336">
        <v>7.8</v>
      </c>
      <c r="F336">
        <v>26</v>
      </c>
      <c r="G336">
        <v>0</v>
      </c>
      <c r="H336">
        <v>4</v>
      </c>
      <c r="I336">
        <v>1</v>
      </c>
      <c r="J336">
        <v>2014</v>
      </c>
      <c r="K336">
        <v>12</v>
      </c>
      <c r="L336">
        <v>276</v>
      </c>
      <c r="M336" t="s">
        <v>17</v>
      </c>
      <c r="N336">
        <f t="shared" si="15"/>
        <v>53.82</v>
      </c>
      <c r="O336" t="str">
        <f t="shared" si="16"/>
        <v>December</v>
      </c>
      <c r="P336" t="str">
        <f t="shared" si="17"/>
        <v>Weekday</v>
      </c>
    </row>
    <row r="337" spans="1:16" x14ac:dyDescent="0.3">
      <c r="A337" s="1">
        <v>41976</v>
      </c>
      <c r="B337">
        <v>4</v>
      </c>
      <c r="C337">
        <v>3.33</v>
      </c>
      <c r="D337">
        <v>5</v>
      </c>
      <c r="E337">
        <v>16.600000000000001</v>
      </c>
      <c r="F337">
        <v>23</v>
      </c>
      <c r="G337">
        <v>2</v>
      </c>
      <c r="H337">
        <v>13</v>
      </c>
      <c r="I337">
        <v>3.2</v>
      </c>
      <c r="J337">
        <v>2014</v>
      </c>
      <c r="K337">
        <v>12</v>
      </c>
      <c r="L337">
        <v>276</v>
      </c>
      <c r="M337" t="s">
        <v>18</v>
      </c>
      <c r="N337">
        <f t="shared" si="15"/>
        <v>70.13000000000001</v>
      </c>
      <c r="O337" t="str">
        <f t="shared" si="16"/>
        <v>December</v>
      </c>
      <c r="P337" t="str">
        <f t="shared" si="17"/>
        <v>Weekday</v>
      </c>
    </row>
    <row r="338" spans="1:16" x14ac:dyDescent="0.3">
      <c r="A338" s="1">
        <v>41977</v>
      </c>
      <c r="B338">
        <v>3</v>
      </c>
      <c r="C338">
        <v>4.34</v>
      </c>
      <c r="D338">
        <v>3.6</v>
      </c>
      <c r="E338">
        <v>28.7</v>
      </c>
      <c r="F338">
        <v>16</v>
      </c>
      <c r="G338">
        <v>1</v>
      </c>
      <c r="H338">
        <v>1</v>
      </c>
      <c r="I338">
        <v>0</v>
      </c>
      <c r="J338">
        <v>2014</v>
      </c>
      <c r="K338">
        <v>12</v>
      </c>
      <c r="L338">
        <v>276</v>
      </c>
      <c r="M338" t="s">
        <v>12</v>
      </c>
      <c r="N338">
        <f t="shared" si="15"/>
        <v>57.64</v>
      </c>
      <c r="O338" t="str">
        <f t="shared" si="16"/>
        <v>December</v>
      </c>
      <c r="P338" t="str">
        <f t="shared" si="17"/>
        <v>Weekday</v>
      </c>
    </row>
    <row r="339" spans="1:16" x14ac:dyDescent="0.3">
      <c r="A339" s="1">
        <v>41978</v>
      </c>
      <c r="B339">
        <v>2.02</v>
      </c>
      <c r="C339">
        <v>5.68</v>
      </c>
      <c r="D339">
        <v>1</v>
      </c>
      <c r="E339">
        <v>28.1</v>
      </c>
      <c r="F339">
        <v>15</v>
      </c>
      <c r="G339">
        <v>1</v>
      </c>
      <c r="H339">
        <v>1</v>
      </c>
      <c r="I339">
        <v>2.2000000000000002</v>
      </c>
      <c r="J339">
        <v>2014</v>
      </c>
      <c r="K339">
        <v>12</v>
      </c>
      <c r="L339">
        <v>276</v>
      </c>
      <c r="M339" t="s">
        <v>13</v>
      </c>
      <c r="N339">
        <f t="shared" si="15"/>
        <v>56</v>
      </c>
      <c r="O339" t="str">
        <f t="shared" si="16"/>
        <v>December</v>
      </c>
      <c r="P339" t="str">
        <f t="shared" si="17"/>
        <v>Weekday</v>
      </c>
    </row>
    <row r="340" spans="1:16" x14ac:dyDescent="0.3">
      <c r="A340" s="1">
        <v>41979</v>
      </c>
      <c r="B340">
        <v>3.34</v>
      </c>
      <c r="C340">
        <v>3.68</v>
      </c>
      <c r="D340">
        <v>1</v>
      </c>
      <c r="E340">
        <v>12.4</v>
      </c>
      <c r="F340">
        <v>9</v>
      </c>
      <c r="G340">
        <v>0</v>
      </c>
      <c r="H340">
        <v>7</v>
      </c>
      <c r="I340">
        <v>1</v>
      </c>
      <c r="J340">
        <v>2014</v>
      </c>
      <c r="K340">
        <v>12</v>
      </c>
      <c r="L340">
        <v>276</v>
      </c>
      <c r="M340" t="s">
        <v>14</v>
      </c>
      <c r="N340">
        <f t="shared" si="15"/>
        <v>37.42</v>
      </c>
      <c r="O340" t="str">
        <f t="shared" si="16"/>
        <v>December</v>
      </c>
      <c r="P340" t="str">
        <f t="shared" si="17"/>
        <v>Weekend</v>
      </c>
    </row>
    <row r="341" spans="1:16" x14ac:dyDescent="0.3">
      <c r="A341" s="1">
        <v>41980</v>
      </c>
      <c r="B341">
        <v>5</v>
      </c>
      <c r="C341">
        <v>4.9109999999999996</v>
      </c>
      <c r="D341">
        <v>4</v>
      </c>
      <c r="E341">
        <v>45.7</v>
      </c>
      <c r="F341">
        <v>6</v>
      </c>
      <c r="G341">
        <v>0</v>
      </c>
      <c r="H341">
        <v>12</v>
      </c>
      <c r="I341">
        <v>0</v>
      </c>
      <c r="J341">
        <v>2014</v>
      </c>
      <c r="K341">
        <v>12</v>
      </c>
      <c r="L341">
        <v>276</v>
      </c>
      <c r="M341" t="s">
        <v>15</v>
      </c>
      <c r="N341">
        <f t="shared" si="15"/>
        <v>77.611000000000004</v>
      </c>
      <c r="O341" t="str">
        <f t="shared" si="16"/>
        <v>December</v>
      </c>
      <c r="P341" t="str">
        <f t="shared" si="17"/>
        <v>Weekend</v>
      </c>
    </row>
    <row r="342" spans="1:16" x14ac:dyDescent="0.3">
      <c r="A342" s="1">
        <v>41981</v>
      </c>
      <c r="B342">
        <v>1</v>
      </c>
      <c r="C342">
        <v>3.33</v>
      </c>
      <c r="D342">
        <v>2</v>
      </c>
      <c r="E342">
        <v>20.3</v>
      </c>
      <c r="F342">
        <v>9</v>
      </c>
      <c r="G342">
        <v>0</v>
      </c>
      <c r="H342">
        <v>0</v>
      </c>
      <c r="I342">
        <v>0</v>
      </c>
      <c r="J342">
        <v>2014</v>
      </c>
      <c r="K342">
        <v>12</v>
      </c>
      <c r="L342">
        <v>276</v>
      </c>
      <c r="M342" t="s">
        <v>16</v>
      </c>
      <c r="N342">
        <f t="shared" si="15"/>
        <v>35.630000000000003</v>
      </c>
      <c r="O342" t="str">
        <f t="shared" si="16"/>
        <v>December</v>
      </c>
      <c r="P342" t="str">
        <f t="shared" si="17"/>
        <v>Weekday</v>
      </c>
    </row>
    <row r="343" spans="1:16" x14ac:dyDescent="0.3">
      <c r="A343" s="1">
        <v>41982</v>
      </c>
      <c r="B343">
        <v>1</v>
      </c>
      <c r="C343">
        <v>2.34</v>
      </c>
      <c r="D343">
        <v>7</v>
      </c>
      <c r="E343">
        <v>27.28</v>
      </c>
      <c r="F343">
        <v>12</v>
      </c>
      <c r="G343">
        <v>1</v>
      </c>
      <c r="H343">
        <v>0</v>
      </c>
      <c r="I343">
        <v>2</v>
      </c>
      <c r="J343">
        <v>2014</v>
      </c>
      <c r="K343">
        <v>12</v>
      </c>
      <c r="L343">
        <v>276</v>
      </c>
      <c r="M343" t="s">
        <v>17</v>
      </c>
      <c r="N343">
        <f t="shared" si="15"/>
        <v>52.620000000000005</v>
      </c>
      <c r="O343" t="str">
        <f t="shared" si="16"/>
        <v>December</v>
      </c>
      <c r="P343" t="str">
        <f t="shared" si="17"/>
        <v>Weekday</v>
      </c>
    </row>
    <row r="344" spans="1:16" x14ac:dyDescent="0.3">
      <c r="A344" s="1">
        <v>41983</v>
      </c>
      <c r="B344">
        <v>3.34</v>
      </c>
      <c r="C344">
        <v>3</v>
      </c>
      <c r="D344">
        <v>2</v>
      </c>
      <c r="E344">
        <v>51.2</v>
      </c>
      <c r="F344">
        <v>28</v>
      </c>
      <c r="G344">
        <v>3</v>
      </c>
      <c r="H344">
        <v>6</v>
      </c>
      <c r="I344">
        <v>0</v>
      </c>
      <c r="J344">
        <v>2014</v>
      </c>
      <c r="K344">
        <v>12</v>
      </c>
      <c r="L344">
        <v>276</v>
      </c>
      <c r="M344" t="s">
        <v>18</v>
      </c>
      <c r="N344">
        <f t="shared" si="15"/>
        <v>96.54</v>
      </c>
      <c r="O344" t="str">
        <f t="shared" si="16"/>
        <v>December</v>
      </c>
      <c r="P344" t="str">
        <f t="shared" si="17"/>
        <v>Weekday</v>
      </c>
    </row>
    <row r="345" spans="1:16" x14ac:dyDescent="0.3">
      <c r="A345" s="1">
        <v>41984</v>
      </c>
      <c r="B345">
        <v>2.34</v>
      </c>
      <c r="C345">
        <v>5.33</v>
      </c>
      <c r="D345">
        <v>7</v>
      </c>
      <c r="E345">
        <v>16.3</v>
      </c>
      <c r="F345">
        <v>21</v>
      </c>
      <c r="G345">
        <v>2</v>
      </c>
      <c r="H345">
        <v>0</v>
      </c>
      <c r="I345">
        <v>0</v>
      </c>
      <c r="J345">
        <v>2014</v>
      </c>
      <c r="K345">
        <v>12</v>
      </c>
      <c r="L345">
        <v>276</v>
      </c>
      <c r="M345" t="s">
        <v>12</v>
      </c>
      <c r="N345">
        <f t="shared" si="15"/>
        <v>53.97</v>
      </c>
      <c r="O345" t="str">
        <f t="shared" si="16"/>
        <v>December</v>
      </c>
      <c r="P345" t="str">
        <f t="shared" si="17"/>
        <v>Weekday</v>
      </c>
    </row>
    <row r="346" spans="1:16" x14ac:dyDescent="0.3">
      <c r="A346" s="1">
        <v>41985</v>
      </c>
      <c r="B346">
        <v>6.34</v>
      </c>
      <c r="C346">
        <v>2.34</v>
      </c>
      <c r="D346">
        <v>5.6</v>
      </c>
      <c r="E346">
        <v>41.4</v>
      </c>
      <c r="F346">
        <v>18</v>
      </c>
      <c r="G346">
        <v>0</v>
      </c>
      <c r="H346">
        <v>2</v>
      </c>
      <c r="I346">
        <v>0</v>
      </c>
      <c r="J346">
        <v>2014</v>
      </c>
      <c r="K346">
        <v>12</v>
      </c>
      <c r="L346">
        <v>276</v>
      </c>
      <c r="M346" t="s">
        <v>13</v>
      </c>
      <c r="N346">
        <f t="shared" si="15"/>
        <v>75.680000000000007</v>
      </c>
      <c r="O346" t="str">
        <f t="shared" si="16"/>
        <v>December</v>
      </c>
      <c r="P346" t="str">
        <f t="shared" si="17"/>
        <v>Weekday</v>
      </c>
    </row>
    <row r="347" spans="1:16" x14ac:dyDescent="0.3">
      <c r="A347" s="1">
        <v>41986</v>
      </c>
      <c r="B347">
        <v>1</v>
      </c>
      <c r="C347">
        <v>3.34</v>
      </c>
      <c r="D347">
        <v>2.4</v>
      </c>
      <c r="E347">
        <v>25.1</v>
      </c>
      <c r="F347">
        <v>11</v>
      </c>
      <c r="G347">
        <v>1</v>
      </c>
      <c r="H347">
        <v>7</v>
      </c>
      <c r="I347">
        <v>0</v>
      </c>
      <c r="J347">
        <v>2014</v>
      </c>
      <c r="K347">
        <v>12</v>
      </c>
      <c r="L347">
        <v>276</v>
      </c>
      <c r="M347" t="s">
        <v>14</v>
      </c>
      <c r="N347">
        <f t="shared" si="15"/>
        <v>50.84</v>
      </c>
      <c r="O347" t="str">
        <f t="shared" si="16"/>
        <v>December</v>
      </c>
      <c r="P347" t="str">
        <f t="shared" si="17"/>
        <v>Weekend</v>
      </c>
    </row>
    <row r="348" spans="1:16" x14ac:dyDescent="0.3">
      <c r="A348" s="1">
        <v>41987</v>
      </c>
      <c r="B348">
        <v>10</v>
      </c>
      <c r="C348">
        <v>2.34</v>
      </c>
      <c r="D348">
        <v>4.4000000000000004</v>
      </c>
      <c r="E348">
        <v>40</v>
      </c>
      <c r="F348">
        <v>10</v>
      </c>
      <c r="G348">
        <v>0</v>
      </c>
      <c r="H348">
        <v>6</v>
      </c>
      <c r="I348">
        <v>1</v>
      </c>
      <c r="J348">
        <v>2014</v>
      </c>
      <c r="K348">
        <v>12</v>
      </c>
      <c r="L348">
        <v>276</v>
      </c>
      <c r="M348" t="s">
        <v>15</v>
      </c>
      <c r="N348">
        <f t="shared" si="15"/>
        <v>73.740000000000009</v>
      </c>
      <c r="O348" t="str">
        <f t="shared" si="16"/>
        <v>December</v>
      </c>
      <c r="P348" t="str">
        <f t="shared" si="17"/>
        <v>Weekend</v>
      </c>
    </row>
    <row r="349" spans="1:16" x14ac:dyDescent="0.3">
      <c r="A349" s="1">
        <v>41988</v>
      </c>
      <c r="B349">
        <v>5.34</v>
      </c>
      <c r="C349">
        <v>4.0199999999999996</v>
      </c>
      <c r="D349">
        <v>7.64</v>
      </c>
      <c r="E349">
        <v>42.2</v>
      </c>
      <c r="F349">
        <v>14</v>
      </c>
      <c r="G349">
        <v>1</v>
      </c>
      <c r="H349">
        <v>9</v>
      </c>
      <c r="I349">
        <v>1</v>
      </c>
      <c r="J349">
        <v>2014</v>
      </c>
      <c r="K349">
        <v>12</v>
      </c>
      <c r="L349">
        <v>276</v>
      </c>
      <c r="M349" t="s">
        <v>16</v>
      </c>
      <c r="N349">
        <f t="shared" si="15"/>
        <v>84.2</v>
      </c>
      <c r="O349" t="str">
        <f t="shared" si="16"/>
        <v>December</v>
      </c>
      <c r="P349" t="str">
        <f t="shared" si="17"/>
        <v>Weekday</v>
      </c>
    </row>
    <row r="350" spans="1:16" x14ac:dyDescent="0.3">
      <c r="A350" s="1">
        <v>41989</v>
      </c>
      <c r="B350">
        <v>6.34</v>
      </c>
      <c r="C350">
        <v>1.34</v>
      </c>
      <c r="D350">
        <v>6.2</v>
      </c>
      <c r="E350">
        <v>23</v>
      </c>
      <c r="F350">
        <v>23</v>
      </c>
      <c r="G350">
        <v>3</v>
      </c>
      <c r="H350">
        <v>4</v>
      </c>
      <c r="I350">
        <v>1</v>
      </c>
      <c r="J350">
        <v>2014</v>
      </c>
      <c r="K350">
        <v>12</v>
      </c>
      <c r="L350">
        <v>276</v>
      </c>
      <c r="M350" t="s">
        <v>17</v>
      </c>
      <c r="N350">
        <f t="shared" si="15"/>
        <v>67.88</v>
      </c>
      <c r="O350" t="str">
        <f t="shared" si="16"/>
        <v>December</v>
      </c>
      <c r="P350" t="str">
        <f t="shared" si="17"/>
        <v>Weekday</v>
      </c>
    </row>
    <row r="351" spans="1:16" x14ac:dyDescent="0.3">
      <c r="A351" s="1">
        <v>41990</v>
      </c>
      <c r="B351">
        <v>3</v>
      </c>
      <c r="C351">
        <v>3.67</v>
      </c>
      <c r="D351">
        <v>3.5</v>
      </c>
      <c r="E351">
        <v>28</v>
      </c>
      <c r="F351">
        <v>17</v>
      </c>
      <c r="G351">
        <v>2</v>
      </c>
      <c r="H351">
        <v>8</v>
      </c>
      <c r="I351">
        <v>0</v>
      </c>
      <c r="J351">
        <v>2014</v>
      </c>
      <c r="K351">
        <v>12</v>
      </c>
      <c r="L351">
        <v>276</v>
      </c>
      <c r="M351" t="s">
        <v>18</v>
      </c>
      <c r="N351">
        <f t="shared" si="15"/>
        <v>65.17</v>
      </c>
      <c r="O351" t="str">
        <f t="shared" si="16"/>
        <v>December</v>
      </c>
      <c r="P351" t="str">
        <f t="shared" si="17"/>
        <v>Weekday</v>
      </c>
    </row>
    <row r="352" spans="1:16" x14ac:dyDescent="0.3">
      <c r="A352" s="1">
        <v>41991</v>
      </c>
      <c r="B352">
        <v>5</v>
      </c>
      <c r="C352">
        <v>3.67</v>
      </c>
      <c r="D352">
        <v>3</v>
      </c>
      <c r="E352">
        <v>26.6</v>
      </c>
      <c r="F352">
        <v>9</v>
      </c>
      <c r="G352">
        <v>0</v>
      </c>
      <c r="H352">
        <v>0</v>
      </c>
      <c r="I352">
        <v>0</v>
      </c>
      <c r="J352">
        <v>2014</v>
      </c>
      <c r="K352">
        <v>12</v>
      </c>
      <c r="L352">
        <v>276</v>
      </c>
      <c r="M352" t="s">
        <v>12</v>
      </c>
      <c r="N352">
        <f t="shared" si="15"/>
        <v>47.27</v>
      </c>
      <c r="O352" t="str">
        <f t="shared" si="16"/>
        <v>December</v>
      </c>
      <c r="P352" t="str">
        <f t="shared" si="17"/>
        <v>Weekday</v>
      </c>
    </row>
    <row r="353" spans="1:16" x14ac:dyDescent="0.3">
      <c r="A353" s="1">
        <v>41992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2014</v>
      </c>
      <c r="K353">
        <v>12</v>
      </c>
      <c r="L353">
        <v>276</v>
      </c>
      <c r="M353" t="s">
        <v>13</v>
      </c>
      <c r="N353">
        <f t="shared" si="15"/>
        <v>0</v>
      </c>
      <c r="O353" t="str">
        <f t="shared" si="16"/>
        <v>December</v>
      </c>
      <c r="P353" t="str">
        <f t="shared" si="17"/>
        <v>Weekday</v>
      </c>
    </row>
    <row r="354" spans="1:16" x14ac:dyDescent="0.3">
      <c r="A354" s="1">
        <v>41993</v>
      </c>
      <c r="B354">
        <v>1</v>
      </c>
      <c r="C354">
        <v>3.66</v>
      </c>
      <c r="D354">
        <v>2</v>
      </c>
      <c r="E354">
        <v>31.3</v>
      </c>
      <c r="F354">
        <v>9</v>
      </c>
      <c r="G354">
        <v>0</v>
      </c>
      <c r="H354">
        <v>0</v>
      </c>
      <c r="I354">
        <v>3</v>
      </c>
      <c r="J354">
        <v>2014</v>
      </c>
      <c r="K354">
        <v>12</v>
      </c>
      <c r="L354">
        <v>276</v>
      </c>
      <c r="M354" t="s">
        <v>14</v>
      </c>
      <c r="N354">
        <f t="shared" si="15"/>
        <v>49.96</v>
      </c>
      <c r="O354" t="str">
        <f t="shared" si="16"/>
        <v>December</v>
      </c>
      <c r="P354" t="str">
        <f t="shared" si="17"/>
        <v>Weekend</v>
      </c>
    </row>
    <row r="355" spans="1:16" x14ac:dyDescent="0.3">
      <c r="A355" s="1">
        <v>41994</v>
      </c>
      <c r="B355">
        <v>4.33</v>
      </c>
      <c r="C355">
        <v>4.33</v>
      </c>
      <c r="D355">
        <v>2</v>
      </c>
      <c r="E355">
        <v>52.5</v>
      </c>
      <c r="F355">
        <v>6</v>
      </c>
      <c r="G355">
        <v>0</v>
      </c>
      <c r="H355">
        <v>10</v>
      </c>
      <c r="I355">
        <v>1</v>
      </c>
      <c r="J355">
        <v>2014</v>
      </c>
      <c r="K355">
        <v>12</v>
      </c>
      <c r="L355">
        <v>276</v>
      </c>
      <c r="M355" t="s">
        <v>15</v>
      </c>
      <c r="N355">
        <f t="shared" si="15"/>
        <v>80.16</v>
      </c>
      <c r="O355" t="str">
        <f t="shared" si="16"/>
        <v>December</v>
      </c>
      <c r="P355" t="str">
        <f t="shared" si="17"/>
        <v>Weekend</v>
      </c>
    </row>
    <row r="356" spans="1:16" x14ac:dyDescent="0.3">
      <c r="A356" s="1">
        <v>41995</v>
      </c>
      <c r="B356">
        <v>3.34</v>
      </c>
      <c r="C356">
        <v>4.68</v>
      </c>
      <c r="D356">
        <v>2.2839999999999998</v>
      </c>
      <c r="E356">
        <v>19.600000000000001</v>
      </c>
      <c r="F356">
        <v>43</v>
      </c>
      <c r="G356">
        <v>1</v>
      </c>
      <c r="H356">
        <v>13</v>
      </c>
      <c r="I356">
        <v>4</v>
      </c>
      <c r="J356">
        <v>2014</v>
      </c>
      <c r="K356">
        <v>12</v>
      </c>
      <c r="L356">
        <v>276</v>
      </c>
      <c r="M356" t="s">
        <v>16</v>
      </c>
      <c r="N356">
        <f t="shared" si="15"/>
        <v>90.903999999999996</v>
      </c>
      <c r="O356" t="str">
        <f t="shared" si="16"/>
        <v>December</v>
      </c>
      <c r="P356" t="str">
        <f t="shared" si="17"/>
        <v>Weekday</v>
      </c>
    </row>
    <row r="357" spans="1:16" x14ac:dyDescent="0.3">
      <c r="A357" s="1">
        <v>41996</v>
      </c>
      <c r="B357">
        <v>10.5</v>
      </c>
      <c r="C357">
        <v>3</v>
      </c>
      <c r="D357">
        <v>4.5999999999999996</v>
      </c>
      <c r="E357">
        <v>40.4</v>
      </c>
      <c r="F357">
        <v>13</v>
      </c>
      <c r="G357">
        <v>2</v>
      </c>
      <c r="H357">
        <v>15</v>
      </c>
      <c r="I357">
        <v>0</v>
      </c>
      <c r="J357">
        <v>2014</v>
      </c>
      <c r="K357">
        <v>12</v>
      </c>
      <c r="L357">
        <v>276</v>
      </c>
      <c r="M357" t="s">
        <v>17</v>
      </c>
      <c r="N357">
        <f t="shared" si="15"/>
        <v>88.5</v>
      </c>
      <c r="O357" t="str">
        <f t="shared" si="16"/>
        <v>December</v>
      </c>
      <c r="P357" t="str">
        <f t="shared" si="17"/>
        <v>Weekday</v>
      </c>
    </row>
    <row r="358" spans="1:16" x14ac:dyDescent="0.3">
      <c r="A358" s="1">
        <v>41997</v>
      </c>
      <c r="B358">
        <v>1</v>
      </c>
      <c r="C358">
        <v>3</v>
      </c>
      <c r="D358">
        <v>1</v>
      </c>
      <c r="E358">
        <v>41.6</v>
      </c>
      <c r="F358">
        <v>16</v>
      </c>
      <c r="G358">
        <v>0</v>
      </c>
      <c r="H358">
        <v>2</v>
      </c>
      <c r="I358">
        <v>2</v>
      </c>
      <c r="J358">
        <v>2014</v>
      </c>
      <c r="K358">
        <v>12</v>
      </c>
      <c r="L358">
        <v>276</v>
      </c>
      <c r="M358" t="s">
        <v>18</v>
      </c>
      <c r="N358">
        <f t="shared" si="15"/>
        <v>66.599999999999994</v>
      </c>
      <c r="O358" t="str">
        <f t="shared" si="16"/>
        <v>December</v>
      </c>
      <c r="P358" t="str">
        <f t="shared" si="17"/>
        <v>Weekday</v>
      </c>
    </row>
    <row r="359" spans="1:16" x14ac:dyDescent="0.3">
      <c r="A359" s="1">
        <v>41998</v>
      </c>
      <c r="B359">
        <v>8.34</v>
      </c>
      <c r="C359">
        <v>2</v>
      </c>
      <c r="D359">
        <v>9.5</v>
      </c>
      <c r="E359">
        <v>31</v>
      </c>
      <c r="F359">
        <v>16</v>
      </c>
      <c r="G359">
        <v>0</v>
      </c>
      <c r="H359">
        <v>2</v>
      </c>
      <c r="I359">
        <v>2</v>
      </c>
      <c r="J359">
        <v>2014</v>
      </c>
      <c r="K359">
        <v>12</v>
      </c>
      <c r="L359">
        <v>276</v>
      </c>
      <c r="M359" t="s">
        <v>12</v>
      </c>
      <c r="N359">
        <f t="shared" si="15"/>
        <v>70.84</v>
      </c>
      <c r="O359" t="str">
        <f t="shared" si="16"/>
        <v>December</v>
      </c>
      <c r="P359" t="str">
        <f t="shared" si="17"/>
        <v>Weekday</v>
      </c>
    </row>
    <row r="360" spans="1:16" x14ac:dyDescent="0.3">
      <c r="A360" s="1">
        <v>41999</v>
      </c>
      <c r="B360">
        <v>3.33</v>
      </c>
      <c r="C360">
        <v>4.01</v>
      </c>
      <c r="D360">
        <v>3</v>
      </c>
      <c r="E360">
        <v>30.7</v>
      </c>
      <c r="F360">
        <v>25</v>
      </c>
      <c r="G360">
        <v>1</v>
      </c>
      <c r="H360">
        <v>0</v>
      </c>
      <c r="I360">
        <v>0</v>
      </c>
      <c r="J360">
        <v>2014</v>
      </c>
      <c r="K360">
        <v>12</v>
      </c>
      <c r="L360">
        <v>276</v>
      </c>
      <c r="M360" t="s">
        <v>13</v>
      </c>
      <c r="N360">
        <f t="shared" si="15"/>
        <v>67.039999999999992</v>
      </c>
      <c r="O360" t="str">
        <f t="shared" si="16"/>
        <v>December</v>
      </c>
      <c r="P360" t="str">
        <f t="shared" si="17"/>
        <v>Weekday</v>
      </c>
    </row>
    <row r="361" spans="1:16" x14ac:dyDescent="0.3">
      <c r="A361" s="1">
        <v>42000</v>
      </c>
      <c r="B361">
        <v>7.33</v>
      </c>
      <c r="C361">
        <v>5.34</v>
      </c>
      <c r="D361">
        <v>4.4000000000000004</v>
      </c>
      <c r="E361">
        <v>39</v>
      </c>
      <c r="F361">
        <v>26</v>
      </c>
      <c r="G361">
        <v>0</v>
      </c>
      <c r="H361">
        <v>9</v>
      </c>
      <c r="I361">
        <v>3</v>
      </c>
      <c r="J361">
        <v>2014</v>
      </c>
      <c r="K361">
        <v>12</v>
      </c>
      <c r="L361">
        <v>276</v>
      </c>
      <c r="M361" t="s">
        <v>14</v>
      </c>
      <c r="N361">
        <f t="shared" si="15"/>
        <v>94.07</v>
      </c>
      <c r="O361" t="str">
        <f t="shared" si="16"/>
        <v>December</v>
      </c>
      <c r="P361" t="str">
        <f t="shared" si="17"/>
        <v>Weekend</v>
      </c>
    </row>
    <row r="362" spans="1:16" x14ac:dyDescent="0.3">
      <c r="A362" s="1">
        <v>42001</v>
      </c>
      <c r="B362">
        <v>2.34</v>
      </c>
      <c r="C362">
        <v>10.76</v>
      </c>
      <c r="D362">
        <v>3</v>
      </c>
      <c r="E362">
        <v>80.400000000000006</v>
      </c>
      <c r="F362">
        <v>15</v>
      </c>
      <c r="G362">
        <v>0</v>
      </c>
      <c r="H362">
        <v>13</v>
      </c>
      <c r="I362">
        <v>1</v>
      </c>
      <c r="J362">
        <v>2014</v>
      </c>
      <c r="K362">
        <v>12</v>
      </c>
      <c r="L362">
        <v>276</v>
      </c>
      <c r="M362" t="s">
        <v>15</v>
      </c>
      <c r="N362">
        <f t="shared" si="15"/>
        <v>125.5</v>
      </c>
      <c r="O362" t="str">
        <f t="shared" si="16"/>
        <v>December</v>
      </c>
      <c r="P362" t="str">
        <f t="shared" si="17"/>
        <v>Weekend</v>
      </c>
    </row>
    <row r="363" spans="1:16" x14ac:dyDescent="0.3">
      <c r="A363" s="1">
        <v>42002</v>
      </c>
      <c r="B363">
        <v>2.33</v>
      </c>
      <c r="C363">
        <v>3.66</v>
      </c>
      <c r="D363">
        <v>4</v>
      </c>
      <c r="E363">
        <v>40</v>
      </c>
      <c r="F363">
        <v>5</v>
      </c>
      <c r="G363">
        <v>1</v>
      </c>
      <c r="H363">
        <v>2</v>
      </c>
      <c r="I363">
        <v>0</v>
      </c>
      <c r="J363">
        <v>2014</v>
      </c>
      <c r="K363">
        <v>12</v>
      </c>
      <c r="L363">
        <v>276</v>
      </c>
      <c r="M363" t="s">
        <v>16</v>
      </c>
      <c r="N363">
        <f t="shared" si="15"/>
        <v>57.99</v>
      </c>
      <c r="O363" t="str">
        <f t="shared" si="16"/>
        <v>December</v>
      </c>
      <c r="P363" t="str">
        <f t="shared" si="17"/>
        <v>Weekday</v>
      </c>
    </row>
    <row r="364" spans="1:16" x14ac:dyDescent="0.3">
      <c r="A364" s="1">
        <v>42003</v>
      </c>
      <c r="B364">
        <v>9</v>
      </c>
      <c r="C364">
        <v>5.63</v>
      </c>
      <c r="D364">
        <v>3.8</v>
      </c>
      <c r="E364">
        <v>51</v>
      </c>
      <c r="F364">
        <v>18</v>
      </c>
      <c r="G364">
        <v>0</v>
      </c>
      <c r="H364">
        <v>5</v>
      </c>
      <c r="I364">
        <v>2</v>
      </c>
      <c r="J364">
        <v>2014</v>
      </c>
      <c r="K364">
        <v>12</v>
      </c>
      <c r="L364">
        <v>276</v>
      </c>
      <c r="M364" t="s">
        <v>17</v>
      </c>
      <c r="N364">
        <f t="shared" si="15"/>
        <v>94.43</v>
      </c>
      <c r="O364" t="str">
        <f t="shared" si="16"/>
        <v>December</v>
      </c>
      <c r="P364" t="str">
        <f t="shared" si="17"/>
        <v>Weekday</v>
      </c>
    </row>
    <row r="365" spans="1:16" x14ac:dyDescent="0.3">
      <c r="A365" s="1">
        <v>42004</v>
      </c>
      <c r="B365">
        <v>5.67</v>
      </c>
      <c r="C365">
        <v>6.33</v>
      </c>
      <c r="D365">
        <v>2.5</v>
      </c>
      <c r="E365">
        <v>41.08</v>
      </c>
      <c r="F365">
        <v>14</v>
      </c>
      <c r="G365">
        <v>3</v>
      </c>
      <c r="H365">
        <v>10</v>
      </c>
      <c r="I365">
        <v>1</v>
      </c>
      <c r="J365">
        <v>2014</v>
      </c>
      <c r="K365">
        <v>12</v>
      </c>
      <c r="L365">
        <v>276</v>
      </c>
      <c r="M365" t="s">
        <v>18</v>
      </c>
      <c r="N365">
        <f t="shared" si="15"/>
        <v>83.58</v>
      </c>
      <c r="O365" t="str">
        <f t="shared" si="16"/>
        <v>December</v>
      </c>
      <c r="P365" t="str">
        <f t="shared" si="17"/>
        <v>Weekday</v>
      </c>
    </row>
    <row r="366" spans="1:16" x14ac:dyDescent="0.3">
      <c r="A366" s="1">
        <v>42005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2015</v>
      </c>
      <c r="K366">
        <v>1</v>
      </c>
      <c r="L366">
        <v>276</v>
      </c>
      <c r="M366" t="s">
        <v>12</v>
      </c>
      <c r="N366">
        <f t="shared" si="15"/>
        <v>0</v>
      </c>
      <c r="O366" t="str">
        <f t="shared" si="16"/>
        <v>January</v>
      </c>
      <c r="P366" t="str">
        <f t="shared" si="17"/>
        <v>Weekday</v>
      </c>
    </row>
    <row r="367" spans="1:16" x14ac:dyDescent="0.3">
      <c r="A367" s="1">
        <v>42006</v>
      </c>
      <c r="B367">
        <v>6</v>
      </c>
      <c r="C367">
        <v>5.33</v>
      </c>
      <c r="D367">
        <v>4.9000000000000004</v>
      </c>
      <c r="E367">
        <v>50.8</v>
      </c>
      <c r="F367">
        <v>13</v>
      </c>
      <c r="G367">
        <v>0</v>
      </c>
      <c r="H367">
        <v>6.25</v>
      </c>
      <c r="I367">
        <v>2</v>
      </c>
      <c r="J367">
        <v>2015</v>
      </c>
      <c r="K367">
        <v>1</v>
      </c>
      <c r="L367">
        <v>276</v>
      </c>
      <c r="M367" t="s">
        <v>13</v>
      </c>
      <c r="N367">
        <f t="shared" si="15"/>
        <v>88.28</v>
      </c>
      <c r="O367" t="str">
        <f t="shared" si="16"/>
        <v>January</v>
      </c>
      <c r="P367" t="str">
        <f t="shared" si="17"/>
        <v>Weekday</v>
      </c>
    </row>
    <row r="368" spans="1:16" x14ac:dyDescent="0.3">
      <c r="A368" s="1">
        <v>42007</v>
      </c>
      <c r="B368">
        <v>9</v>
      </c>
      <c r="C368">
        <v>4.67</v>
      </c>
      <c r="D368">
        <v>6</v>
      </c>
      <c r="E368">
        <v>57.24</v>
      </c>
      <c r="F368">
        <v>11</v>
      </c>
      <c r="G368">
        <v>3</v>
      </c>
      <c r="H368">
        <v>0</v>
      </c>
      <c r="I368">
        <v>4</v>
      </c>
      <c r="J368">
        <v>2015</v>
      </c>
      <c r="K368">
        <v>1</v>
      </c>
      <c r="L368">
        <v>276</v>
      </c>
      <c r="M368" t="s">
        <v>14</v>
      </c>
      <c r="N368">
        <f t="shared" si="15"/>
        <v>94.91</v>
      </c>
      <c r="O368" t="str">
        <f t="shared" si="16"/>
        <v>January</v>
      </c>
      <c r="P368" t="str">
        <f t="shared" si="17"/>
        <v>Weekend</v>
      </c>
    </row>
    <row r="369" spans="1:16" x14ac:dyDescent="0.3">
      <c r="A369" s="1">
        <v>42008</v>
      </c>
      <c r="B369">
        <v>4.68</v>
      </c>
      <c r="C369">
        <v>8.92</v>
      </c>
      <c r="D369">
        <v>3.5</v>
      </c>
      <c r="E369">
        <v>60.1</v>
      </c>
      <c r="F369">
        <v>4</v>
      </c>
      <c r="G369">
        <v>0</v>
      </c>
      <c r="H369">
        <v>2</v>
      </c>
      <c r="I369">
        <v>1</v>
      </c>
      <c r="J369">
        <v>2015</v>
      </c>
      <c r="K369">
        <v>1</v>
      </c>
      <c r="L369">
        <v>276</v>
      </c>
      <c r="M369" t="s">
        <v>15</v>
      </c>
      <c r="N369">
        <f t="shared" si="15"/>
        <v>84.2</v>
      </c>
      <c r="O369" t="str">
        <f t="shared" si="16"/>
        <v>January</v>
      </c>
      <c r="P369" t="str">
        <f t="shared" si="17"/>
        <v>Weekend</v>
      </c>
    </row>
    <row r="370" spans="1:16" x14ac:dyDescent="0.3">
      <c r="A370" s="1">
        <v>42009</v>
      </c>
      <c r="B370">
        <v>2.34</v>
      </c>
      <c r="C370">
        <v>3.32</v>
      </c>
      <c r="D370">
        <v>1</v>
      </c>
      <c r="E370">
        <v>33.6</v>
      </c>
      <c r="F370">
        <v>14</v>
      </c>
      <c r="G370">
        <v>0</v>
      </c>
      <c r="H370">
        <v>16</v>
      </c>
      <c r="I370">
        <v>3</v>
      </c>
      <c r="J370">
        <v>2015</v>
      </c>
      <c r="K370">
        <v>1</v>
      </c>
      <c r="L370">
        <v>276</v>
      </c>
      <c r="M370" t="s">
        <v>16</v>
      </c>
      <c r="N370">
        <f t="shared" si="15"/>
        <v>73.260000000000005</v>
      </c>
      <c r="O370" t="str">
        <f t="shared" si="16"/>
        <v>January</v>
      </c>
      <c r="P370" t="str">
        <f t="shared" si="17"/>
        <v>Weekday</v>
      </c>
    </row>
    <row r="371" spans="1:16" x14ac:dyDescent="0.3">
      <c r="A371" s="1">
        <v>42010</v>
      </c>
      <c r="B371">
        <v>3</v>
      </c>
      <c r="C371">
        <v>9.3699999999999992</v>
      </c>
      <c r="D371">
        <v>7.3</v>
      </c>
      <c r="E371">
        <v>42</v>
      </c>
      <c r="F371">
        <v>13</v>
      </c>
      <c r="G371">
        <v>0</v>
      </c>
      <c r="H371">
        <v>3</v>
      </c>
      <c r="I371">
        <v>0</v>
      </c>
      <c r="J371">
        <v>2015</v>
      </c>
      <c r="K371">
        <v>1</v>
      </c>
      <c r="L371">
        <v>276</v>
      </c>
      <c r="M371" t="s">
        <v>17</v>
      </c>
      <c r="N371">
        <f t="shared" si="15"/>
        <v>77.67</v>
      </c>
      <c r="O371" t="str">
        <f t="shared" si="16"/>
        <v>January</v>
      </c>
      <c r="P371" t="str">
        <f t="shared" si="17"/>
        <v>Weekday</v>
      </c>
    </row>
    <row r="372" spans="1:16" x14ac:dyDescent="0.3">
      <c r="A372" s="1">
        <v>42011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2015</v>
      </c>
      <c r="K372">
        <v>1</v>
      </c>
      <c r="L372">
        <v>276</v>
      </c>
      <c r="M372" t="s">
        <v>18</v>
      </c>
      <c r="N372">
        <f t="shared" si="15"/>
        <v>0</v>
      </c>
      <c r="O372" t="str">
        <f t="shared" si="16"/>
        <v>January</v>
      </c>
      <c r="P372" t="str">
        <f t="shared" si="17"/>
        <v>Weekday</v>
      </c>
    </row>
    <row r="373" spans="1:16" x14ac:dyDescent="0.3">
      <c r="A373" s="1">
        <v>42012</v>
      </c>
      <c r="B373">
        <v>2</v>
      </c>
      <c r="C373">
        <v>7.077</v>
      </c>
      <c r="D373">
        <v>1.2</v>
      </c>
      <c r="E373">
        <v>46.4</v>
      </c>
      <c r="F373">
        <v>13</v>
      </c>
      <c r="G373">
        <v>1</v>
      </c>
      <c r="H373">
        <v>1</v>
      </c>
      <c r="I373">
        <v>2</v>
      </c>
      <c r="J373">
        <v>2015</v>
      </c>
      <c r="K373">
        <v>1</v>
      </c>
      <c r="L373">
        <v>276</v>
      </c>
      <c r="M373" t="s">
        <v>12</v>
      </c>
      <c r="N373">
        <f t="shared" si="15"/>
        <v>73.676999999999992</v>
      </c>
      <c r="O373" t="str">
        <f t="shared" si="16"/>
        <v>January</v>
      </c>
      <c r="P373" t="str">
        <f t="shared" si="17"/>
        <v>Weekday</v>
      </c>
    </row>
    <row r="374" spans="1:16" x14ac:dyDescent="0.3">
      <c r="A374" s="1">
        <v>42013</v>
      </c>
      <c r="B374">
        <v>3</v>
      </c>
      <c r="C374">
        <v>4.34</v>
      </c>
      <c r="D374">
        <v>9.4</v>
      </c>
      <c r="E374">
        <v>36.200000000000003</v>
      </c>
      <c r="F374">
        <v>33</v>
      </c>
      <c r="G374">
        <v>2</v>
      </c>
      <c r="H374">
        <v>7</v>
      </c>
      <c r="I374">
        <v>2</v>
      </c>
      <c r="J374">
        <v>2015</v>
      </c>
      <c r="K374">
        <v>1</v>
      </c>
      <c r="L374">
        <v>276</v>
      </c>
      <c r="M374" t="s">
        <v>13</v>
      </c>
      <c r="N374">
        <f t="shared" si="15"/>
        <v>96.94</v>
      </c>
      <c r="O374" t="str">
        <f t="shared" si="16"/>
        <v>January</v>
      </c>
      <c r="P374" t="str">
        <f t="shared" si="17"/>
        <v>Weekday</v>
      </c>
    </row>
    <row r="375" spans="1:16" x14ac:dyDescent="0.3">
      <c r="A375" s="1">
        <v>42014</v>
      </c>
      <c r="B375">
        <v>6</v>
      </c>
      <c r="C375">
        <v>5.8639999999999999</v>
      </c>
      <c r="D375">
        <v>7</v>
      </c>
      <c r="E375">
        <v>32.6</v>
      </c>
      <c r="F375">
        <v>14</v>
      </c>
      <c r="G375">
        <v>3</v>
      </c>
      <c r="H375">
        <v>1</v>
      </c>
      <c r="I375">
        <v>1</v>
      </c>
      <c r="J375">
        <v>2015</v>
      </c>
      <c r="K375">
        <v>1</v>
      </c>
      <c r="L375">
        <v>276</v>
      </c>
      <c r="M375" t="s">
        <v>14</v>
      </c>
      <c r="N375">
        <f t="shared" si="15"/>
        <v>70.463999999999999</v>
      </c>
      <c r="O375" t="str">
        <f t="shared" si="16"/>
        <v>January</v>
      </c>
      <c r="P375" t="str">
        <f t="shared" si="17"/>
        <v>Weekend</v>
      </c>
    </row>
    <row r="376" spans="1:16" x14ac:dyDescent="0.3">
      <c r="A376" s="1">
        <v>42015</v>
      </c>
      <c r="B376">
        <v>3</v>
      </c>
      <c r="C376">
        <v>7.34</v>
      </c>
      <c r="D376">
        <v>7</v>
      </c>
      <c r="E376">
        <v>43.6</v>
      </c>
      <c r="F376">
        <v>11</v>
      </c>
      <c r="G376">
        <v>1</v>
      </c>
      <c r="H376">
        <v>11</v>
      </c>
      <c r="I376">
        <v>2</v>
      </c>
      <c r="J376">
        <v>2015</v>
      </c>
      <c r="K376">
        <v>1</v>
      </c>
      <c r="L376">
        <v>276</v>
      </c>
      <c r="M376" t="s">
        <v>15</v>
      </c>
      <c r="N376">
        <f t="shared" si="15"/>
        <v>85.94</v>
      </c>
      <c r="O376" t="str">
        <f t="shared" si="16"/>
        <v>January</v>
      </c>
      <c r="P376" t="str">
        <f t="shared" si="17"/>
        <v>Weekend</v>
      </c>
    </row>
    <row r="377" spans="1:16" x14ac:dyDescent="0.3">
      <c r="A377" s="1">
        <v>42016</v>
      </c>
      <c r="B377">
        <v>2.33</v>
      </c>
      <c r="C377">
        <v>3.34</v>
      </c>
      <c r="D377">
        <v>7.5</v>
      </c>
      <c r="E377">
        <v>36.6</v>
      </c>
      <c r="F377">
        <v>18</v>
      </c>
      <c r="G377">
        <v>0</v>
      </c>
      <c r="H377">
        <v>6</v>
      </c>
      <c r="I377">
        <v>1</v>
      </c>
      <c r="J377">
        <v>2015</v>
      </c>
      <c r="K377">
        <v>1</v>
      </c>
      <c r="L377">
        <v>276</v>
      </c>
      <c r="M377" t="s">
        <v>16</v>
      </c>
      <c r="N377">
        <f t="shared" si="15"/>
        <v>74.77000000000001</v>
      </c>
      <c r="O377" t="str">
        <f t="shared" si="16"/>
        <v>January</v>
      </c>
      <c r="P377" t="str">
        <f t="shared" si="17"/>
        <v>Weekday</v>
      </c>
    </row>
    <row r="378" spans="1:16" x14ac:dyDescent="0.3">
      <c r="A378" s="1">
        <v>42017</v>
      </c>
      <c r="B378">
        <v>10.34</v>
      </c>
      <c r="C378">
        <v>4.66</v>
      </c>
      <c r="D378">
        <v>10</v>
      </c>
      <c r="E378">
        <v>34</v>
      </c>
      <c r="F378">
        <v>14</v>
      </c>
      <c r="G378">
        <v>2</v>
      </c>
      <c r="H378">
        <v>4</v>
      </c>
      <c r="I378">
        <v>2</v>
      </c>
      <c r="J378">
        <v>2015</v>
      </c>
      <c r="K378">
        <v>1</v>
      </c>
      <c r="L378">
        <v>276</v>
      </c>
      <c r="M378" t="s">
        <v>17</v>
      </c>
      <c r="N378">
        <f t="shared" si="15"/>
        <v>81</v>
      </c>
      <c r="O378" t="str">
        <f t="shared" si="16"/>
        <v>January</v>
      </c>
      <c r="P378" t="str">
        <f t="shared" si="17"/>
        <v>Weekday</v>
      </c>
    </row>
    <row r="379" spans="1:16" x14ac:dyDescent="0.3">
      <c r="A379" s="1">
        <v>42018</v>
      </c>
      <c r="B379">
        <v>3</v>
      </c>
      <c r="C379">
        <v>3.34</v>
      </c>
      <c r="D379">
        <v>5</v>
      </c>
      <c r="E379">
        <v>23</v>
      </c>
      <c r="F379">
        <v>20</v>
      </c>
      <c r="G379">
        <v>0</v>
      </c>
      <c r="H379">
        <v>1</v>
      </c>
      <c r="I379">
        <v>0</v>
      </c>
      <c r="J379">
        <v>2015</v>
      </c>
      <c r="K379">
        <v>1</v>
      </c>
      <c r="L379">
        <v>276</v>
      </c>
      <c r="M379" t="s">
        <v>18</v>
      </c>
      <c r="N379">
        <f t="shared" si="15"/>
        <v>55.34</v>
      </c>
      <c r="O379" t="str">
        <f t="shared" si="16"/>
        <v>January</v>
      </c>
      <c r="P379" t="str">
        <f t="shared" si="17"/>
        <v>Weekday</v>
      </c>
    </row>
    <row r="380" spans="1:16" x14ac:dyDescent="0.3">
      <c r="A380" s="1">
        <v>42019</v>
      </c>
      <c r="B380">
        <v>6.67</v>
      </c>
      <c r="C380">
        <v>3</v>
      </c>
      <c r="D380">
        <v>1</v>
      </c>
      <c r="E380">
        <v>55.25</v>
      </c>
      <c r="F380">
        <v>13</v>
      </c>
      <c r="G380">
        <v>0</v>
      </c>
      <c r="H380">
        <v>15</v>
      </c>
      <c r="I380">
        <v>2</v>
      </c>
      <c r="J380">
        <v>2015</v>
      </c>
      <c r="K380">
        <v>1</v>
      </c>
      <c r="L380">
        <v>276</v>
      </c>
      <c r="M380" t="s">
        <v>12</v>
      </c>
      <c r="N380">
        <f t="shared" si="15"/>
        <v>95.92</v>
      </c>
      <c r="O380" t="str">
        <f t="shared" si="16"/>
        <v>January</v>
      </c>
      <c r="P380" t="str">
        <f t="shared" si="17"/>
        <v>Weekday</v>
      </c>
    </row>
    <row r="381" spans="1:16" x14ac:dyDescent="0.3">
      <c r="A381" s="1">
        <v>42020</v>
      </c>
      <c r="B381">
        <v>6.33</v>
      </c>
      <c r="C381">
        <v>5.99</v>
      </c>
      <c r="D381">
        <v>3.8</v>
      </c>
      <c r="E381">
        <v>43</v>
      </c>
      <c r="F381">
        <v>16</v>
      </c>
      <c r="G381">
        <v>2</v>
      </c>
      <c r="H381">
        <v>6</v>
      </c>
      <c r="I381">
        <v>2</v>
      </c>
      <c r="J381">
        <v>2015</v>
      </c>
      <c r="K381">
        <v>1</v>
      </c>
      <c r="L381">
        <v>276</v>
      </c>
      <c r="M381" t="s">
        <v>13</v>
      </c>
      <c r="N381">
        <f t="shared" si="15"/>
        <v>85.12</v>
      </c>
      <c r="O381" t="str">
        <f t="shared" si="16"/>
        <v>January</v>
      </c>
      <c r="P381" t="str">
        <f t="shared" si="17"/>
        <v>Weekday</v>
      </c>
    </row>
    <row r="382" spans="1:16" x14ac:dyDescent="0.3">
      <c r="A382" s="1">
        <v>42021</v>
      </c>
      <c r="B382">
        <v>6.68</v>
      </c>
      <c r="C382">
        <v>5.68</v>
      </c>
      <c r="D382">
        <v>7</v>
      </c>
      <c r="E382">
        <v>19.2</v>
      </c>
      <c r="F382">
        <v>18</v>
      </c>
      <c r="G382">
        <v>0</v>
      </c>
      <c r="H382">
        <v>0</v>
      </c>
      <c r="I382">
        <v>0</v>
      </c>
      <c r="J382">
        <v>2015</v>
      </c>
      <c r="K382">
        <v>1</v>
      </c>
      <c r="L382">
        <v>276</v>
      </c>
      <c r="M382" t="s">
        <v>14</v>
      </c>
      <c r="N382">
        <f t="shared" si="15"/>
        <v>56.56</v>
      </c>
      <c r="O382" t="str">
        <f t="shared" si="16"/>
        <v>January</v>
      </c>
      <c r="P382" t="str">
        <f t="shared" si="17"/>
        <v>Weekend</v>
      </c>
    </row>
    <row r="383" spans="1:16" x14ac:dyDescent="0.3">
      <c r="A383" s="1">
        <v>42022</v>
      </c>
      <c r="B383">
        <v>4</v>
      </c>
      <c r="C383">
        <v>4.34</v>
      </c>
      <c r="D383">
        <v>4.5</v>
      </c>
      <c r="E383">
        <v>20.399999999999999</v>
      </c>
      <c r="F383">
        <v>16</v>
      </c>
      <c r="G383">
        <v>0</v>
      </c>
      <c r="H383">
        <v>0</v>
      </c>
      <c r="I383">
        <v>2</v>
      </c>
      <c r="J383">
        <v>2015</v>
      </c>
      <c r="K383">
        <v>1</v>
      </c>
      <c r="L383">
        <v>276</v>
      </c>
      <c r="M383" t="s">
        <v>15</v>
      </c>
      <c r="N383">
        <f t="shared" si="15"/>
        <v>51.239999999999995</v>
      </c>
      <c r="O383" t="str">
        <f t="shared" si="16"/>
        <v>January</v>
      </c>
      <c r="P383" t="str">
        <f t="shared" si="17"/>
        <v>Weekend</v>
      </c>
    </row>
    <row r="384" spans="1:16" x14ac:dyDescent="0.3">
      <c r="A384" s="1">
        <v>42023</v>
      </c>
      <c r="B384">
        <v>5.34</v>
      </c>
      <c r="C384">
        <v>2.68</v>
      </c>
      <c r="D384">
        <v>1.1000000000000001</v>
      </c>
      <c r="E384">
        <v>32</v>
      </c>
      <c r="F384">
        <v>12</v>
      </c>
      <c r="G384">
        <v>0</v>
      </c>
      <c r="H384">
        <v>20</v>
      </c>
      <c r="I384">
        <v>2</v>
      </c>
      <c r="J384">
        <v>2015</v>
      </c>
      <c r="K384">
        <v>1</v>
      </c>
      <c r="L384">
        <v>276</v>
      </c>
      <c r="M384" t="s">
        <v>16</v>
      </c>
      <c r="N384">
        <f t="shared" si="15"/>
        <v>75.12</v>
      </c>
      <c r="O384" t="str">
        <f t="shared" si="16"/>
        <v>January</v>
      </c>
      <c r="P384" t="str">
        <f t="shared" si="17"/>
        <v>Weekday</v>
      </c>
    </row>
    <row r="385" spans="1:16" x14ac:dyDescent="0.3">
      <c r="A385" s="1">
        <v>42024</v>
      </c>
      <c r="B385">
        <v>4.34</v>
      </c>
      <c r="C385">
        <v>0.33</v>
      </c>
      <c r="D385">
        <v>6</v>
      </c>
      <c r="E385">
        <v>38</v>
      </c>
      <c r="F385">
        <v>24</v>
      </c>
      <c r="G385">
        <v>1</v>
      </c>
      <c r="H385">
        <v>4</v>
      </c>
      <c r="I385">
        <v>1</v>
      </c>
      <c r="J385">
        <v>2015</v>
      </c>
      <c r="K385">
        <v>1</v>
      </c>
      <c r="L385">
        <v>276</v>
      </c>
      <c r="M385" t="s">
        <v>17</v>
      </c>
      <c r="N385">
        <f t="shared" si="15"/>
        <v>78.67</v>
      </c>
      <c r="O385" t="str">
        <f t="shared" si="16"/>
        <v>January</v>
      </c>
      <c r="P385" t="str">
        <f t="shared" si="17"/>
        <v>Weekday</v>
      </c>
    </row>
    <row r="386" spans="1:16" x14ac:dyDescent="0.3">
      <c r="A386" s="1">
        <v>42025</v>
      </c>
      <c r="B386">
        <v>4</v>
      </c>
      <c r="C386">
        <v>1</v>
      </c>
      <c r="D386">
        <v>2</v>
      </c>
      <c r="E386">
        <v>37.450000000000003</v>
      </c>
      <c r="F386">
        <v>17</v>
      </c>
      <c r="G386">
        <v>1</v>
      </c>
      <c r="H386">
        <v>0</v>
      </c>
      <c r="I386">
        <v>1</v>
      </c>
      <c r="J386">
        <v>2015</v>
      </c>
      <c r="K386">
        <v>1</v>
      </c>
      <c r="L386">
        <v>276</v>
      </c>
      <c r="M386" t="s">
        <v>18</v>
      </c>
      <c r="N386">
        <f t="shared" si="15"/>
        <v>63.45</v>
      </c>
      <c r="O386" t="str">
        <f t="shared" si="16"/>
        <v>January</v>
      </c>
      <c r="P386" t="str">
        <f t="shared" si="17"/>
        <v>Weekday</v>
      </c>
    </row>
    <row r="387" spans="1:16" x14ac:dyDescent="0.3">
      <c r="A387" s="1">
        <v>42026</v>
      </c>
      <c r="B387">
        <v>4</v>
      </c>
      <c r="C387">
        <v>1.34</v>
      </c>
      <c r="D387">
        <v>4</v>
      </c>
      <c r="E387">
        <v>21.4</v>
      </c>
      <c r="F387">
        <v>19</v>
      </c>
      <c r="G387">
        <v>0</v>
      </c>
      <c r="H387">
        <v>0</v>
      </c>
      <c r="I387">
        <v>1</v>
      </c>
      <c r="J387">
        <v>2015</v>
      </c>
      <c r="K387">
        <v>1</v>
      </c>
      <c r="L387">
        <v>276</v>
      </c>
      <c r="M387" t="s">
        <v>12</v>
      </c>
      <c r="N387">
        <f t="shared" ref="N387:N450" si="18">SUM(B387:I387)</f>
        <v>50.739999999999995</v>
      </c>
      <c r="O387" t="str">
        <f t="shared" ref="O387:O450" si="19">TEXT(A387,"mmmm")</f>
        <v>January</v>
      </c>
      <c r="P387" t="str">
        <f t="shared" ref="P387:P450" si="20">IF(OR(M387="Saturday",M387="Sunday"),"Weekend","Weekday")</f>
        <v>Weekday</v>
      </c>
    </row>
    <row r="388" spans="1:16" x14ac:dyDescent="0.3">
      <c r="A388" s="1">
        <v>42027</v>
      </c>
      <c r="B388">
        <v>3.67</v>
      </c>
      <c r="C388">
        <v>4.7279999999999998</v>
      </c>
      <c r="D388">
        <v>8</v>
      </c>
      <c r="E388">
        <v>30</v>
      </c>
      <c r="F388">
        <v>14</v>
      </c>
      <c r="G388">
        <v>0</v>
      </c>
      <c r="H388">
        <v>7</v>
      </c>
      <c r="I388">
        <v>2</v>
      </c>
      <c r="J388">
        <v>2015</v>
      </c>
      <c r="K388">
        <v>1</v>
      </c>
      <c r="L388">
        <v>276</v>
      </c>
      <c r="M388" t="s">
        <v>13</v>
      </c>
      <c r="N388">
        <f t="shared" si="18"/>
        <v>69.397999999999996</v>
      </c>
      <c r="O388" t="str">
        <f t="shared" si="19"/>
        <v>January</v>
      </c>
      <c r="P388" t="str">
        <f t="shared" si="20"/>
        <v>Weekday</v>
      </c>
    </row>
    <row r="389" spans="1:16" x14ac:dyDescent="0.3">
      <c r="A389" s="1">
        <v>42028</v>
      </c>
      <c r="B389">
        <v>4.34</v>
      </c>
      <c r="C389">
        <v>3.33</v>
      </c>
      <c r="D389">
        <v>9.1999999999999993</v>
      </c>
      <c r="E389">
        <v>49.7</v>
      </c>
      <c r="F389">
        <v>31</v>
      </c>
      <c r="G389">
        <v>0</v>
      </c>
      <c r="H389">
        <v>22</v>
      </c>
      <c r="I389">
        <v>1</v>
      </c>
      <c r="J389">
        <v>2015</v>
      </c>
      <c r="K389">
        <v>1</v>
      </c>
      <c r="L389">
        <v>276</v>
      </c>
      <c r="M389" t="s">
        <v>14</v>
      </c>
      <c r="N389">
        <f t="shared" si="18"/>
        <v>120.57</v>
      </c>
      <c r="O389" t="str">
        <f t="shared" si="19"/>
        <v>January</v>
      </c>
      <c r="P389" t="str">
        <f t="shared" si="20"/>
        <v>Weekend</v>
      </c>
    </row>
    <row r="390" spans="1:16" x14ac:dyDescent="0.3">
      <c r="A390" s="1">
        <v>42029</v>
      </c>
      <c r="B390">
        <v>4</v>
      </c>
      <c r="C390">
        <v>1.1299999999999999</v>
      </c>
      <c r="D390">
        <v>1.9</v>
      </c>
      <c r="E390">
        <v>38</v>
      </c>
      <c r="F390">
        <v>11</v>
      </c>
      <c r="G390">
        <v>1</v>
      </c>
      <c r="H390">
        <v>5</v>
      </c>
      <c r="I390">
        <v>0</v>
      </c>
      <c r="J390">
        <v>2015</v>
      </c>
      <c r="K390">
        <v>1</v>
      </c>
      <c r="L390">
        <v>276</v>
      </c>
      <c r="M390" t="s">
        <v>15</v>
      </c>
      <c r="N390">
        <f t="shared" si="18"/>
        <v>62.03</v>
      </c>
      <c r="O390" t="str">
        <f t="shared" si="19"/>
        <v>January</v>
      </c>
      <c r="P390" t="str">
        <f t="shared" si="20"/>
        <v>Weekend</v>
      </c>
    </row>
    <row r="391" spans="1:16" x14ac:dyDescent="0.3">
      <c r="A391" s="1">
        <v>42030</v>
      </c>
      <c r="B391">
        <v>8.5</v>
      </c>
      <c r="C391">
        <v>4.67</v>
      </c>
      <c r="D391">
        <v>4</v>
      </c>
      <c r="E391">
        <v>34.4</v>
      </c>
      <c r="F391">
        <v>15</v>
      </c>
      <c r="G391">
        <v>0</v>
      </c>
      <c r="H391">
        <v>13</v>
      </c>
      <c r="I391">
        <v>0</v>
      </c>
      <c r="J391">
        <v>2015</v>
      </c>
      <c r="K391">
        <v>1</v>
      </c>
      <c r="L391">
        <v>276</v>
      </c>
      <c r="M391" t="s">
        <v>16</v>
      </c>
      <c r="N391">
        <f t="shared" si="18"/>
        <v>79.569999999999993</v>
      </c>
      <c r="O391" t="str">
        <f t="shared" si="19"/>
        <v>January</v>
      </c>
      <c r="P391" t="str">
        <f t="shared" si="20"/>
        <v>Weekday</v>
      </c>
    </row>
    <row r="392" spans="1:16" x14ac:dyDescent="0.3">
      <c r="A392" s="1">
        <v>42031</v>
      </c>
      <c r="B392">
        <v>2.67</v>
      </c>
      <c r="C392">
        <v>6.33</v>
      </c>
      <c r="D392">
        <v>1</v>
      </c>
      <c r="E392">
        <v>20</v>
      </c>
      <c r="F392">
        <v>14</v>
      </c>
      <c r="G392">
        <v>0</v>
      </c>
      <c r="H392">
        <v>0</v>
      </c>
      <c r="I392">
        <v>0</v>
      </c>
      <c r="J392">
        <v>2015</v>
      </c>
      <c r="K392">
        <v>1</v>
      </c>
      <c r="L392">
        <v>276</v>
      </c>
      <c r="M392" t="s">
        <v>17</v>
      </c>
      <c r="N392">
        <f t="shared" si="18"/>
        <v>44</v>
      </c>
      <c r="O392" t="str">
        <f t="shared" si="19"/>
        <v>January</v>
      </c>
      <c r="P392" t="str">
        <f t="shared" si="20"/>
        <v>Weekday</v>
      </c>
    </row>
    <row r="393" spans="1:16" x14ac:dyDescent="0.3">
      <c r="A393" s="1">
        <v>42032</v>
      </c>
      <c r="B393">
        <v>3</v>
      </c>
      <c r="C393">
        <v>5.34</v>
      </c>
      <c r="D393">
        <v>3</v>
      </c>
      <c r="E393">
        <v>32</v>
      </c>
      <c r="F393">
        <v>18</v>
      </c>
      <c r="G393">
        <v>3</v>
      </c>
      <c r="H393">
        <v>5</v>
      </c>
      <c r="I393">
        <v>3</v>
      </c>
      <c r="J393">
        <v>2015</v>
      </c>
      <c r="K393">
        <v>1</v>
      </c>
      <c r="L393">
        <v>276</v>
      </c>
      <c r="M393" t="s">
        <v>18</v>
      </c>
      <c r="N393">
        <f t="shared" si="18"/>
        <v>72.34</v>
      </c>
      <c r="O393" t="str">
        <f t="shared" si="19"/>
        <v>January</v>
      </c>
      <c r="P393" t="str">
        <f t="shared" si="20"/>
        <v>Weekday</v>
      </c>
    </row>
    <row r="394" spans="1:16" x14ac:dyDescent="0.3">
      <c r="A394" s="1">
        <v>42033</v>
      </c>
      <c r="B394">
        <v>4.34</v>
      </c>
      <c r="C394">
        <v>5.71</v>
      </c>
      <c r="D394">
        <v>8.6999999999999993</v>
      </c>
      <c r="E394">
        <v>24.4</v>
      </c>
      <c r="F394">
        <v>16</v>
      </c>
      <c r="G394">
        <v>3</v>
      </c>
      <c r="H394">
        <v>11</v>
      </c>
      <c r="I394">
        <v>3</v>
      </c>
      <c r="J394">
        <v>2015</v>
      </c>
      <c r="K394">
        <v>1</v>
      </c>
      <c r="L394">
        <v>276</v>
      </c>
      <c r="M394" t="s">
        <v>12</v>
      </c>
      <c r="N394">
        <f t="shared" si="18"/>
        <v>76.150000000000006</v>
      </c>
      <c r="O394" t="str">
        <f t="shared" si="19"/>
        <v>January</v>
      </c>
      <c r="P394" t="str">
        <f t="shared" si="20"/>
        <v>Weekday</v>
      </c>
    </row>
    <row r="395" spans="1:16" x14ac:dyDescent="0.3">
      <c r="A395" s="1">
        <v>42034</v>
      </c>
      <c r="B395">
        <v>1</v>
      </c>
      <c r="C395">
        <v>1.0680000000000001</v>
      </c>
      <c r="D395">
        <v>1</v>
      </c>
      <c r="E395">
        <v>20.5</v>
      </c>
      <c r="F395">
        <v>19</v>
      </c>
      <c r="G395">
        <v>1</v>
      </c>
      <c r="H395">
        <v>0</v>
      </c>
      <c r="I395">
        <v>0</v>
      </c>
      <c r="J395">
        <v>2015</v>
      </c>
      <c r="K395">
        <v>1</v>
      </c>
      <c r="L395">
        <v>276</v>
      </c>
      <c r="M395" t="s">
        <v>13</v>
      </c>
      <c r="N395">
        <f t="shared" si="18"/>
        <v>43.567999999999998</v>
      </c>
      <c r="O395" t="str">
        <f t="shared" si="19"/>
        <v>January</v>
      </c>
      <c r="P395" t="str">
        <f t="shared" si="20"/>
        <v>Weekday</v>
      </c>
    </row>
    <row r="396" spans="1:16" x14ac:dyDescent="0.3">
      <c r="A396" s="1">
        <v>42035</v>
      </c>
      <c r="B396">
        <v>8.34</v>
      </c>
      <c r="C396">
        <v>6.1120000000000001</v>
      </c>
      <c r="D396">
        <v>5</v>
      </c>
      <c r="E396">
        <v>32.4</v>
      </c>
      <c r="F396">
        <v>12</v>
      </c>
      <c r="G396">
        <v>0</v>
      </c>
      <c r="H396">
        <v>11</v>
      </c>
      <c r="I396">
        <v>2</v>
      </c>
      <c r="J396">
        <v>2015</v>
      </c>
      <c r="K396">
        <v>1</v>
      </c>
      <c r="L396">
        <v>276</v>
      </c>
      <c r="M396" t="s">
        <v>14</v>
      </c>
      <c r="N396">
        <f t="shared" si="18"/>
        <v>76.852000000000004</v>
      </c>
      <c r="O396" t="str">
        <f t="shared" si="19"/>
        <v>January</v>
      </c>
      <c r="P396" t="str">
        <f t="shared" si="20"/>
        <v>Weekend</v>
      </c>
    </row>
    <row r="397" spans="1:16" x14ac:dyDescent="0.3">
      <c r="A397" s="1">
        <v>42036</v>
      </c>
      <c r="B397">
        <v>4.34</v>
      </c>
      <c r="C397">
        <v>7.35</v>
      </c>
      <c r="D397">
        <v>7</v>
      </c>
      <c r="E397">
        <v>35.6</v>
      </c>
      <c r="F397">
        <v>7</v>
      </c>
      <c r="G397">
        <v>1</v>
      </c>
      <c r="H397">
        <v>0</v>
      </c>
      <c r="I397">
        <v>1</v>
      </c>
      <c r="J397">
        <v>2015</v>
      </c>
      <c r="K397">
        <v>2</v>
      </c>
      <c r="L397">
        <v>276</v>
      </c>
      <c r="M397" t="s">
        <v>15</v>
      </c>
      <c r="N397">
        <f t="shared" si="18"/>
        <v>63.29</v>
      </c>
      <c r="O397" t="str">
        <f t="shared" si="19"/>
        <v>February</v>
      </c>
      <c r="P397" t="str">
        <f t="shared" si="20"/>
        <v>Weekend</v>
      </c>
    </row>
    <row r="398" spans="1:16" x14ac:dyDescent="0.3">
      <c r="A398" s="1">
        <v>42037</v>
      </c>
      <c r="B398">
        <v>6</v>
      </c>
      <c r="C398">
        <v>4</v>
      </c>
      <c r="D398">
        <v>5.0999999999999996</v>
      </c>
      <c r="E398">
        <v>20.9</v>
      </c>
      <c r="F398">
        <v>14</v>
      </c>
      <c r="G398">
        <v>0</v>
      </c>
      <c r="H398">
        <v>3</v>
      </c>
      <c r="I398">
        <v>2</v>
      </c>
      <c r="J398">
        <v>2015</v>
      </c>
      <c r="K398">
        <v>2</v>
      </c>
      <c r="L398">
        <v>276</v>
      </c>
      <c r="M398" t="s">
        <v>16</v>
      </c>
      <c r="N398">
        <f t="shared" si="18"/>
        <v>55</v>
      </c>
      <c r="O398" t="str">
        <f t="shared" si="19"/>
        <v>February</v>
      </c>
      <c r="P398" t="str">
        <f t="shared" si="20"/>
        <v>Weekday</v>
      </c>
    </row>
    <row r="399" spans="1:16" x14ac:dyDescent="0.3">
      <c r="A399" s="1">
        <v>42038</v>
      </c>
      <c r="B399">
        <v>3.33</v>
      </c>
      <c r="C399">
        <v>3</v>
      </c>
      <c r="D399">
        <v>6.2</v>
      </c>
      <c r="E399">
        <v>24.2</v>
      </c>
      <c r="F399">
        <v>18</v>
      </c>
      <c r="G399">
        <v>0</v>
      </c>
      <c r="H399">
        <v>6</v>
      </c>
      <c r="I399">
        <v>5</v>
      </c>
      <c r="J399">
        <v>2015</v>
      </c>
      <c r="K399">
        <v>2</v>
      </c>
      <c r="L399">
        <v>276</v>
      </c>
      <c r="M399" t="s">
        <v>17</v>
      </c>
      <c r="N399">
        <f t="shared" si="18"/>
        <v>65.73</v>
      </c>
      <c r="O399" t="str">
        <f t="shared" si="19"/>
        <v>February</v>
      </c>
      <c r="P399" t="str">
        <f t="shared" si="20"/>
        <v>Weekday</v>
      </c>
    </row>
    <row r="400" spans="1:16" x14ac:dyDescent="0.3">
      <c r="A400" s="1">
        <v>42039</v>
      </c>
      <c r="B400">
        <v>2.34</v>
      </c>
      <c r="C400">
        <v>2.67</v>
      </c>
      <c r="D400">
        <v>2.4</v>
      </c>
      <c r="E400">
        <v>38.799999999999997</v>
      </c>
      <c r="F400">
        <v>6</v>
      </c>
      <c r="G400">
        <v>0</v>
      </c>
      <c r="H400">
        <v>12</v>
      </c>
      <c r="I400">
        <v>0</v>
      </c>
      <c r="J400">
        <v>2015</v>
      </c>
      <c r="K400">
        <v>2</v>
      </c>
      <c r="L400">
        <v>276</v>
      </c>
      <c r="M400" t="s">
        <v>18</v>
      </c>
      <c r="N400">
        <f t="shared" si="18"/>
        <v>64.209999999999994</v>
      </c>
      <c r="O400" t="str">
        <f t="shared" si="19"/>
        <v>February</v>
      </c>
      <c r="P400" t="str">
        <f t="shared" si="20"/>
        <v>Weekday</v>
      </c>
    </row>
    <row r="401" spans="1:16" x14ac:dyDescent="0.3">
      <c r="A401" s="1">
        <v>42040</v>
      </c>
      <c r="B401">
        <v>2</v>
      </c>
      <c r="C401">
        <v>5.57</v>
      </c>
      <c r="D401">
        <v>3</v>
      </c>
      <c r="E401">
        <v>24.85</v>
      </c>
      <c r="F401">
        <v>12</v>
      </c>
      <c r="G401">
        <v>0</v>
      </c>
      <c r="H401">
        <v>2</v>
      </c>
      <c r="I401">
        <v>1</v>
      </c>
      <c r="J401">
        <v>2015</v>
      </c>
      <c r="K401">
        <v>2</v>
      </c>
      <c r="L401">
        <v>276</v>
      </c>
      <c r="M401" t="s">
        <v>12</v>
      </c>
      <c r="N401">
        <f t="shared" si="18"/>
        <v>50.42</v>
      </c>
      <c r="O401" t="str">
        <f t="shared" si="19"/>
        <v>February</v>
      </c>
      <c r="P401" t="str">
        <f t="shared" si="20"/>
        <v>Weekday</v>
      </c>
    </row>
    <row r="402" spans="1:16" x14ac:dyDescent="0.3">
      <c r="A402" s="1">
        <v>42041</v>
      </c>
      <c r="B402">
        <v>3.33</v>
      </c>
      <c r="C402">
        <v>3.33</v>
      </c>
      <c r="D402">
        <v>7.3</v>
      </c>
      <c r="E402">
        <v>23</v>
      </c>
      <c r="F402">
        <v>7</v>
      </c>
      <c r="G402">
        <v>1</v>
      </c>
      <c r="H402">
        <v>13</v>
      </c>
      <c r="I402">
        <v>1</v>
      </c>
      <c r="J402">
        <v>2015</v>
      </c>
      <c r="K402">
        <v>2</v>
      </c>
      <c r="L402">
        <v>276</v>
      </c>
      <c r="M402" t="s">
        <v>13</v>
      </c>
      <c r="N402">
        <f t="shared" si="18"/>
        <v>58.96</v>
      </c>
      <c r="O402" t="str">
        <f t="shared" si="19"/>
        <v>February</v>
      </c>
      <c r="P402" t="str">
        <f t="shared" si="20"/>
        <v>Weekday</v>
      </c>
    </row>
    <row r="403" spans="1:16" x14ac:dyDescent="0.3">
      <c r="A403" s="1">
        <v>42042</v>
      </c>
      <c r="B403">
        <v>2</v>
      </c>
      <c r="C403">
        <v>5</v>
      </c>
      <c r="D403">
        <v>1.9</v>
      </c>
      <c r="E403">
        <v>33.6</v>
      </c>
      <c r="F403">
        <v>9</v>
      </c>
      <c r="G403">
        <v>0</v>
      </c>
      <c r="H403">
        <v>0</v>
      </c>
      <c r="I403">
        <v>2</v>
      </c>
      <c r="J403">
        <v>2015</v>
      </c>
      <c r="K403">
        <v>2</v>
      </c>
      <c r="L403">
        <v>276</v>
      </c>
      <c r="M403" t="s">
        <v>14</v>
      </c>
      <c r="N403">
        <f t="shared" si="18"/>
        <v>53.5</v>
      </c>
      <c r="O403" t="str">
        <f t="shared" si="19"/>
        <v>February</v>
      </c>
      <c r="P403" t="str">
        <f t="shared" si="20"/>
        <v>Weekend</v>
      </c>
    </row>
    <row r="404" spans="1:16" x14ac:dyDescent="0.3">
      <c r="A404" s="1">
        <v>42043</v>
      </c>
      <c r="B404">
        <v>1.34</v>
      </c>
      <c r="C404">
        <v>7.7590000000000003</v>
      </c>
      <c r="D404">
        <v>5.7</v>
      </c>
      <c r="E404">
        <v>29.9</v>
      </c>
      <c r="F404">
        <v>8</v>
      </c>
      <c r="G404">
        <v>0</v>
      </c>
      <c r="H404">
        <v>0</v>
      </c>
      <c r="I404">
        <v>0</v>
      </c>
      <c r="J404">
        <v>2015</v>
      </c>
      <c r="K404">
        <v>2</v>
      </c>
      <c r="L404">
        <v>276</v>
      </c>
      <c r="M404" t="s">
        <v>15</v>
      </c>
      <c r="N404">
        <f t="shared" si="18"/>
        <v>52.698999999999998</v>
      </c>
      <c r="O404" t="str">
        <f t="shared" si="19"/>
        <v>February</v>
      </c>
      <c r="P404" t="str">
        <f t="shared" si="20"/>
        <v>Weekend</v>
      </c>
    </row>
    <row r="405" spans="1:16" x14ac:dyDescent="0.3">
      <c r="A405" s="1">
        <v>42044</v>
      </c>
      <c r="B405">
        <v>3.33</v>
      </c>
      <c r="C405">
        <v>3.54</v>
      </c>
      <c r="D405">
        <v>9.6</v>
      </c>
      <c r="E405">
        <v>20.7</v>
      </c>
      <c r="F405">
        <v>8</v>
      </c>
      <c r="G405">
        <v>1</v>
      </c>
      <c r="H405">
        <v>0</v>
      </c>
      <c r="I405">
        <v>1</v>
      </c>
      <c r="J405">
        <v>2015</v>
      </c>
      <c r="K405">
        <v>2</v>
      </c>
      <c r="L405">
        <v>276</v>
      </c>
      <c r="M405" t="s">
        <v>16</v>
      </c>
      <c r="N405">
        <f t="shared" si="18"/>
        <v>47.17</v>
      </c>
      <c r="O405" t="str">
        <f t="shared" si="19"/>
        <v>February</v>
      </c>
      <c r="P405" t="str">
        <f t="shared" si="20"/>
        <v>Weekday</v>
      </c>
    </row>
    <row r="406" spans="1:16" x14ac:dyDescent="0.3">
      <c r="A406" s="1">
        <v>42045</v>
      </c>
      <c r="B406">
        <v>3.66</v>
      </c>
      <c r="C406">
        <v>8.67</v>
      </c>
      <c r="D406">
        <v>7</v>
      </c>
      <c r="E406">
        <v>33</v>
      </c>
      <c r="F406">
        <v>11</v>
      </c>
      <c r="G406">
        <v>0</v>
      </c>
      <c r="H406">
        <v>6</v>
      </c>
      <c r="I406">
        <v>3</v>
      </c>
      <c r="J406">
        <v>2015</v>
      </c>
      <c r="K406">
        <v>2</v>
      </c>
      <c r="L406">
        <v>276</v>
      </c>
      <c r="M406" t="s">
        <v>17</v>
      </c>
      <c r="N406">
        <f t="shared" si="18"/>
        <v>72.33</v>
      </c>
      <c r="O406" t="str">
        <f t="shared" si="19"/>
        <v>February</v>
      </c>
      <c r="P406" t="str">
        <f t="shared" si="20"/>
        <v>Weekday</v>
      </c>
    </row>
    <row r="407" spans="1:16" x14ac:dyDescent="0.3">
      <c r="A407" s="1">
        <v>42046</v>
      </c>
      <c r="B407">
        <v>3</v>
      </c>
      <c r="C407">
        <v>5.14</v>
      </c>
      <c r="D407">
        <v>3.6</v>
      </c>
      <c r="E407">
        <v>48.5</v>
      </c>
      <c r="F407">
        <v>16</v>
      </c>
      <c r="G407">
        <v>0</v>
      </c>
      <c r="H407">
        <v>20</v>
      </c>
      <c r="I407">
        <v>2</v>
      </c>
      <c r="J407">
        <v>2015</v>
      </c>
      <c r="K407">
        <v>2</v>
      </c>
      <c r="L407">
        <v>276</v>
      </c>
      <c r="M407" t="s">
        <v>18</v>
      </c>
      <c r="N407">
        <f t="shared" si="18"/>
        <v>98.240000000000009</v>
      </c>
      <c r="O407" t="str">
        <f t="shared" si="19"/>
        <v>February</v>
      </c>
      <c r="P407" t="str">
        <f t="shared" si="20"/>
        <v>Weekday</v>
      </c>
    </row>
    <row r="408" spans="1:16" x14ac:dyDescent="0.3">
      <c r="A408" s="1">
        <v>42047</v>
      </c>
      <c r="B408">
        <v>3</v>
      </c>
      <c r="C408">
        <v>4</v>
      </c>
      <c r="D408">
        <v>6</v>
      </c>
      <c r="E408">
        <v>23.82</v>
      </c>
      <c r="F408">
        <v>11</v>
      </c>
      <c r="G408">
        <v>1</v>
      </c>
      <c r="H408">
        <v>5</v>
      </c>
      <c r="I408">
        <v>0</v>
      </c>
      <c r="J408">
        <v>2015</v>
      </c>
      <c r="K408">
        <v>2</v>
      </c>
      <c r="L408">
        <v>276</v>
      </c>
      <c r="M408" t="s">
        <v>12</v>
      </c>
      <c r="N408">
        <f t="shared" si="18"/>
        <v>53.82</v>
      </c>
      <c r="O408" t="str">
        <f t="shared" si="19"/>
        <v>February</v>
      </c>
      <c r="P408" t="str">
        <f t="shared" si="20"/>
        <v>Weekday</v>
      </c>
    </row>
    <row r="409" spans="1:16" x14ac:dyDescent="0.3">
      <c r="A409" s="1">
        <v>42048</v>
      </c>
      <c r="B409">
        <v>6.01</v>
      </c>
      <c r="C409">
        <v>4.2300000000000004</v>
      </c>
      <c r="D409">
        <v>7</v>
      </c>
      <c r="E409">
        <v>29.6</v>
      </c>
      <c r="F409">
        <v>11</v>
      </c>
      <c r="G409">
        <v>1</v>
      </c>
      <c r="H409">
        <v>22</v>
      </c>
      <c r="I409">
        <v>1</v>
      </c>
      <c r="J409">
        <v>2015</v>
      </c>
      <c r="K409">
        <v>2</v>
      </c>
      <c r="L409">
        <v>276</v>
      </c>
      <c r="M409" t="s">
        <v>13</v>
      </c>
      <c r="N409">
        <f t="shared" si="18"/>
        <v>81.84</v>
      </c>
      <c r="O409" t="str">
        <f t="shared" si="19"/>
        <v>February</v>
      </c>
      <c r="P409" t="str">
        <f t="shared" si="20"/>
        <v>Weekday</v>
      </c>
    </row>
    <row r="410" spans="1:16" x14ac:dyDescent="0.3">
      <c r="A410" s="1">
        <v>42049</v>
      </c>
      <c r="B410">
        <v>4.33</v>
      </c>
      <c r="C410">
        <v>1.736</v>
      </c>
      <c r="D410">
        <v>6.7</v>
      </c>
      <c r="E410">
        <v>29.2</v>
      </c>
      <c r="F410">
        <v>13</v>
      </c>
      <c r="G410">
        <v>1</v>
      </c>
      <c r="H410">
        <v>5</v>
      </c>
      <c r="I410">
        <v>4</v>
      </c>
      <c r="J410">
        <v>2015</v>
      </c>
      <c r="K410">
        <v>2</v>
      </c>
      <c r="L410">
        <v>276</v>
      </c>
      <c r="M410" t="s">
        <v>14</v>
      </c>
      <c r="N410">
        <f t="shared" si="18"/>
        <v>64.966000000000008</v>
      </c>
      <c r="O410" t="str">
        <f t="shared" si="19"/>
        <v>February</v>
      </c>
      <c r="P410" t="str">
        <f t="shared" si="20"/>
        <v>Weekend</v>
      </c>
    </row>
    <row r="411" spans="1:16" x14ac:dyDescent="0.3">
      <c r="A411" s="1">
        <v>42050</v>
      </c>
      <c r="B411">
        <v>11.68</v>
      </c>
      <c r="C411">
        <v>2.33</v>
      </c>
      <c r="D411">
        <v>4.3</v>
      </c>
      <c r="E411">
        <v>38</v>
      </c>
      <c r="F411">
        <v>7</v>
      </c>
      <c r="G411">
        <v>0</v>
      </c>
      <c r="H411">
        <v>7</v>
      </c>
      <c r="I411">
        <v>2</v>
      </c>
      <c r="J411">
        <v>2015</v>
      </c>
      <c r="K411">
        <v>2</v>
      </c>
      <c r="L411">
        <v>276</v>
      </c>
      <c r="M411" t="s">
        <v>15</v>
      </c>
      <c r="N411">
        <f t="shared" si="18"/>
        <v>72.31</v>
      </c>
      <c r="O411" t="str">
        <f t="shared" si="19"/>
        <v>February</v>
      </c>
      <c r="P411" t="str">
        <f t="shared" si="20"/>
        <v>Weekend</v>
      </c>
    </row>
    <row r="412" spans="1:16" x14ac:dyDescent="0.3">
      <c r="A412" s="1">
        <v>42051</v>
      </c>
      <c r="B412">
        <v>3.01</v>
      </c>
      <c r="C412">
        <v>3.75</v>
      </c>
      <c r="D412">
        <v>4</v>
      </c>
      <c r="E412">
        <v>40.1</v>
      </c>
      <c r="F412">
        <v>4</v>
      </c>
      <c r="G412">
        <v>0</v>
      </c>
      <c r="H412">
        <v>10</v>
      </c>
      <c r="I412">
        <v>0</v>
      </c>
      <c r="J412">
        <v>2015</v>
      </c>
      <c r="K412">
        <v>2</v>
      </c>
      <c r="L412">
        <v>276</v>
      </c>
      <c r="M412" t="s">
        <v>16</v>
      </c>
      <c r="N412">
        <f t="shared" si="18"/>
        <v>64.86</v>
      </c>
      <c r="O412" t="str">
        <f t="shared" si="19"/>
        <v>February</v>
      </c>
      <c r="P412" t="str">
        <f t="shared" si="20"/>
        <v>Weekday</v>
      </c>
    </row>
    <row r="413" spans="1:16" x14ac:dyDescent="0.3">
      <c r="A413" s="1">
        <v>42052</v>
      </c>
      <c r="B413">
        <v>5.33</v>
      </c>
      <c r="C413">
        <v>8.6929999999999996</v>
      </c>
      <c r="D413">
        <v>4</v>
      </c>
      <c r="E413">
        <v>36.200000000000003</v>
      </c>
      <c r="F413">
        <v>3</v>
      </c>
      <c r="G413">
        <v>0</v>
      </c>
      <c r="H413">
        <v>6</v>
      </c>
      <c r="I413">
        <v>1</v>
      </c>
      <c r="J413">
        <v>2015</v>
      </c>
      <c r="K413">
        <v>2</v>
      </c>
      <c r="L413">
        <v>276</v>
      </c>
      <c r="M413" t="s">
        <v>17</v>
      </c>
      <c r="N413">
        <f t="shared" si="18"/>
        <v>64.222999999999999</v>
      </c>
      <c r="O413" t="str">
        <f t="shared" si="19"/>
        <v>February</v>
      </c>
      <c r="P413" t="str">
        <f t="shared" si="20"/>
        <v>Weekday</v>
      </c>
    </row>
    <row r="414" spans="1:16" x14ac:dyDescent="0.3">
      <c r="A414" s="1">
        <v>42053</v>
      </c>
      <c r="B414">
        <v>1</v>
      </c>
      <c r="C414">
        <v>2.66</v>
      </c>
      <c r="D414">
        <v>1.33</v>
      </c>
      <c r="E414">
        <v>36.212000000000003</v>
      </c>
      <c r="F414">
        <v>4</v>
      </c>
      <c r="G414">
        <v>0</v>
      </c>
      <c r="H414">
        <v>11</v>
      </c>
      <c r="I414">
        <v>0</v>
      </c>
      <c r="J414">
        <v>2015</v>
      </c>
      <c r="K414">
        <v>2</v>
      </c>
      <c r="L414">
        <v>276</v>
      </c>
      <c r="M414" t="s">
        <v>18</v>
      </c>
      <c r="N414">
        <f t="shared" si="18"/>
        <v>56.202000000000005</v>
      </c>
      <c r="O414" t="str">
        <f t="shared" si="19"/>
        <v>February</v>
      </c>
      <c r="P414" t="str">
        <f t="shared" si="20"/>
        <v>Weekday</v>
      </c>
    </row>
    <row r="415" spans="1:16" x14ac:dyDescent="0.3">
      <c r="A415" s="1">
        <v>42054</v>
      </c>
      <c r="B415">
        <v>2</v>
      </c>
      <c r="C415">
        <v>3.3319999999999999</v>
      </c>
      <c r="D415">
        <v>4</v>
      </c>
      <c r="E415">
        <v>36.700000000000003</v>
      </c>
      <c r="F415">
        <v>2</v>
      </c>
      <c r="G415">
        <v>2</v>
      </c>
      <c r="H415">
        <v>6</v>
      </c>
      <c r="I415">
        <v>3</v>
      </c>
      <c r="J415">
        <v>2015</v>
      </c>
      <c r="K415">
        <v>2</v>
      </c>
      <c r="L415">
        <v>276</v>
      </c>
      <c r="M415" t="s">
        <v>12</v>
      </c>
      <c r="N415">
        <f t="shared" si="18"/>
        <v>59.032000000000004</v>
      </c>
      <c r="O415" t="str">
        <f t="shared" si="19"/>
        <v>February</v>
      </c>
      <c r="P415" t="str">
        <f t="shared" si="20"/>
        <v>Weekday</v>
      </c>
    </row>
    <row r="416" spans="1:16" x14ac:dyDescent="0.3">
      <c r="A416" s="1">
        <v>42055</v>
      </c>
      <c r="B416">
        <v>5.33</v>
      </c>
      <c r="C416">
        <v>4.66</v>
      </c>
      <c r="D416">
        <v>0.5</v>
      </c>
      <c r="E416">
        <v>27</v>
      </c>
      <c r="F416">
        <v>5</v>
      </c>
      <c r="G416">
        <v>0</v>
      </c>
      <c r="H416">
        <v>25</v>
      </c>
      <c r="I416">
        <v>6</v>
      </c>
      <c r="J416">
        <v>2015</v>
      </c>
      <c r="K416">
        <v>2</v>
      </c>
      <c r="L416">
        <v>276</v>
      </c>
      <c r="M416" t="s">
        <v>13</v>
      </c>
      <c r="N416">
        <f t="shared" si="18"/>
        <v>73.490000000000009</v>
      </c>
      <c r="O416" t="str">
        <f t="shared" si="19"/>
        <v>February</v>
      </c>
      <c r="P416" t="str">
        <f t="shared" si="20"/>
        <v>Weekday</v>
      </c>
    </row>
    <row r="417" spans="1:16" x14ac:dyDescent="0.3">
      <c r="A417" s="1">
        <v>42056</v>
      </c>
      <c r="B417">
        <v>3</v>
      </c>
      <c r="C417">
        <v>5.3470000000000004</v>
      </c>
      <c r="D417">
        <v>4.8</v>
      </c>
      <c r="E417">
        <v>57</v>
      </c>
      <c r="F417">
        <v>9</v>
      </c>
      <c r="G417">
        <v>0</v>
      </c>
      <c r="H417">
        <v>0</v>
      </c>
      <c r="I417">
        <v>3</v>
      </c>
      <c r="J417">
        <v>2015</v>
      </c>
      <c r="K417">
        <v>2</v>
      </c>
      <c r="L417">
        <v>276</v>
      </c>
      <c r="M417" t="s">
        <v>14</v>
      </c>
      <c r="N417">
        <f t="shared" si="18"/>
        <v>82.147000000000006</v>
      </c>
      <c r="O417" t="str">
        <f t="shared" si="19"/>
        <v>February</v>
      </c>
      <c r="P417" t="str">
        <f t="shared" si="20"/>
        <v>Weekend</v>
      </c>
    </row>
    <row r="418" spans="1:16" x14ac:dyDescent="0.3">
      <c r="A418" s="1">
        <v>42057</v>
      </c>
      <c r="B418">
        <v>2</v>
      </c>
      <c r="C418">
        <v>4.34</v>
      </c>
      <c r="D418">
        <v>2</v>
      </c>
      <c r="E418">
        <v>50.6</v>
      </c>
      <c r="F418">
        <v>7</v>
      </c>
      <c r="G418">
        <v>0</v>
      </c>
      <c r="H418">
        <v>11</v>
      </c>
      <c r="I418">
        <v>1</v>
      </c>
      <c r="J418">
        <v>2015</v>
      </c>
      <c r="K418">
        <v>2</v>
      </c>
      <c r="L418">
        <v>276</v>
      </c>
      <c r="M418" t="s">
        <v>15</v>
      </c>
      <c r="N418">
        <f t="shared" si="18"/>
        <v>77.94</v>
      </c>
      <c r="O418" t="str">
        <f t="shared" si="19"/>
        <v>February</v>
      </c>
      <c r="P418" t="str">
        <f t="shared" si="20"/>
        <v>Weekend</v>
      </c>
    </row>
    <row r="419" spans="1:16" x14ac:dyDescent="0.3">
      <c r="A419" s="1">
        <v>42058</v>
      </c>
      <c r="B419">
        <v>5</v>
      </c>
      <c r="C419">
        <v>3.16</v>
      </c>
      <c r="D419">
        <v>7.5</v>
      </c>
      <c r="E419">
        <v>55.4</v>
      </c>
      <c r="F419">
        <v>9</v>
      </c>
      <c r="G419">
        <v>0</v>
      </c>
      <c r="H419">
        <v>20</v>
      </c>
      <c r="I419">
        <v>0</v>
      </c>
      <c r="J419">
        <v>2015</v>
      </c>
      <c r="K419">
        <v>2</v>
      </c>
      <c r="L419">
        <v>276</v>
      </c>
      <c r="M419" t="s">
        <v>16</v>
      </c>
      <c r="N419">
        <f t="shared" si="18"/>
        <v>100.06</v>
      </c>
      <c r="O419" t="str">
        <f t="shared" si="19"/>
        <v>February</v>
      </c>
      <c r="P419" t="str">
        <f t="shared" si="20"/>
        <v>Weekday</v>
      </c>
    </row>
    <row r="420" spans="1:16" x14ac:dyDescent="0.3">
      <c r="A420" s="1">
        <v>42059</v>
      </c>
      <c r="B420">
        <v>3.68</v>
      </c>
      <c r="C420">
        <v>3.34</v>
      </c>
      <c r="D420">
        <v>6.2</v>
      </c>
      <c r="E420">
        <v>22.07</v>
      </c>
      <c r="F420">
        <v>11</v>
      </c>
      <c r="G420">
        <v>0</v>
      </c>
      <c r="H420">
        <v>11</v>
      </c>
      <c r="I420">
        <v>2</v>
      </c>
      <c r="J420">
        <v>2015</v>
      </c>
      <c r="K420">
        <v>2</v>
      </c>
      <c r="L420">
        <v>276</v>
      </c>
      <c r="M420" t="s">
        <v>17</v>
      </c>
      <c r="N420">
        <f t="shared" si="18"/>
        <v>59.29</v>
      </c>
      <c r="O420" t="str">
        <f t="shared" si="19"/>
        <v>February</v>
      </c>
      <c r="P420" t="str">
        <f t="shared" si="20"/>
        <v>Weekday</v>
      </c>
    </row>
    <row r="421" spans="1:16" x14ac:dyDescent="0.3">
      <c r="A421" s="1">
        <v>42060</v>
      </c>
      <c r="B421">
        <v>7</v>
      </c>
      <c r="C421">
        <v>6.33</v>
      </c>
      <c r="D421">
        <v>6.1</v>
      </c>
      <c r="E421">
        <v>24</v>
      </c>
      <c r="F421">
        <v>8</v>
      </c>
      <c r="G421">
        <v>0</v>
      </c>
      <c r="H421">
        <v>2</v>
      </c>
      <c r="I421">
        <v>2</v>
      </c>
      <c r="J421">
        <v>2015</v>
      </c>
      <c r="K421">
        <v>2</v>
      </c>
      <c r="L421">
        <v>276</v>
      </c>
      <c r="M421" t="s">
        <v>18</v>
      </c>
      <c r="N421">
        <f t="shared" si="18"/>
        <v>55.43</v>
      </c>
      <c r="O421" t="str">
        <f t="shared" si="19"/>
        <v>February</v>
      </c>
      <c r="P421" t="str">
        <f t="shared" si="20"/>
        <v>Weekday</v>
      </c>
    </row>
    <row r="422" spans="1:16" x14ac:dyDescent="0.3">
      <c r="A422" s="1">
        <v>42061</v>
      </c>
      <c r="B422">
        <v>6</v>
      </c>
      <c r="C422">
        <v>2</v>
      </c>
      <c r="D422">
        <v>2</v>
      </c>
      <c r="E422">
        <v>36.700000000000003</v>
      </c>
      <c r="F422">
        <v>13</v>
      </c>
      <c r="G422">
        <v>0</v>
      </c>
      <c r="H422">
        <v>1</v>
      </c>
      <c r="I422">
        <v>1</v>
      </c>
      <c r="J422">
        <v>2015</v>
      </c>
      <c r="K422">
        <v>2</v>
      </c>
      <c r="L422">
        <v>276</v>
      </c>
      <c r="M422" t="s">
        <v>12</v>
      </c>
      <c r="N422">
        <f t="shared" si="18"/>
        <v>61.7</v>
      </c>
      <c r="O422" t="str">
        <f t="shared" si="19"/>
        <v>February</v>
      </c>
      <c r="P422" t="str">
        <f t="shared" si="20"/>
        <v>Weekday</v>
      </c>
    </row>
    <row r="423" spans="1:16" x14ac:dyDescent="0.3">
      <c r="A423" s="1">
        <v>42062</v>
      </c>
      <c r="B423">
        <v>6.33</v>
      </c>
      <c r="C423">
        <v>4.4729999999999999</v>
      </c>
      <c r="D423">
        <v>5</v>
      </c>
      <c r="E423">
        <v>51</v>
      </c>
      <c r="F423">
        <v>1</v>
      </c>
      <c r="G423">
        <v>1</v>
      </c>
      <c r="H423">
        <v>0</v>
      </c>
      <c r="I423">
        <v>0</v>
      </c>
      <c r="J423">
        <v>2015</v>
      </c>
      <c r="K423">
        <v>2</v>
      </c>
      <c r="L423">
        <v>276</v>
      </c>
      <c r="M423" t="s">
        <v>13</v>
      </c>
      <c r="N423">
        <f t="shared" si="18"/>
        <v>68.802999999999997</v>
      </c>
      <c r="O423" t="str">
        <f t="shared" si="19"/>
        <v>February</v>
      </c>
      <c r="P423" t="str">
        <f t="shared" si="20"/>
        <v>Weekday</v>
      </c>
    </row>
    <row r="424" spans="1:16" x14ac:dyDescent="0.3">
      <c r="A424" s="1">
        <v>42063</v>
      </c>
      <c r="B424">
        <v>6.34</v>
      </c>
      <c r="C424">
        <v>3.33</v>
      </c>
      <c r="D424">
        <v>1.6</v>
      </c>
      <c r="E424">
        <v>26.6</v>
      </c>
      <c r="F424">
        <v>9</v>
      </c>
      <c r="G424">
        <v>0</v>
      </c>
      <c r="H424">
        <v>4</v>
      </c>
      <c r="I424">
        <v>3</v>
      </c>
      <c r="J424">
        <v>2015</v>
      </c>
      <c r="K424">
        <v>2</v>
      </c>
      <c r="L424">
        <v>276</v>
      </c>
      <c r="M424" t="s">
        <v>14</v>
      </c>
      <c r="N424">
        <f t="shared" si="18"/>
        <v>53.870000000000005</v>
      </c>
      <c r="O424" t="str">
        <f t="shared" si="19"/>
        <v>February</v>
      </c>
      <c r="P424" t="str">
        <f t="shared" si="20"/>
        <v>Weekend</v>
      </c>
    </row>
    <row r="425" spans="1:16" x14ac:dyDescent="0.3">
      <c r="A425" s="1">
        <v>42064</v>
      </c>
      <c r="B425">
        <v>9</v>
      </c>
      <c r="C425">
        <v>7.8929999999999998</v>
      </c>
      <c r="D425">
        <v>2.7</v>
      </c>
      <c r="E425">
        <v>25.9</v>
      </c>
      <c r="F425">
        <v>3</v>
      </c>
      <c r="G425">
        <v>4</v>
      </c>
      <c r="H425">
        <v>0</v>
      </c>
      <c r="I425">
        <v>4</v>
      </c>
      <c r="J425">
        <v>2015</v>
      </c>
      <c r="K425">
        <v>3</v>
      </c>
      <c r="L425">
        <v>276</v>
      </c>
      <c r="M425" t="s">
        <v>15</v>
      </c>
      <c r="N425">
        <f t="shared" si="18"/>
        <v>56.492999999999995</v>
      </c>
      <c r="O425" t="str">
        <f t="shared" si="19"/>
        <v>March</v>
      </c>
      <c r="P425" t="str">
        <f t="shared" si="20"/>
        <v>Weekend</v>
      </c>
    </row>
    <row r="426" spans="1:16" x14ac:dyDescent="0.3">
      <c r="A426" s="1">
        <v>42065</v>
      </c>
      <c r="B426">
        <v>6.67</v>
      </c>
      <c r="C426">
        <v>4.68</v>
      </c>
      <c r="D426">
        <v>3.5</v>
      </c>
      <c r="E426">
        <v>40.700000000000003</v>
      </c>
      <c r="F426">
        <v>6</v>
      </c>
      <c r="G426">
        <v>1</v>
      </c>
      <c r="H426">
        <v>2</v>
      </c>
      <c r="I426">
        <v>3</v>
      </c>
      <c r="J426">
        <v>2015</v>
      </c>
      <c r="K426">
        <v>3</v>
      </c>
      <c r="L426">
        <v>276</v>
      </c>
      <c r="M426" t="s">
        <v>16</v>
      </c>
      <c r="N426">
        <f t="shared" si="18"/>
        <v>67.550000000000011</v>
      </c>
      <c r="O426" t="str">
        <f t="shared" si="19"/>
        <v>March</v>
      </c>
      <c r="P426" t="str">
        <f t="shared" si="20"/>
        <v>Weekday</v>
      </c>
    </row>
    <row r="427" spans="1:16" x14ac:dyDescent="0.3">
      <c r="A427" s="1">
        <v>42066</v>
      </c>
      <c r="B427">
        <v>8</v>
      </c>
      <c r="C427">
        <v>6.03</v>
      </c>
      <c r="D427">
        <v>4.5</v>
      </c>
      <c r="E427">
        <v>45.6</v>
      </c>
      <c r="F427">
        <v>14</v>
      </c>
      <c r="G427">
        <v>0</v>
      </c>
      <c r="H427">
        <v>1</v>
      </c>
      <c r="I427">
        <v>4</v>
      </c>
      <c r="J427">
        <v>2015</v>
      </c>
      <c r="K427">
        <v>3</v>
      </c>
      <c r="L427">
        <v>276</v>
      </c>
      <c r="M427" t="s">
        <v>17</v>
      </c>
      <c r="N427">
        <f t="shared" si="18"/>
        <v>83.13</v>
      </c>
      <c r="O427" t="str">
        <f t="shared" si="19"/>
        <v>March</v>
      </c>
      <c r="P427" t="str">
        <f t="shared" si="20"/>
        <v>Weekday</v>
      </c>
    </row>
    <row r="428" spans="1:16" x14ac:dyDescent="0.3">
      <c r="A428" s="1">
        <v>42067</v>
      </c>
      <c r="B428">
        <v>9.68</v>
      </c>
      <c r="C428">
        <v>5.67</v>
      </c>
      <c r="D428">
        <v>3.3</v>
      </c>
      <c r="E428">
        <v>46.85</v>
      </c>
      <c r="F428">
        <v>4</v>
      </c>
      <c r="G428">
        <v>0</v>
      </c>
      <c r="H428">
        <v>11</v>
      </c>
      <c r="I428">
        <v>1</v>
      </c>
      <c r="J428">
        <v>2015</v>
      </c>
      <c r="K428">
        <v>3</v>
      </c>
      <c r="L428">
        <v>276</v>
      </c>
      <c r="M428" t="s">
        <v>18</v>
      </c>
      <c r="N428">
        <f t="shared" si="18"/>
        <v>81.5</v>
      </c>
      <c r="O428" t="str">
        <f t="shared" si="19"/>
        <v>March</v>
      </c>
      <c r="P428" t="str">
        <f t="shared" si="20"/>
        <v>Weekday</v>
      </c>
    </row>
    <row r="429" spans="1:16" x14ac:dyDescent="0.3">
      <c r="A429" s="1">
        <v>42068</v>
      </c>
      <c r="B429">
        <v>6</v>
      </c>
      <c r="C429">
        <v>2.33</v>
      </c>
      <c r="D429">
        <v>3</v>
      </c>
      <c r="E429">
        <v>35</v>
      </c>
      <c r="F429">
        <v>2</v>
      </c>
      <c r="G429">
        <v>0</v>
      </c>
      <c r="H429">
        <v>0</v>
      </c>
      <c r="I429">
        <v>0</v>
      </c>
      <c r="J429">
        <v>2015</v>
      </c>
      <c r="K429">
        <v>3</v>
      </c>
      <c r="L429">
        <v>276</v>
      </c>
      <c r="M429" t="s">
        <v>12</v>
      </c>
      <c r="N429">
        <f t="shared" si="18"/>
        <v>48.33</v>
      </c>
      <c r="O429" t="str">
        <f t="shared" si="19"/>
        <v>March</v>
      </c>
      <c r="P429" t="str">
        <f t="shared" si="20"/>
        <v>Weekday</v>
      </c>
    </row>
    <row r="430" spans="1:16" x14ac:dyDescent="0.3">
      <c r="A430" s="1">
        <v>42069</v>
      </c>
      <c r="B430">
        <v>2</v>
      </c>
      <c r="C430">
        <v>2.67</v>
      </c>
      <c r="D430">
        <v>6</v>
      </c>
      <c r="E430">
        <v>19.8</v>
      </c>
      <c r="F430">
        <v>4</v>
      </c>
      <c r="G430">
        <v>0</v>
      </c>
      <c r="H430">
        <v>1</v>
      </c>
      <c r="I430">
        <v>1</v>
      </c>
      <c r="J430">
        <v>2015</v>
      </c>
      <c r="K430">
        <v>3</v>
      </c>
      <c r="L430">
        <v>276</v>
      </c>
      <c r="M430" t="s">
        <v>13</v>
      </c>
      <c r="N430">
        <f t="shared" si="18"/>
        <v>36.47</v>
      </c>
      <c r="O430" t="str">
        <f t="shared" si="19"/>
        <v>March</v>
      </c>
      <c r="P430" t="str">
        <f t="shared" si="20"/>
        <v>Weekday</v>
      </c>
    </row>
    <row r="431" spans="1:16" x14ac:dyDescent="0.3">
      <c r="A431" s="1">
        <v>42070</v>
      </c>
      <c r="B431">
        <v>3.33</v>
      </c>
      <c r="C431">
        <v>1</v>
      </c>
      <c r="D431">
        <v>1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2015</v>
      </c>
      <c r="K431">
        <v>3</v>
      </c>
      <c r="L431">
        <v>276</v>
      </c>
      <c r="M431" t="s">
        <v>14</v>
      </c>
      <c r="N431">
        <f t="shared" si="18"/>
        <v>7.33</v>
      </c>
      <c r="O431" t="str">
        <f t="shared" si="19"/>
        <v>March</v>
      </c>
      <c r="P431" t="str">
        <f t="shared" si="20"/>
        <v>Weekend</v>
      </c>
    </row>
    <row r="432" spans="1:16" x14ac:dyDescent="0.3">
      <c r="A432" s="1">
        <v>42071</v>
      </c>
      <c r="B432">
        <v>6</v>
      </c>
      <c r="C432">
        <v>3.3969999999999998</v>
      </c>
      <c r="D432">
        <v>2.4</v>
      </c>
      <c r="E432">
        <v>55.4</v>
      </c>
      <c r="F432">
        <v>9</v>
      </c>
      <c r="G432">
        <v>0</v>
      </c>
      <c r="H432">
        <v>2</v>
      </c>
      <c r="I432">
        <v>1</v>
      </c>
      <c r="J432">
        <v>2015</v>
      </c>
      <c r="K432">
        <v>3</v>
      </c>
      <c r="L432">
        <v>276</v>
      </c>
      <c r="M432" t="s">
        <v>15</v>
      </c>
      <c r="N432">
        <f t="shared" si="18"/>
        <v>79.197000000000003</v>
      </c>
      <c r="O432" t="str">
        <f t="shared" si="19"/>
        <v>March</v>
      </c>
      <c r="P432" t="str">
        <f t="shared" si="20"/>
        <v>Weekend</v>
      </c>
    </row>
    <row r="433" spans="1:16" x14ac:dyDescent="0.3">
      <c r="A433" s="1">
        <v>42072</v>
      </c>
      <c r="B433">
        <v>2</v>
      </c>
      <c r="C433">
        <v>3</v>
      </c>
      <c r="D433">
        <v>5</v>
      </c>
      <c r="E433">
        <v>32.700000000000003</v>
      </c>
      <c r="F433">
        <v>10</v>
      </c>
      <c r="G433">
        <v>0</v>
      </c>
      <c r="H433">
        <v>1</v>
      </c>
      <c r="I433">
        <v>1</v>
      </c>
      <c r="J433">
        <v>2015</v>
      </c>
      <c r="K433">
        <v>3</v>
      </c>
      <c r="L433">
        <v>276</v>
      </c>
      <c r="M433" t="s">
        <v>16</v>
      </c>
      <c r="N433">
        <f t="shared" si="18"/>
        <v>54.7</v>
      </c>
      <c r="O433" t="str">
        <f t="shared" si="19"/>
        <v>March</v>
      </c>
      <c r="P433" t="str">
        <f t="shared" si="20"/>
        <v>Weekday</v>
      </c>
    </row>
    <row r="434" spans="1:16" x14ac:dyDescent="0.3">
      <c r="A434" s="1">
        <v>42073</v>
      </c>
      <c r="B434">
        <v>1.34</v>
      </c>
      <c r="C434">
        <v>3.66</v>
      </c>
      <c r="D434">
        <v>5</v>
      </c>
      <c r="E434">
        <v>40.4</v>
      </c>
      <c r="F434">
        <v>6</v>
      </c>
      <c r="G434">
        <v>0</v>
      </c>
      <c r="H434">
        <v>6</v>
      </c>
      <c r="I434">
        <v>3</v>
      </c>
      <c r="J434">
        <v>2015</v>
      </c>
      <c r="K434">
        <v>3</v>
      </c>
      <c r="L434">
        <v>276</v>
      </c>
      <c r="M434" t="s">
        <v>17</v>
      </c>
      <c r="N434">
        <f t="shared" si="18"/>
        <v>65.400000000000006</v>
      </c>
      <c r="O434" t="str">
        <f t="shared" si="19"/>
        <v>March</v>
      </c>
      <c r="P434" t="str">
        <f t="shared" si="20"/>
        <v>Weekday</v>
      </c>
    </row>
    <row r="435" spans="1:16" x14ac:dyDescent="0.3">
      <c r="A435" s="1">
        <v>42074</v>
      </c>
      <c r="B435">
        <v>11</v>
      </c>
      <c r="C435">
        <v>5</v>
      </c>
      <c r="D435">
        <v>3.2</v>
      </c>
      <c r="E435">
        <v>32</v>
      </c>
      <c r="F435">
        <v>9</v>
      </c>
      <c r="G435">
        <v>0</v>
      </c>
      <c r="H435">
        <v>4</v>
      </c>
      <c r="I435">
        <v>0</v>
      </c>
      <c r="J435">
        <v>2015</v>
      </c>
      <c r="K435">
        <v>3</v>
      </c>
      <c r="L435">
        <v>276</v>
      </c>
      <c r="M435" t="s">
        <v>18</v>
      </c>
      <c r="N435">
        <f t="shared" si="18"/>
        <v>64.2</v>
      </c>
      <c r="O435" t="str">
        <f t="shared" si="19"/>
        <v>March</v>
      </c>
      <c r="P435" t="str">
        <f t="shared" si="20"/>
        <v>Weekday</v>
      </c>
    </row>
    <row r="436" spans="1:16" x14ac:dyDescent="0.3">
      <c r="A436" s="1">
        <v>42075</v>
      </c>
      <c r="B436">
        <v>2.68</v>
      </c>
      <c r="C436">
        <v>6.3869999999999996</v>
      </c>
      <c r="D436">
        <v>6.1</v>
      </c>
      <c r="E436">
        <v>19</v>
      </c>
      <c r="F436">
        <v>5</v>
      </c>
      <c r="G436">
        <v>0</v>
      </c>
      <c r="H436">
        <v>2</v>
      </c>
      <c r="I436">
        <v>3</v>
      </c>
      <c r="J436">
        <v>2015</v>
      </c>
      <c r="K436">
        <v>3</v>
      </c>
      <c r="L436">
        <v>276</v>
      </c>
      <c r="M436" t="s">
        <v>12</v>
      </c>
      <c r="N436">
        <f t="shared" si="18"/>
        <v>44.167000000000002</v>
      </c>
      <c r="O436" t="str">
        <f t="shared" si="19"/>
        <v>March</v>
      </c>
      <c r="P436" t="str">
        <f t="shared" si="20"/>
        <v>Weekday</v>
      </c>
    </row>
    <row r="437" spans="1:16" x14ac:dyDescent="0.3">
      <c r="A437" s="1">
        <v>42076</v>
      </c>
      <c r="B437">
        <v>4</v>
      </c>
      <c r="C437">
        <v>3.33</v>
      </c>
      <c r="D437">
        <v>6.7</v>
      </c>
      <c r="E437">
        <v>63.4</v>
      </c>
      <c r="F437">
        <v>11</v>
      </c>
      <c r="G437">
        <v>2</v>
      </c>
      <c r="H437">
        <v>1</v>
      </c>
      <c r="I437">
        <v>0</v>
      </c>
      <c r="J437">
        <v>2015</v>
      </c>
      <c r="K437">
        <v>3</v>
      </c>
      <c r="L437">
        <v>276</v>
      </c>
      <c r="M437" t="s">
        <v>13</v>
      </c>
      <c r="N437">
        <f t="shared" si="18"/>
        <v>91.43</v>
      </c>
      <c r="O437" t="str">
        <f t="shared" si="19"/>
        <v>March</v>
      </c>
      <c r="P437" t="str">
        <f t="shared" si="20"/>
        <v>Weekday</v>
      </c>
    </row>
    <row r="438" spans="1:16" x14ac:dyDescent="0.3">
      <c r="A438" s="1">
        <v>42077</v>
      </c>
      <c r="B438">
        <v>2.66</v>
      </c>
      <c r="C438">
        <v>4.33</v>
      </c>
      <c r="D438">
        <v>4</v>
      </c>
      <c r="E438">
        <v>39.1</v>
      </c>
      <c r="F438">
        <v>9</v>
      </c>
      <c r="G438">
        <v>0</v>
      </c>
      <c r="H438">
        <v>9</v>
      </c>
      <c r="I438">
        <v>3</v>
      </c>
      <c r="J438">
        <v>2015</v>
      </c>
      <c r="K438">
        <v>3</v>
      </c>
      <c r="L438">
        <v>276</v>
      </c>
      <c r="M438" t="s">
        <v>14</v>
      </c>
      <c r="N438">
        <f t="shared" si="18"/>
        <v>71.09</v>
      </c>
      <c r="O438" t="str">
        <f t="shared" si="19"/>
        <v>March</v>
      </c>
      <c r="P438" t="str">
        <f t="shared" si="20"/>
        <v>Weekend</v>
      </c>
    </row>
    <row r="439" spans="1:16" x14ac:dyDescent="0.3">
      <c r="A439" s="1">
        <v>42078</v>
      </c>
      <c r="B439">
        <v>3.34</v>
      </c>
      <c r="C439">
        <v>4.16</v>
      </c>
      <c r="D439">
        <v>3</v>
      </c>
      <c r="E439">
        <v>41</v>
      </c>
      <c r="F439">
        <v>3</v>
      </c>
      <c r="G439">
        <v>0</v>
      </c>
      <c r="H439">
        <v>12</v>
      </c>
      <c r="I439">
        <v>3</v>
      </c>
      <c r="J439">
        <v>2015</v>
      </c>
      <c r="K439">
        <v>3</v>
      </c>
      <c r="L439">
        <v>276</v>
      </c>
      <c r="M439" t="s">
        <v>15</v>
      </c>
      <c r="N439">
        <f t="shared" si="18"/>
        <v>69.5</v>
      </c>
      <c r="O439" t="str">
        <f t="shared" si="19"/>
        <v>March</v>
      </c>
      <c r="P439" t="str">
        <f t="shared" si="20"/>
        <v>Weekend</v>
      </c>
    </row>
    <row r="440" spans="1:16" x14ac:dyDescent="0.3">
      <c r="A440" s="1">
        <v>42079</v>
      </c>
      <c r="B440">
        <v>8</v>
      </c>
      <c r="C440">
        <v>3.01</v>
      </c>
      <c r="D440">
        <v>4.9000000000000004</v>
      </c>
      <c r="E440">
        <v>46.8</v>
      </c>
      <c r="F440">
        <v>8</v>
      </c>
      <c r="G440">
        <v>0</v>
      </c>
      <c r="H440">
        <v>0</v>
      </c>
      <c r="I440">
        <v>1</v>
      </c>
      <c r="J440">
        <v>2015</v>
      </c>
      <c r="K440">
        <v>3</v>
      </c>
      <c r="L440">
        <v>276</v>
      </c>
      <c r="M440" t="s">
        <v>16</v>
      </c>
      <c r="N440">
        <f t="shared" si="18"/>
        <v>71.709999999999994</v>
      </c>
      <c r="O440" t="str">
        <f t="shared" si="19"/>
        <v>March</v>
      </c>
      <c r="P440" t="str">
        <f t="shared" si="20"/>
        <v>Weekday</v>
      </c>
    </row>
    <row r="441" spans="1:16" x14ac:dyDescent="0.3">
      <c r="A441" s="1">
        <v>42080</v>
      </c>
      <c r="B441">
        <v>5</v>
      </c>
      <c r="C441">
        <v>3</v>
      </c>
      <c r="D441">
        <v>4.5999999999999996</v>
      </c>
      <c r="E441">
        <v>28.8</v>
      </c>
      <c r="F441">
        <v>9</v>
      </c>
      <c r="G441">
        <v>1</v>
      </c>
      <c r="H441">
        <v>2</v>
      </c>
      <c r="I441">
        <v>0</v>
      </c>
      <c r="J441">
        <v>2015</v>
      </c>
      <c r="K441">
        <v>3</v>
      </c>
      <c r="L441">
        <v>276</v>
      </c>
      <c r="M441" t="s">
        <v>17</v>
      </c>
      <c r="N441">
        <f t="shared" si="18"/>
        <v>53.4</v>
      </c>
      <c r="O441" t="str">
        <f t="shared" si="19"/>
        <v>March</v>
      </c>
      <c r="P441" t="str">
        <f t="shared" si="20"/>
        <v>Weekday</v>
      </c>
    </row>
    <row r="442" spans="1:16" x14ac:dyDescent="0.3">
      <c r="A442" s="1">
        <v>42081</v>
      </c>
      <c r="B442">
        <v>7.33</v>
      </c>
      <c r="C442">
        <v>2</v>
      </c>
      <c r="D442">
        <v>5.3</v>
      </c>
      <c r="E442">
        <v>24.4</v>
      </c>
      <c r="F442">
        <v>5</v>
      </c>
      <c r="G442">
        <v>0</v>
      </c>
      <c r="H442">
        <v>20</v>
      </c>
      <c r="I442">
        <v>2</v>
      </c>
      <c r="J442">
        <v>2015</v>
      </c>
      <c r="K442">
        <v>3</v>
      </c>
      <c r="L442">
        <v>276</v>
      </c>
      <c r="M442" t="s">
        <v>18</v>
      </c>
      <c r="N442">
        <f t="shared" si="18"/>
        <v>66.03</v>
      </c>
      <c r="O442" t="str">
        <f t="shared" si="19"/>
        <v>March</v>
      </c>
      <c r="P442" t="str">
        <f t="shared" si="20"/>
        <v>Weekday</v>
      </c>
    </row>
    <row r="443" spans="1:16" x14ac:dyDescent="0.3">
      <c r="A443" s="1">
        <v>42082</v>
      </c>
      <c r="B443">
        <v>2</v>
      </c>
      <c r="C443">
        <v>2.33</v>
      </c>
      <c r="D443">
        <v>1.5</v>
      </c>
      <c r="E443">
        <v>31</v>
      </c>
      <c r="F443">
        <v>7</v>
      </c>
      <c r="G443">
        <v>0</v>
      </c>
      <c r="H443">
        <v>15</v>
      </c>
      <c r="I443">
        <v>0</v>
      </c>
      <c r="J443">
        <v>2015</v>
      </c>
      <c r="K443">
        <v>3</v>
      </c>
      <c r="L443">
        <v>276</v>
      </c>
      <c r="M443" t="s">
        <v>12</v>
      </c>
      <c r="N443">
        <f t="shared" si="18"/>
        <v>58.83</v>
      </c>
      <c r="O443" t="str">
        <f t="shared" si="19"/>
        <v>March</v>
      </c>
      <c r="P443" t="str">
        <f t="shared" si="20"/>
        <v>Weekday</v>
      </c>
    </row>
    <row r="444" spans="1:16" x14ac:dyDescent="0.3">
      <c r="A444" s="1">
        <v>42083</v>
      </c>
      <c r="B444">
        <v>1</v>
      </c>
      <c r="C444">
        <v>7</v>
      </c>
      <c r="D444">
        <v>3</v>
      </c>
      <c r="E444">
        <v>38.6</v>
      </c>
      <c r="F444">
        <v>13</v>
      </c>
      <c r="G444">
        <v>1</v>
      </c>
      <c r="H444">
        <v>5</v>
      </c>
      <c r="I444">
        <v>1</v>
      </c>
      <c r="J444">
        <v>2015</v>
      </c>
      <c r="K444">
        <v>3</v>
      </c>
      <c r="L444">
        <v>276</v>
      </c>
      <c r="M444" t="s">
        <v>13</v>
      </c>
      <c r="N444">
        <f t="shared" si="18"/>
        <v>69.599999999999994</v>
      </c>
      <c r="O444" t="str">
        <f t="shared" si="19"/>
        <v>March</v>
      </c>
      <c r="P444" t="str">
        <f t="shared" si="20"/>
        <v>Weekday</v>
      </c>
    </row>
    <row r="445" spans="1:16" x14ac:dyDescent="0.3">
      <c r="A445" s="1">
        <v>42084</v>
      </c>
      <c r="B445">
        <v>10.33</v>
      </c>
      <c r="C445">
        <v>3.34</v>
      </c>
      <c r="D445">
        <v>3</v>
      </c>
      <c r="E445">
        <v>41.6</v>
      </c>
      <c r="F445">
        <v>4</v>
      </c>
      <c r="G445">
        <v>0</v>
      </c>
      <c r="H445">
        <v>6</v>
      </c>
      <c r="I445">
        <v>2</v>
      </c>
      <c r="J445">
        <v>2015</v>
      </c>
      <c r="K445">
        <v>3</v>
      </c>
      <c r="L445">
        <v>276</v>
      </c>
      <c r="M445" t="s">
        <v>14</v>
      </c>
      <c r="N445">
        <f t="shared" si="18"/>
        <v>70.27000000000001</v>
      </c>
      <c r="O445" t="str">
        <f t="shared" si="19"/>
        <v>March</v>
      </c>
      <c r="P445" t="str">
        <f t="shared" si="20"/>
        <v>Weekend</v>
      </c>
    </row>
    <row r="446" spans="1:16" x14ac:dyDescent="0.3">
      <c r="A446" s="1">
        <v>42085</v>
      </c>
      <c r="B446">
        <v>8.34</v>
      </c>
      <c r="C446">
        <v>6.67</v>
      </c>
      <c r="D446">
        <v>2</v>
      </c>
      <c r="E446">
        <v>43.2</v>
      </c>
      <c r="F446">
        <v>9</v>
      </c>
      <c r="G446">
        <v>0</v>
      </c>
      <c r="H446">
        <v>10</v>
      </c>
      <c r="I446">
        <v>0</v>
      </c>
      <c r="J446">
        <v>2015</v>
      </c>
      <c r="K446">
        <v>3</v>
      </c>
      <c r="L446">
        <v>276</v>
      </c>
      <c r="M446" t="s">
        <v>15</v>
      </c>
      <c r="N446">
        <f t="shared" si="18"/>
        <v>79.210000000000008</v>
      </c>
      <c r="O446" t="str">
        <f t="shared" si="19"/>
        <v>March</v>
      </c>
      <c r="P446" t="str">
        <f t="shared" si="20"/>
        <v>Weekend</v>
      </c>
    </row>
    <row r="447" spans="1:16" x14ac:dyDescent="0.3">
      <c r="A447" s="1">
        <v>42086</v>
      </c>
      <c r="B447">
        <v>2</v>
      </c>
      <c r="C447">
        <v>4.34</v>
      </c>
      <c r="D447">
        <v>7</v>
      </c>
      <c r="E447">
        <v>28</v>
      </c>
      <c r="F447">
        <v>5</v>
      </c>
      <c r="G447">
        <v>0</v>
      </c>
      <c r="H447">
        <v>0</v>
      </c>
      <c r="I447">
        <v>2</v>
      </c>
      <c r="J447">
        <v>2015</v>
      </c>
      <c r="K447">
        <v>3</v>
      </c>
      <c r="L447">
        <v>276</v>
      </c>
      <c r="M447" t="s">
        <v>16</v>
      </c>
      <c r="N447">
        <f t="shared" si="18"/>
        <v>48.34</v>
      </c>
      <c r="O447" t="str">
        <f t="shared" si="19"/>
        <v>March</v>
      </c>
      <c r="P447" t="str">
        <f t="shared" si="20"/>
        <v>Weekday</v>
      </c>
    </row>
    <row r="448" spans="1:16" x14ac:dyDescent="0.3">
      <c r="A448" s="1">
        <v>42087</v>
      </c>
      <c r="B448">
        <v>4</v>
      </c>
      <c r="C448">
        <v>5.4720000000000004</v>
      </c>
      <c r="D448">
        <v>5.2</v>
      </c>
      <c r="E448">
        <v>22.4</v>
      </c>
      <c r="F448">
        <v>8</v>
      </c>
      <c r="G448">
        <v>2</v>
      </c>
      <c r="H448">
        <v>9</v>
      </c>
      <c r="I448">
        <v>4</v>
      </c>
      <c r="J448">
        <v>2015</v>
      </c>
      <c r="K448">
        <v>3</v>
      </c>
      <c r="L448">
        <v>276</v>
      </c>
      <c r="M448" t="s">
        <v>17</v>
      </c>
      <c r="N448">
        <f t="shared" si="18"/>
        <v>60.072000000000003</v>
      </c>
      <c r="O448" t="str">
        <f t="shared" si="19"/>
        <v>March</v>
      </c>
      <c r="P448" t="str">
        <f t="shared" si="20"/>
        <v>Weekday</v>
      </c>
    </row>
    <row r="449" spans="1:16" x14ac:dyDescent="0.3">
      <c r="A449" s="1">
        <v>42088</v>
      </c>
      <c r="B449">
        <v>3.68</v>
      </c>
      <c r="C449">
        <v>8.66</v>
      </c>
      <c r="D449">
        <v>6.4</v>
      </c>
      <c r="E449">
        <v>17.600000000000001</v>
      </c>
      <c r="F449">
        <v>10</v>
      </c>
      <c r="G449">
        <v>2</v>
      </c>
      <c r="H449">
        <v>13</v>
      </c>
      <c r="I449">
        <v>1</v>
      </c>
      <c r="J449">
        <v>2015</v>
      </c>
      <c r="K449">
        <v>3</v>
      </c>
      <c r="L449">
        <v>276</v>
      </c>
      <c r="M449" t="s">
        <v>18</v>
      </c>
      <c r="N449">
        <f t="shared" si="18"/>
        <v>62.34</v>
      </c>
      <c r="O449" t="str">
        <f t="shared" si="19"/>
        <v>March</v>
      </c>
      <c r="P449" t="str">
        <f t="shared" si="20"/>
        <v>Weekday</v>
      </c>
    </row>
    <row r="450" spans="1:16" x14ac:dyDescent="0.3">
      <c r="A450" s="1">
        <v>42089</v>
      </c>
      <c r="B450">
        <v>5</v>
      </c>
      <c r="C450">
        <v>1.7470000000000001</v>
      </c>
      <c r="D450">
        <v>3</v>
      </c>
      <c r="E450">
        <v>51.4</v>
      </c>
      <c r="F450">
        <v>10</v>
      </c>
      <c r="G450">
        <v>0</v>
      </c>
      <c r="H450">
        <v>6</v>
      </c>
      <c r="I450">
        <v>5</v>
      </c>
      <c r="J450">
        <v>2015</v>
      </c>
      <c r="K450">
        <v>3</v>
      </c>
      <c r="L450">
        <v>276</v>
      </c>
      <c r="M450" t="s">
        <v>12</v>
      </c>
      <c r="N450">
        <f t="shared" si="18"/>
        <v>82.146999999999991</v>
      </c>
      <c r="O450" t="str">
        <f t="shared" si="19"/>
        <v>March</v>
      </c>
      <c r="P450" t="str">
        <f t="shared" si="20"/>
        <v>Weekday</v>
      </c>
    </row>
    <row r="451" spans="1:16" x14ac:dyDescent="0.3">
      <c r="A451" s="1">
        <v>42090</v>
      </c>
      <c r="B451">
        <v>3</v>
      </c>
      <c r="C451">
        <v>2.67</v>
      </c>
      <c r="D451">
        <v>2</v>
      </c>
      <c r="E451">
        <v>27</v>
      </c>
      <c r="F451">
        <v>3</v>
      </c>
      <c r="G451">
        <v>0</v>
      </c>
      <c r="H451">
        <v>22</v>
      </c>
      <c r="I451">
        <v>1</v>
      </c>
      <c r="J451">
        <v>2015</v>
      </c>
      <c r="K451">
        <v>3</v>
      </c>
      <c r="L451">
        <v>276</v>
      </c>
      <c r="M451" t="s">
        <v>13</v>
      </c>
      <c r="N451">
        <f t="shared" ref="N451:N514" si="21">SUM(B451:I451)</f>
        <v>60.67</v>
      </c>
      <c r="O451" t="str">
        <f t="shared" ref="O451:O514" si="22">TEXT(A451,"mmmm")</f>
        <v>March</v>
      </c>
      <c r="P451" t="str">
        <f t="shared" ref="P451:P514" si="23">IF(OR(M451="Saturday",M451="Sunday"),"Weekend","Weekday")</f>
        <v>Weekday</v>
      </c>
    </row>
    <row r="452" spans="1:16" x14ac:dyDescent="0.3">
      <c r="A452" s="1">
        <v>42091</v>
      </c>
      <c r="B452">
        <v>1.33</v>
      </c>
      <c r="C452">
        <v>3.056</v>
      </c>
      <c r="D452">
        <v>3</v>
      </c>
      <c r="E452">
        <v>50.5</v>
      </c>
      <c r="F452">
        <v>6</v>
      </c>
      <c r="G452">
        <v>0</v>
      </c>
      <c r="H452">
        <v>0</v>
      </c>
      <c r="I452">
        <v>2</v>
      </c>
      <c r="J452">
        <v>2015</v>
      </c>
      <c r="K452">
        <v>3</v>
      </c>
      <c r="L452">
        <v>276</v>
      </c>
      <c r="M452" t="s">
        <v>14</v>
      </c>
      <c r="N452">
        <f t="shared" si="21"/>
        <v>65.885999999999996</v>
      </c>
      <c r="O452" t="str">
        <f t="shared" si="22"/>
        <v>March</v>
      </c>
      <c r="P452" t="str">
        <f t="shared" si="23"/>
        <v>Weekend</v>
      </c>
    </row>
    <row r="453" spans="1:16" x14ac:dyDescent="0.3">
      <c r="A453" s="1">
        <v>42092</v>
      </c>
      <c r="B453">
        <v>6</v>
      </c>
      <c r="C453">
        <v>5.7270000000000003</v>
      </c>
      <c r="D453">
        <v>2.2999999999999998</v>
      </c>
      <c r="E453">
        <v>35.5</v>
      </c>
      <c r="F453">
        <v>7</v>
      </c>
      <c r="G453">
        <v>0</v>
      </c>
      <c r="H453">
        <v>8</v>
      </c>
      <c r="I453">
        <v>2</v>
      </c>
      <c r="J453">
        <v>2015</v>
      </c>
      <c r="K453">
        <v>3</v>
      </c>
      <c r="L453">
        <v>276</v>
      </c>
      <c r="M453" t="s">
        <v>15</v>
      </c>
      <c r="N453">
        <f t="shared" si="21"/>
        <v>66.527000000000001</v>
      </c>
      <c r="O453" t="str">
        <f t="shared" si="22"/>
        <v>March</v>
      </c>
      <c r="P453" t="str">
        <f t="shared" si="23"/>
        <v>Weekend</v>
      </c>
    </row>
    <row r="454" spans="1:16" x14ac:dyDescent="0.3">
      <c r="A454" s="1">
        <v>42093</v>
      </c>
      <c r="B454">
        <v>6.33</v>
      </c>
      <c r="C454">
        <v>4.827</v>
      </c>
      <c r="D454">
        <v>10</v>
      </c>
      <c r="E454">
        <v>25.7</v>
      </c>
      <c r="F454">
        <v>4</v>
      </c>
      <c r="G454">
        <v>0</v>
      </c>
      <c r="H454">
        <v>0</v>
      </c>
      <c r="I454">
        <v>0</v>
      </c>
      <c r="J454">
        <v>2015</v>
      </c>
      <c r="K454">
        <v>3</v>
      </c>
      <c r="L454">
        <v>276</v>
      </c>
      <c r="M454" t="s">
        <v>16</v>
      </c>
      <c r="N454">
        <f t="shared" si="21"/>
        <v>50.856999999999999</v>
      </c>
      <c r="O454" t="str">
        <f t="shared" si="22"/>
        <v>March</v>
      </c>
      <c r="P454" t="str">
        <f t="shared" si="23"/>
        <v>Weekday</v>
      </c>
    </row>
    <row r="455" spans="1:16" x14ac:dyDescent="0.3">
      <c r="A455" s="1">
        <v>42094</v>
      </c>
      <c r="B455">
        <v>5</v>
      </c>
      <c r="C455">
        <v>2</v>
      </c>
      <c r="D455">
        <v>11.2</v>
      </c>
      <c r="E455">
        <v>33.5</v>
      </c>
      <c r="F455">
        <v>5</v>
      </c>
      <c r="G455">
        <v>0</v>
      </c>
      <c r="H455">
        <v>2</v>
      </c>
      <c r="I455">
        <v>4</v>
      </c>
      <c r="J455">
        <v>2015</v>
      </c>
      <c r="K455">
        <v>3</v>
      </c>
      <c r="L455">
        <v>276</v>
      </c>
      <c r="M455" t="s">
        <v>17</v>
      </c>
      <c r="N455">
        <f t="shared" si="21"/>
        <v>62.7</v>
      </c>
      <c r="O455" t="str">
        <f t="shared" si="22"/>
        <v>March</v>
      </c>
      <c r="P455" t="str">
        <f t="shared" si="23"/>
        <v>Weekday</v>
      </c>
    </row>
    <row r="456" spans="1:16" x14ac:dyDescent="0.3">
      <c r="A456" s="1">
        <v>42095</v>
      </c>
      <c r="B456">
        <v>6.34</v>
      </c>
      <c r="C456">
        <v>1.33</v>
      </c>
      <c r="D456">
        <v>1</v>
      </c>
      <c r="E456">
        <v>24.8</v>
      </c>
      <c r="F456">
        <v>7</v>
      </c>
      <c r="G456">
        <v>2</v>
      </c>
      <c r="H456">
        <v>5</v>
      </c>
      <c r="I456">
        <v>1</v>
      </c>
      <c r="J456">
        <v>2015</v>
      </c>
      <c r="K456">
        <v>4</v>
      </c>
      <c r="L456">
        <v>276</v>
      </c>
      <c r="M456" t="s">
        <v>18</v>
      </c>
      <c r="N456">
        <f t="shared" si="21"/>
        <v>48.47</v>
      </c>
      <c r="O456" t="str">
        <f t="shared" si="22"/>
        <v>April</v>
      </c>
      <c r="P456" t="str">
        <f t="shared" si="23"/>
        <v>Weekday</v>
      </c>
    </row>
    <row r="457" spans="1:16" x14ac:dyDescent="0.3">
      <c r="A457" s="1">
        <v>42096</v>
      </c>
      <c r="B457">
        <v>5</v>
      </c>
      <c r="C457">
        <v>3.99</v>
      </c>
      <c r="D457">
        <v>5.4</v>
      </c>
      <c r="E457">
        <v>35.07</v>
      </c>
      <c r="F457">
        <v>3</v>
      </c>
      <c r="G457">
        <v>0</v>
      </c>
      <c r="H457">
        <v>3</v>
      </c>
      <c r="I457">
        <v>5</v>
      </c>
      <c r="J457">
        <v>2015</v>
      </c>
      <c r="K457">
        <v>4</v>
      </c>
      <c r="L457">
        <v>276</v>
      </c>
      <c r="M457" t="s">
        <v>12</v>
      </c>
      <c r="N457">
        <f t="shared" si="21"/>
        <v>60.46</v>
      </c>
      <c r="O457" t="str">
        <f t="shared" si="22"/>
        <v>April</v>
      </c>
      <c r="P457" t="str">
        <f t="shared" si="23"/>
        <v>Weekday</v>
      </c>
    </row>
    <row r="458" spans="1:16" x14ac:dyDescent="0.3">
      <c r="A458" s="1">
        <v>42097</v>
      </c>
      <c r="B458">
        <v>5.33</v>
      </c>
      <c r="C458">
        <v>2.3199999999999998</v>
      </c>
      <c r="D458">
        <v>4</v>
      </c>
      <c r="E458">
        <v>34.200000000000003</v>
      </c>
      <c r="F458">
        <v>12</v>
      </c>
      <c r="G458">
        <v>0</v>
      </c>
      <c r="H458">
        <v>0</v>
      </c>
      <c r="I458">
        <v>4</v>
      </c>
      <c r="J458">
        <v>2015</v>
      </c>
      <c r="K458">
        <v>4</v>
      </c>
      <c r="L458">
        <v>276</v>
      </c>
      <c r="M458" t="s">
        <v>13</v>
      </c>
      <c r="N458">
        <f t="shared" si="21"/>
        <v>61.85</v>
      </c>
      <c r="O458" t="str">
        <f t="shared" si="22"/>
        <v>April</v>
      </c>
      <c r="P458" t="str">
        <f t="shared" si="23"/>
        <v>Weekday</v>
      </c>
    </row>
    <row r="459" spans="1:16" x14ac:dyDescent="0.3">
      <c r="A459" s="1">
        <v>42098</v>
      </c>
      <c r="B459">
        <v>3.67</v>
      </c>
      <c r="C459">
        <v>4.33</v>
      </c>
      <c r="D459">
        <v>6</v>
      </c>
      <c r="E459">
        <v>43</v>
      </c>
      <c r="F459">
        <v>7</v>
      </c>
      <c r="G459">
        <v>1</v>
      </c>
      <c r="H459">
        <v>5</v>
      </c>
      <c r="I459">
        <v>6</v>
      </c>
      <c r="J459">
        <v>2015</v>
      </c>
      <c r="K459">
        <v>4</v>
      </c>
      <c r="L459">
        <v>276</v>
      </c>
      <c r="M459" t="s">
        <v>14</v>
      </c>
      <c r="N459">
        <f t="shared" si="21"/>
        <v>76</v>
      </c>
      <c r="O459" t="str">
        <f t="shared" si="22"/>
        <v>April</v>
      </c>
      <c r="P459" t="str">
        <f t="shared" si="23"/>
        <v>Weekend</v>
      </c>
    </row>
    <row r="460" spans="1:16" x14ac:dyDescent="0.3">
      <c r="A460" s="1">
        <v>42099</v>
      </c>
      <c r="B460">
        <v>3.34</v>
      </c>
      <c r="C460">
        <v>5.01</v>
      </c>
      <c r="D460">
        <v>4.5</v>
      </c>
      <c r="E460">
        <v>31.6</v>
      </c>
      <c r="F460">
        <v>4</v>
      </c>
      <c r="G460">
        <v>0</v>
      </c>
      <c r="H460">
        <v>0</v>
      </c>
      <c r="I460">
        <v>1</v>
      </c>
      <c r="J460">
        <v>2015</v>
      </c>
      <c r="K460">
        <v>4</v>
      </c>
      <c r="L460">
        <v>276</v>
      </c>
      <c r="M460" t="s">
        <v>15</v>
      </c>
      <c r="N460">
        <f t="shared" si="21"/>
        <v>49.45</v>
      </c>
      <c r="O460" t="str">
        <f t="shared" si="22"/>
        <v>April</v>
      </c>
      <c r="P460" t="str">
        <f t="shared" si="23"/>
        <v>Weekend</v>
      </c>
    </row>
    <row r="461" spans="1:16" x14ac:dyDescent="0.3">
      <c r="A461" s="1">
        <v>42100</v>
      </c>
      <c r="B461">
        <v>7.33</v>
      </c>
      <c r="C461">
        <v>3.33</v>
      </c>
      <c r="D461">
        <v>5.3</v>
      </c>
      <c r="E461">
        <v>32.9</v>
      </c>
      <c r="F461">
        <v>4</v>
      </c>
      <c r="G461">
        <v>0</v>
      </c>
      <c r="H461">
        <v>3</v>
      </c>
      <c r="I461">
        <v>2</v>
      </c>
      <c r="J461">
        <v>2015</v>
      </c>
      <c r="K461">
        <v>4</v>
      </c>
      <c r="L461">
        <v>276</v>
      </c>
      <c r="M461" t="s">
        <v>16</v>
      </c>
      <c r="N461">
        <f t="shared" si="21"/>
        <v>57.86</v>
      </c>
      <c r="O461" t="str">
        <f t="shared" si="22"/>
        <v>April</v>
      </c>
      <c r="P461" t="str">
        <f t="shared" si="23"/>
        <v>Weekday</v>
      </c>
    </row>
    <row r="462" spans="1:16" x14ac:dyDescent="0.3">
      <c r="A462" s="1">
        <v>42101</v>
      </c>
      <c r="B462">
        <v>6</v>
      </c>
      <c r="C462">
        <v>3.66</v>
      </c>
      <c r="D462">
        <v>6.7</v>
      </c>
      <c r="E462">
        <v>25</v>
      </c>
      <c r="F462">
        <v>8</v>
      </c>
      <c r="G462">
        <v>0</v>
      </c>
      <c r="H462">
        <v>8</v>
      </c>
      <c r="I462">
        <v>1</v>
      </c>
      <c r="J462">
        <v>2015</v>
      </c>
      <c r="K462">
        <v>4</v>
      </c>
      <c r="L462">
        <v>276</v>
      </c>
      <c r="M462" t="s">
        <v>17</v>
      </c>
      <c r="N462">
        <f t="shared" si="21"/>
        <v>58.36</v>
      </c>
      <c r="O462" t="str">
        <f t="shared" si="22"/>
        <v>April</v>
      </c>
      <c r="P462" t="str">
        <f t="shared" si="23"/>
        <v>Weekday</v>
      </c>
    </row>
    <row r="463" spans="1:16" x14ac:dyDescent="0.3">
      <c r="A463" s="1">
        <v>42102</v>
      </c>
      <c r="B463">
        <v>4</v>
      </c>
      <c r="C463">
        <v>2.33</v>
      </c>
      <c r="D463">
        <v>3</v>
      </c>
      <c r="E463">
        <v>18</v>
      </c>
      <c r="F463">
        <v>11</v>
      </c>
      <c r="G463">
        <v>0</v>
      </c>
      <c r="H463">
        <v>10</v>
      </c>
      <c r="I463">
        <v>4</v>
      </c>
      <c r="J463">
        <v>2015</v>
      </c>
      <c r="K463">
        <v>4</v>
      </c>
      <c r="L463">
        <v>276</v>
      </c>
      <c r="M463" t="s">
        <v>18</v>
      </c>
      <c r="N463">
        <f t="shared" si="21"/>
        <v>52.33</v>
      </c>
      <c r="O463" t="str">
        <f t="shared" si="22"/>
        <v>April</v>
      </c>
      <c r="P463" t="str">
        <f t="shared" si="23"/>
        <v>Weekday</v>
      </c>
    </row>
    <row r="464" spans="1:16" x14ac:dyDescent="0.3">
      <c r="A464" s="1">
        <v>42103</v>
      </c>
      <c r="B464">
        <v>1.33</v>
      </c>
      <c r="C464">
        <v>6</v>
      </c>
      <c r="D464">
        <v>8</v>
      </c>
      <c r="E464">
        <v>22.2</v>
      </c>
      <c r="F464">
        <v>8</v>
      </c>
      <c r="G464">
        <v>0</v>
      </c>
      <c r="H464">
        <v>6</v>
      </c>
      <c r="I464">
        <v>1</v>
      </c>
      <c r="J464">
        <v>2015</v>
      </c>
      <c r="K464">
        <v>4</v>
      </c>
      <c r="L464">
        <v>276</v>
      </c>
      <c r="M464" t="s">
        <v>12</v>
      </c>
      <c r="N464">
        <f t="shared" si="21"/>
        <v>52.53</v>
      </c>
      <c r="O464" t="str">
        <f t="shared" si="22"/>
        <v>April</v>
      </c>
      <c r="P464" t="str">
        <f t="shared" si="23"/>
        <v>Weekday</v>
      </c>
    </row>
    <row r="465" spans="1:16" x14ac:dyDescent="0.3">
      <c r="A465" s="1">
        <v>42104</v>
      </c>
      <c r="B465">
        <v>9.84</v>
      </c>
      <c r="C465">
        <v>6.5049999999999999</v>
      </c>
      <c r="D465">
        <v>4</v>
      </c>
      <c r="E465">
        <v>65.599999999999994</v>
      </c>
      <c r="F465">
        <v>5</v>
      </c>
      <c r="G465">
        <v>2</v>
      </c>
      <c r="H465">
        <v>8</v>
      </c>
      <c r="I465">
        <v>5</v>
      </c>
      <c r="J465">
        <v>2015</v>
      </c>
      <c r="K465">
        <v>4</v>
      </c>
      <c r="L465">
        <v>276</v>
      </c>
      <c r="M465" t="s">
        <v>13</v>
      </c>
      <c r="N465">
        <f t="shared" si="21"/>
        <v>105.94499999999999</v>
      </c>
      <c r="O465" t="str">
        <f t="shared" si="22"/>
        <v>April</v>
      </c>
      <c r="P465" t="str">
        <f t="shared" si="23"/>
        <v>Weekday</v>
      </c>
    </row>
    <row r="466" spans="1:16" x14ac:dyDescent="0.3">
      <c r="A466" s="1">
        <v>42105</v>
      </c>
      <c r="B466">
        <v>11.68</v>
      </c>
      <c r="C466">
        <v>3</v>
      </c>
      <c r="D466">
        <v>3.4</v>
      </c>
      <c r="E466">
        <v>26</v>
      </c>
      <c r="F466">
        <v>9</v>
      </c>
      <c r="G466">
        <v>0</v>
      </c>
      <c r="H466">
        <v>5</v>
      </c>
      <c r="I466">
        <v>6</v>
      </c>
      <c r="J466">
        <v>2015</v>
      </c>
      <c r="K466">
        <v>4</v>
      </c>
      <c r="L466">
        <v>276</v>
      </c>
      <c r="M466" t="s">
        <v>14</v>
      </c>
      <c r="N466">
        <f t="shared" si="21"/>
        <v>64.08</v>
      </c>
      <c r="O466" t="str">
        <f t="shared" si="22"/>
        <v>April</v>
      </c>
      <c r="P466" t="str">
        <f t="shared" si="23"/>
        <v>Weekend</v>
      </c>
    </row>
    <row r="467" spans="1:16" x14ac:dyDescent="0.3">
      <c r="A467" s="1">
        <v>42106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2015</v>
      </c>
      <c r="K467">
        <v>4</v>
      </c>
      <c r="L467">
        <v>276</v>
      </c>
      <c r="M467" t="s">
        <v>15</v>
      </c>
      <c r="N467">
        <f t="shared" si="21"/>
        <v>0</v>
      </c>
      <c r="O467" t="str">
        <f t="shared" si="22"/>
        <v>April</v>
      </c>
      <c r="P467" t="str">
        <f t="shared" si="23"/>
        <v>Weekend</v>
      </c>
    </row>
    <row r="468" spans="1:16" x14ac:dyDescent="0.3">
      <c r="A468" s="1">
        <v>42107</v>
      </c>
      <c r="B468">
        <v>6.67</v>
      </c>
      <c r="C468">
        <v>1.34</v>
      </c>
      <c r="D468">
        <v>7</v>
      </c>
      <c r="E468">
        <v>25.2</v>
      </c>
      <c r="F468">
        <v>5</v>
      </c>
      <c r="G468">
        <v>0</v>
      </c>
      <c r="H468">
        <v>3</v>
      </c>
      <c r="I468">
        <v>7</v>
      </c>
      <c r="J468">
        <v>2015</v>
      </c>
      <c r="K468">
        <v>4</v>
      </c>
      <c r="L468">
        <v>276</v>
      </c>
      <c r="M468" t="s">
        <v>16</v>
      </c>
      <c r="N468">
        <f t="shared" si="21"/>
        <v>55.21</v>
      </c>
      <c r="O468" t="str">
        <f t="shared" si="22"/>
        <v>April</v>
      </c>
      <c r="P468" t="str">
        <f t="shared" si="23"/>
        <v>Weekday</v>
      </c>
    </row>
    <row r="469" spans="1:16" x14ac:dyDescent="0.3">
      <c r="A469" s="1">
        <v>42108</v>
      </c>
      <c r="B469">
        <v>4.66</v>
      </c>
      <c r="C469">
        <v>6.01</v>
      </c>
      <c r="D469">
        <v>7</v>
      </c>
      <c r="E469">
        <v>41.8</v>
      </c>
      <c r="F469">
        <v>5</v>
      </c>
      <c r="G469">
        <v>0</v>
      </c>
      <c r="H469">
        <v>5</v>
      </c>
      <c r="I469">
        <v>2</v>
      </c>
      <c r="J469">
        <v>2015</v>
      </c>
      <c r="K469">
        <v>4</v>
      </c>
      <c r="L469">
        <v>276</v>
      </c>
      <c r="M469" t="s">
        <v>17</v>
      </c>
      <c r="N469">
        <f t="shared" si="21"/>
        <v>71.47</v>
      </c>
      <c r="O469" t="str">
        <f t="shared" si="22"/>
        <v>April</v>
      </c>
      <c r="P469" t="str">
        <f t="shared" si="23"/>
        <v>Weekday</v>
      </c>
    </row>
    <row r="470" spans="1:16" x14ac:dyDescent="0.3">
      <c r="A470" s="1">
        <v>42109</v>
      </c>
      <c r="B470">
        <v>2</v>
      </c>
      <c r="C470">
        <v>2.33</v>
      </c>
      <c r="D470">
        <v>3</v>
      </c>
      <c r="E470">
        <v>29.25</v>
      </c>
      <c r="F470">
        <v>15</v>
      </c>
      <c r="G470">
        <v>0</v>
      </c>
      <c r="H470">
        <v>0</v>
      </c>
      <c r="I470">
        <v>2</v>
      </c>
      <c r="J470">
        <v>2015</v>
      </c>
      <c r="K470">
        <v>4</v>
      </c>
      <c r="L470">
        <v>276</v>
      </c>
      <c r="M470" t="s">
        <v>18</v>
      </c>
      <c r="N470">
        <f t="shared" si="21"/>
        <v>53.58</v>
      </c>
      <c r="O470" t="str">
        <f t="shared" si="22"/>
        <v>April</v>
      </c>
      <c r="P470" t="str">
        <f t="shared" si="23"/>
        <v>Weekday</v>
      </c>
    </row>
    <row r="471" spans="1:16" x14ac:dyDescent="0.3">
      <c r="A471" s="1">
        <v>42110</v>
      </c>
      <c r="B471">
        <v>2.34</v>
      </c>
      <c r="C471">
        <v>1</v>
      </c>
      <c r="D471">
        <v>7.2</v>
      </c>
      <c r="E471">
        <v>30.6</v>
      </c>
      <c r="F471">
        <v>7</v>
      </c>
      <c r="G471">
        <v>0</v>
      </c>
      <c r="H471">
        <v>9</v>
      </c>
      <c r="I471">
        <v>4</v>
      </c>
      <c r="J471">
        <v>2015</v>
      </c>
      <c r="K471">
        <v>4</v>
      </c>
      <c r="L471">
        <v>276</v>
      </c>
      <c r="M471" t="s">
        <v>12</v>
      </c>
      <c r="N471">
        <f t="shared" si="21"/>
        <v>61.14</v>
      </c>
      <c r="O471" t="str">
        <f t="shared" si="22"/>
        <v>April</v>
      </c>
      <c r="P471" t="str">
        <f t="shared" si="23"/>
        <v>Weekday</v>
      </c>
    </row>
    <row r="472" spans="1:16" x14ac:dyDescent="0.3">
      <c r="A472" s="1">
        <v>42111</v>
      </c>
      <c r="B472">
        <v>9.33</v>
      </c>
      <c r="C472">
        <v>3.66</v>
      </c>
      <c r="D472">
        <v>3</v>
      </c>
      <c r="E472">
        <v>29.65</v>
      </c>
      <c r="F472">
        <v>6</v>
      </c>
      <c r="G472">
        <v>0</v>
      </c>
      <c r="H472">
        <v>1</v>
      </c>
      <c r="I472">
        <v>5</v>
      </c>
      <c r="J472">
        <v>2015</v>
      </c>
      <c r="K472">
        <v>4</v>
      </c>
      <c r="L472">
        <v>276</v>
      </c>
      <c r="M472" t="s">
        <v>13</v>
      </c>
      <c r="N472">
        <f t="shared" si="21"/>
        <v>57.64</v>
      </c>
      <c r="O472" t="str">
        <f t="shared" si="22"/>
        <v>April</v>
      </c>
      <c r="P472" t="str">
        <f t="shared" si="23"/>
        <v>Weekday</v>
      </c>
    </row>
    <row r="473" spans="1:16" x14ac:dyDescent="0.3">
      <c r="A473" s="1">
        <v>42112</v>
      </c>
      <c r="B473">
        <v>7.33</v>
      </c>
      <c r="C473">
        <v>3</v>
      </c>
      <c r="D473">
        <v>1</v>
      </c>
      <c r="E473">
        <v>31.3</v>
      </c>
      <c r="F473">
        <v>1</v>
      </c>
      <c r="G473">
        <v>0</v>
      </c>
      <c r="H473">
        <v>1</v>
      </c>
      <c r="I473">
        <v>4</v>
      </c>
      <c r="J473">
        <v>2015</v>
      </c>
      <c r="K473">
        <v>4</v>
      </c>
      <c r="L473">
        <v>276</v>
      </c>
      <c r="M473" t="s">
        <v>14</v>
      </c>
      <c r="N473">
        <f t="shared" si="21"/>
        <v>48.63</v>
      </c>
      <c r="O473" t="str">
        <f t="shared" si="22"/>
        <v>April</v>
      </c>
      <c r="P473" t="str">
        <f t="shared" si="23"/>
        <v>Weekend</v>
      </c>
    </row>
    <row r="474" spans="1:16" x14ac:dyDescent="0.3">
      <c r="A474" s="1">
        <v>42113</v>
      </c>
      <c r="B474">
        <v>9.32</v>
      </c>
      <c r="C474">
        <v>5.5279999999999996</v>
      </c>
      <c r="D474">
        <v>3.8</v>
      </c>
      <c r="E474">
        <v>36.5</v>
      </c>
      <c r="F474">
        <v>3</v>
      </c>
      <c r="G474">
        <v>0</v>
      </c>
      <c r="H474">
        <v>0</v>
      </c>
      <c r="I474">
        <v>2</v>
      </c>
      <c r="J474">
        <v>2015</v>
      </c>
      <c r="K474">
        <v>4</v>
      </c>
      <c r="L474">
        <v>276</v>
      </c>
      <c r="M474" t="s">
        <v>15</v>
      </c>
      <c r="N474">
        <f t="shared" si="21"/>
        <v>60.147999999999996</v>
      </c>
      <c r="O474" t="str">
        <f t="shared" si="22"/>
        <v>April</v>
      </c>
      <c r="P474" t="str">
        <f t="shared" si="23"/>
        <v>Weekend</v>
      </c>
    </row>
    <row r="475" spans="1:16" x14ac:dyDescent="0.3">
      <c r="A475" s="1">
        <v>42114</v>
      </c>
      <c r="B475">
        <v>3</v>
      </c>
      <c r="C475">
        <v>5.0430000000000001</v>
      </c>
      <c r="D475">
        <v>3.7</v>
      </c>
      <c r="E475">
        <v>38</v>
      </c>
      <c r="F475">
        <v>13</v>
      </c>
      <c r="G475">
        <v>0</v>
      </c>
      <c r="H475">
        <v>1</v>
      </c>
      <c r="I475">
        <v>3</v>
      </c>
      <c r="J475">
        <v>2015</v>
      </c>
      <c r="K475">
        <v>4</v>
      </c>
      <c r="L475">
        <v>276</v>
      </c>
      <c r="M475" t="s">
        <v>16</v>
      </c>
      <c r="N475">
        <f t="shared" si="21"/>
        <v>66.742999999999995</v>
      </c>
      <c r="O475" t="str">
        <f t="shared" si="22"/>
        <v>April</v>
      </c>
      <c r="P475" t="str">
        <f t="shared" si="23"/>
        <v>Weekday</v>
      </c>
    </row>
    <row r="476" spans="1:16" x14ac:dyDescent="0.3">
      <c r="A476" s="1">
        <v>42115</v>
      </c>
      <c r="B476">
        <v>6.33</v>
      </c>
      <c r="C476">
        <v>1</v>
      </c>
      <c r="D476">
        <v>2</v>
      </c>
      <c r="E476">
        <v>35.200000000000003</v>
      </c>
      <c r="F476">
        <v>9</v>
      </c>
      <c r="G476">
        <v>0</v>
      </c>
      <c r="H476">
        <v>0</v>
      </c>
      <c r="I476">
        <v>6</v>
      </c>
      <c r="J476">
        <v>2015</v>
      </c>
      <c r="K476">
        <v>4</v>
      </c>
      <c r="L476">
        <v>276</v>
      </c>
      <c r="M476" t="s">
        <v>17</v>
      </c>
      <c r="N476">
        <f t="shared" si="21"/>
        <v>59.53</v>
      </c>
      <c r="O476" t="str">
        <f t="shared" si="22"/>
        <v>April</v>
      </c>
      <c r="P476" t="str">
        <f t="shared" si="23"/>
        <v>Weekday</v>
      </c>
    </row>
    <row r="477" spans="1:16" x14ac:dyDescent="0.3">
      <c r="A477" s="1">
        <v>42116</v>
      </c>
      <c r="B477">
        <v>1.33</v>
      </c>
      <c r="C477">
        <v>4.6269999999999998</v>
      </c>
      <c r="D477">
        <v>3.2</v>
      </c>
      <c r="E477">
        <v>32</v>
      </c>
      <c r="F477">
        <v>3</v>
      </c>
      <c r="G477">
        <v>0</v>
      </c>
      <c r="H477">
        <v>1</v>
      </c>
      <c r="I477">
        <v>2</v>
      </c>
      <c r="J477">
        <v>2015</v>
      </c>
      <c r="K477">
        <v>4</v>
      </c>
      <c r="L477">
        <v>276</v>
      </c>
      <c r="M477" t="s">
        <v>18</v>
      </c>
      <c r="N477">
        <f t="shared" si="21"/>
        <v>47.156999999999996</v>
      </c>
      <c r="O477" t="str">
        <f t="shared" si="22"/>
        <v>April</v>
      </c>
      <c r="P477" t="str">
        <f t="shared" si="23"/>
        <v>Weekday</v>
      </c>
    </row>
    <row r="478" spans="1:16" x14ac:dyDescent="0.3">
      <c r="A478" s="1">
        <v>42117</v>
      </c>
      <c r="B478">
        <v>4</v>
      </c>
      <c r="C478">
        <v>1</v>
      </c>
      <c r="D478">
        <v>1</v>
      </c>
      <c r="E478">
        <v>28.2</v>
      </c>
      <c r="F478">
        <v>8</v>
      </c>
      <c r="G478">
        <v>0</v>
      </c>
      <c r="H478">
        <v>1</v>
      </c>
      <c r="I478">
        <v>4</v>
      </c>
      <c r="J478">
        <v>2015</v>
      </c>
      <c r="K478">
        <v>4</v>
      </c>
      <c r="L478">
        <v>276</v>
      </c>
      <c r="M478" t="s">
        <v>12</v>
      </c>
      <c r="N478">
        <f t="shared" si="21"/>
        <v>47.2</v>
      </c>
      <c r="O478" t="str">
        <f t="shared" si="22"/>
        <v>April</v>
      </c>
      <c r="P478" t="str">
        <f t="shared" si="23"/>
        <v>Weekday</v>
      </c>
    </row>
    <row r="479" spans="1:16" x14ac:dyDescent="0.3">
      <c r="A479" s="1">
        <v>42118</v>
      </c>
      <c r="B479">
        <v>10</v>
      </c>
      <c r="C479">
        <v>1</v>
      </c>
      <c r="D479">
        <v>4</v>
      </c>
      <c r="E479">
        <v>30</v>
      </c>
      <c r="F479">
        <v>5</v>
      </c>
      <c r="G479">
        <v>0</v>
      </c>
      <c r="H479">
        <v>1</v>
      </c>
      <c r="I479">
        <v>5</v>
      </c>
      <c r="J479">
        <v>2015</v>
      </c>
      <c r="K479">
        <v>4</v>
      </c>
      <c r="L479">
        <v>276</v>
      </c>
      <c r="M479" t="s">
        <v>13</v>
      </c>
      <c r="N479">
        <f t="shared" si="21"/>
        <v>56</v>
      </c>
      <c r="O479" t="str">
        <f t="shared" si="22"/>
        <v>April</v>
      </c>
      <c r="P479" t="str">
        <f t="shared" si="23"/>
        <v>Weekday</v>
      </c>
    </row>
    <row r="480" spans="1:16" x14ac:dyDescent="0.3">
      <c r="A480" s="1">
        <v>42119</v>
      </c>
      <c r="B480">
        <v>5</v>
      </c>
      <c r="C480">
        <v>3.165</v>
      </c>
      <c r="D480">
        <v>8</v>
      </c>
      <c r="E480">
        <v>38.1</v>
      </c>
      <c r="F480">
        <v>3</v>
      </c>
      <c r="G480">
        <v>0</v>
      </c>
      <c r="H480">
        <v>1</v>
      </c>
      <c r="I480">
        <v>3</v>
      </c>
      <c r="J480">
        <v>2015</v>
      </c>
      <c r="K480">
        <v>4</v>
      </c>
      <c r="L480">
        <v>276</v>
      </c>
      <c r="M480" t="s">
        <v>14</v>
      </c>
      <c r="N480">
        <f t="shared" si="21"/>
        <v>61.265000000000001</v>
      </c>
      <c r="O480" t="str">
        <f t="shared" si="22"/>
        <v>April</v>
      </c>
      <c r="P480" t="str">
        <f t="shared" si="23"/>
        <v>Weekend</v>
      </c>
    </row>
    <row r="481" spans="1:16" x14ac:dyDescent="0.3">
      <c r="A481" s="1">
        <v>42120</v>
      </c>
      <c r="B481">
        <v>7</v>
      </c>
      <c r="C481">
        <v>6</v>
      </c>
      <c r="D481">
        <v>3</v>
      </c>
      <c r="E481">
        <v>37.6</v>
      </c>
      <c r="F481">
        <v>5</v>
      </c>
      <c r="G481">
        <v>0</v>
      </c>
      <c r="H481">
        <v>1</v>
      </c>
      <c r="I481">
        <v>1</v>
      </c>
      <c r="J481">
        <v>2015</v>
      </c>
      <c r="K481">
        <v>4</v>
      </c>
      <c r="L481">
        <v>276</v>
      </c>
      <c r="M481" t="s">
        <v>15</v>
      </c>
      <c r="N481">
        <f t="shared" si="21"/>
        <v>60.6</v>
      </c>
      <c r="O481" t="str">
        <f t="shared" si="22"/>
        <v>April</v>
      </c>
      <c r="P481" t="str">
        <f t="shared" si="23"/>
        <v>Weekend</v>
      </c>
    </row>
    <row r="482" spans="1:16" x14ac:dyDescent="0.3">
      <c r="A482" s="1">
        <v>42121</v>
      </c>
      <c r="B482">
        <v>3</v>
      </c>
      <c r="C482">
        <v>0.78</v>
      </c>
      <c r="D482">
        <v>4</v>
      </c>
      <c r="E482">
        <v>43</v>
      </c>
      <c r="F482">
        <v>10</v>
      </c>
      <c r="G482">
        <v>0</v>
      </c>
      <c r="H482">
        <v>0</v>
      </c>
      <c r="I482">
        <v>10</v>
      </c>
      <c r="J482">
        <v>2015</v>
      </c>
      <c r="K482">
        <v>4</v>
      </c>
      <c r="L482">
        <v>276</v>
      </c>
      <c r="M482" t="s">
        <v>16</v>
      </c>
      <c r="N482">
        <f t="shared" si="21"/>
        <v>70.78</v>
      </c>
      <c r="O482" t="str">
        <f t="shared" si="22"/>
        <v>April</v>
      </c>
      <c r="P482" t="str">
        <f t="shared" si="23"/>
        <v>Weekday</v>
      </c>
    </row>
    <row r="483" spans="1:16" x14ac:dyDescent="0.3">
      <c r="A483" s="1">
        <v>42122</v>
      </c>
      <c r="B483">
        <v>4.33</v>
      </c>
      <c r="C483">
        <v>4.67</v>
      </c>
      <c r="D483">
        <v>3.1</v>
      </c>
      <c r="E483">
        <v>15.2</v>
      </c>
      <c r="F483">
        <v>7</v>
      </c>
      <c r="G483">
        <v>0</v>
      </c>
      <c r="H483">
        <v>5</v>
      </c>
      <c r="I483">
        <v>6</v>
      </c>
      <c r="J483">
        <v>2015</v>
      </c>
      <c r="K483">
        <v>4</v>
      </c>
      <c r="L483">
        <v>276</v>
      </c>
      <c r="M483" t="s">
        <v>17</v>
      </c>
      <c r="N483">
        <f t="shared" si="21"/>
        <v>45.3</v>
      </c>
      <c r="O483" t="str">
        <f t="shared" si="22"/>
        <v>April</v>
      </c>
      <c r="P483" t="str">
        <f t="shared" si="23"/>
        <v>Weekday</v>
      </c>
    </row>
    <row r="484" spans="1:16" x14ac:dyDescent="0.3">
      <c r="A484" s="1">
        <v>42123</v>
      </c>
      <c r="B484">
        <v>2</v>
      </c>
      <c r="C484">
        <v>0.43</v>
      </c>
      <c r="D484">
        <v>4.2</v>
      </c>
      <c r="E484">
        <v>27.6</v>
      </c>
      <c r="F484">
        <v>2</v>
      </c>
      <c r="G484">
        <v>0</v>
      </c>
      <c r="H484">
        <v>11</v>
      </c>
      <c r="I484">
        <v>3</v>
      </c>
      <c r="J484">
        <v>2015</v>
      </c>
      <c r="K484">
        <v>4</v>
      </c>
      <c r="L484">
        <v>276</v>
      </c>
      <c r="M484" t="s">
        <v>18</v>
      </c>
      <c r="N484">
        <f t="shared" si="21"/>
        <v>50.230000000000004</v>
      </c>
      <c r="O484" t="str">
        <f t="shared" si="22"/>
        <v>April</v>
      </c>
      <c r="P484" t="str">
        <f t="shared" si="23"/>
        <v>Weekday</v>
      </c>
    </row>
    <row r="485" spans="1:16" x14ac:dyDescent="0.3">
      <c r="A485" s="1">
        <v>42124</v>
      </c>
      <c r="B485">
        <v>3</v>
      </c>
      <c r="C485">
        <v>8.7270000000000003</v>
      </c>
      <c r="D485">
        <v>2.6</v>
      </c>
      <c r="E485">
        <v>32.6</v>
      </c>
      <c r="F485">
        <v>7</v>
      </c>
      <c r="G485">
        <v>0</v>
      </c>
      <c r="H485">
        <v>3</v>
      </c>
      <c r="I485">
        <v>7</v>
      </c>
      <c r="J485">
        <v>2015</v>
      </c>
      <c r="K485">
        <v>4</v>
      </c>
      <c r="L485">
        <v>276</v>
      </c>
      <c r="M485" t="s">
        <v>12</v>
      </c>
      <c r="N485">
        <f t="shared" si="21"/>
        <v>63.927</v>
      </c>
      <c r="O485" t="str">
        <f t="shared" si="22"/>
        <v>April</v>
      </c>
      <c r="P485" t="str">
        <f t="shared" si="23"/>
        <v>Weekday</v>
      </c>
    </row>
    <row r="486" spans="1:16" x14ac:dyDescent="0.3">
      <c r="A486" s="1">
        <v>42125</v>
      </c>
      <c r="B486">
        <v>5.34</v>
      </c>
      <c r="C486">
        <v>1.68</v>
      </c>
      <c r="D486">
        <v>4.9400000000000004</v>
      </c>
      <c r="E486">
        <v>11.4</v>
      </c>
      <c r="F486">
        <v>4</v>
      </c>
      <c r="G486">
        <v>0</v>
      </c>
      <c r="H486">
        <v>0</v>
      </c>
      <c r="I486">
        <v>4.7</v>
      </c>
      <c r="J486">
        <v>2015</v>
      </c>
      <c r="K486">
        <v>5</v>
      </c>
      <c r="L486">
        <v>276</v>
      </c>
      <c r="M486" t="s">
        <v>13</v>
      </c>
      <c r="N486">
        <f t="shared" si="21"/>
        <v>32.06</v>
      </c>
      <c r="O486" t="str">
        <f t="shared" si="22"/>
        <v>May</v>
      </c>
      <c r="P486" t="str">
        <f t="shared" si="23"/>
        <v>Weekday</v>
      </c>
    </row>
    <row r="487" spans="1:16" x14ac:dyDescent="0.3">
      <c r="A487" s="1">
        <v>42126</v>
      </c>
      <c r="B487">
        <v>5</v>
      </c>
      <c r="C487">
        <v>3.66</v>
      </c>
      <c r="D487">
        <v>3</v>
      </c>
      <c r="E487">
        <v>47.8</v>
      </c>
      <c r="F487">
        <v>6</v>
      </c>
      <c r="G487">
        <v>2</v>
      </c>
      <c r="H487">
        <v>0</v>
      </c>
      <c r="I487">
        <v>5</v>
      </c>
      <c r="J487">
        <v>2015</v>
      </c>
      <c r="K487">
        <v>5</v>
      </c>
      <c r="L487">
        <v>276</v>
      </c>
      <c r="M487" t="s">
        <v>14</v>
      </c>
      <c r="N487">
        <f t="shared" si="21"/>
        <v>72.459999999999994</v>
      </c>
      <c r="O487" t="str">
        <f t="shared" si="22"/>
        <v>May</v>
      </c>
      <c r="P487" t="str">
        <f t="shared" si="23"/>
        <v>Weekend</v>
      </c>
    </row>
    <row r="488" spans="1:16" x14ac:dyDescent="0.3">
      <c r="A488" s="1">
        <v>42127</v>
      </c>
      <c r="B488">
        <v>6.67</v>
      </c>
      <c r="C488">
        <v>1.0660000000000001</v>
      </c>
      <c r="D488">
        <v>2.1</v>
      </c>
      <c r="E488">
        <v>19.2</v>
      </c>
      <c r="F488">
        <v>4</v>
      </c>
      <c r="G488">
        <v>0</v>
      </c>
      <c r="H488">
        <v>1</v>
      </c>
      <c r="I488">
        <v>6</v>
      </c>
      <c r="J488">
        <v>2015</v>
      </c>
      <c r="K488">
        <v>5</v>
      </c>
      <c r="L488">
        <v>276</v>
      </c>
      <c r="M488" t="s">
        <v>15</v>
      </c>
      <c r="N488">
        <f t="shared" si="21"/>
        <v>40.036000000000001</v>
      </c>
      <c r="O488" t="str">
        <f t="shared" si="22"/>
        <v>May</v>
      </c>
      <c r="P488" t="str">
        <f t="shared" si="23"/>
        <v>Weekend</v>
      </c>
    </row>
    <row r="489" spans="1:16" x14ac:dyDescent="0.3">
      <c r="A489" s="1">
        <v>42128</v>
      </c>
      <c r="B489">
        <v>4</v>
      </c>
      <c r="C489">
        <v>4.7229999999999999</v>
      </c>
      <c r="D489">
        <v>8.6</v>
      </c>
      <c r="E489">
        <v>36</v>
      </c>
      <c r="F489">
        <v>5</v>
      </c>
      <c r="G489">
        <v>1</v>
      </c>
      <c r="H489">
        <v>10</v>
      </c>
      <c r="I489">
        <v>3.3</v>
      </c>
      <c r="J489">
        <v>2015</v>
      </c>
      <c r="K489">
        <v>5</v>
      </c>
      <c r="L489">
        <v>276</v>
      </c>
      <c r="M489" t="s">
        <v>16</v>
      </c>
      <c r="N489">
        <f t="shared" si="21"/>
        <v>72.623000000000005</v>
      </c>
      <c r="O489" t="str">
        <f t="shared" si="22"/>
        <v>May</v>
      </c>
      <c r="P489" t="str">
        <f t="shared" si="23"/>
        <v>Weekday</v>
      </c>
    </row>
    <row r="490" spans="1:16" x14ac:dyDescent="0.3">
      <c r="A490" s="1">
        <v>42129</v>
      </c>
      <c r="B490">
        <v>3.34</v>
      </c>
      <c r="C490">
        <v>3.4620000000000002</v>
      </c>
      <c r="D490">
        <v>2</v>
      </c>
      <c r="E490">
        <v>19</v>
      </c>
      <c r="F490">
        <v>6</v>
      </c>
      <c r="G490">
        <v>0</v>
      </c>
      <c r="H490">
        <v>5</v>
      </c>
      <c r="I490">
        <v>2.5</v>
      </c>
      <c r="J490">
        <v>2015</v>
      </c>
      <c r="K490">
        <v>5</v>
      </c>
      <c r="L490">
        <v>276</v>
      </c>
      <c r="M490" t="s">
        <v>17</v>
      </c>
      <c r="N490">
        <f t="shared" si="21"/>
        <v>41.302</v>
      </c>
      <c r="O490" t="str">
        <f t="shared" si="22"/>
        <v>May</v>
      </c>
      <c r="P490" t="str">
        <f t="shared" si="23"/>
        <v>Weekday</v>
      </c>
    </row>
    <row r="491" spans="1:16" x14ac:dyDescent="0.3">
      <c r="A491" s="1">
        <v>42130</v>
      </c>
      <c r="B491">
        <v>4.66</v>
      </c>
      <c r="C491">
        <v>6.4969999999999999</v>
      </c>
      <c r="D491">
        <v>2</v>
      </c>
      <c r="E491">
        <v>40.200000000000003</v>
      </c>
      <c r="F491">
        <v>11</v>
      </c>
      <c r="G491">
        <v>0</v>
      </c>
      <c r="H491">
        <v>0</v>
      </c>
      <c r="I491">
        <v>6</v>
      </c>
      <c r="J491">
        <v>2015</v>
      </c>
      <c r="K491">
        <v>5</v>
      </c>
      <c r="L491">
        <v>276</v>
      </c>
      <c r="M491" t="s">
        <v>18</v>
      </c>
      <c r="N491">
        <f t="shared" si="21"/>
        <v>70.356999999999999</v>
      </c>
      <c r="O491" t="str">
        <f t="shared" si="22"/>
        <v>May</v>
      </c>
      <c r="P491" t="str">
        <f t="shared" si="23"/>
        <v>Weekday</v>
      </c>
    </row>
    <row r="492" spans="1:16" x14ac:dyDescent="0.3">
      <c r="A492" s="1">
        <v>42131</v>
      </c>
      <c r="B492">
        <v>2</v>
      </c>
      <c r="C492">
        <v>3.34</v>
      </c>
      <c r="D492">
        <v>2</v>
      </c>
      <c r="E492">
        <v>21</v>
      </c>
      <c r="F492">
        <v>4</v>
      </c>
      <c r="G492">
        <v>1</v>
      </c>
      <c r="H492">
        <v>5</v>
      </c>
      <c r="I492">
        <v>10</v>
      </c>
      <c r="J492">
        <v>2015</v>
      </c>
      <c r="K492">
        <v>5</v>
      </c>
      <c r="L492">
        <v>276</v>
      </c>
      <c r="M492" t="s">
        <v>12</v>
      </c>
      <c r="N492">
        <f t="shared" si="21"/>
        <v>48.34</v>
      </c>
      <c r="O492" t="str">
        <f t="shared" si="22"/>
        <v>May</v>
      </c>
      <c r="P492" t="str">
        <f t="shared" si="23"/>
        <v>Weekday</v>
      </c>
    </row>
    <row r="493" spans="1:16" x14ac:dyDescent="0.3">
      <c r="A493" s="1">
        <v>42132</v>
      </c>
      <c r="B493">
        <v>1</v>
      </c>
      <c r="C493">
        <v>6.34</v>
      </c>
      <c r="D493">
        <v>5</v>
      </c>
      <c r="E493">
        <v>16</v>
      </c>
      <c r="F493">
        <v>8</v>
      </c>
      <c r="G493">
        <v>0</v>
      </c>
      <c r="H493">
        <v>4</v>
      </c>
      <c r="I493">
        <v>1</v>
      </c>
      <c r="J493">
        <v>2015</v>
      </c>
      <c r="K493">
        <v>5</v>
      </c>
      <c r="L493">
        <v>276</v>
      </c>
      <c r="M493" t="s">
        <v>13</v>
      </c>
      <c r="N493">
        <f t="shared" si="21"/>
        <v>41.34</v>
      </c>
      <c r="O493" t="str">
        <f t="shared" si="22"/>
        <v>May</v>
      </c>
      <c r="P493" t="str">
        <f t="shared" si="23"/>
        <v>Weekday</v>
      </c>
    </row>
    <row r="494" spans="1:16" x14ac:dyDescent="0.3">
      <c r="A494" s="1">
        <v>42133</v>
      </c>
      <c r="B494">
        <v>3.66</v>
      </c>
      <c r="C494">
        <v>4.34</v>
      </c>
      <c r="D494">
        <v>7.4</v>
      </c>
      <c r="E494">
        <v>21</v>
      </c>
      <c r="F494">
        <v>11</v>
      </c>
      <c r="G494">
        <v>1</v>
      </c>
      <c r="H494">
        <v>1</v>
      </c>
      <c r="I494">
        <v>6</v>
      </c>
      <c r="J494">
        <v>2015</v>
      </c>
      <c r="K494">
        <v>5</v>
      </c>
      <c r="L494">
        <v>276</v>
      </c>
      <c r="M494" t="s">
        <v>14</v>
      </c>
      <c r="N494">
        <f t="shared" si="21"/>
        <v>55.4</v>
      </c>
      <c r="O494" t="str">
        <f t="shared" si="22"/>
        <v>May</v>
      </c>
      <c r="P494" t="str">
        <f t="shared" si="23"/>
        <v>Weekend</v>
      </c>
    </row>
    <row r="495" spans="1:16" x14ac:dyDescent="0.3">
      <c r="A495" s="1">
        <v>42134</v>
      </c>
      <c r="B495">
        <v>3.34</v>
      </c>
      <c r="C495">
        <v>5.4269999999999996</v>
      </c>
      <c r="D495">
        <v>3.8</v>
      </c>
      <c r="E495">
        <v>13</v>
      </c>
      <c r="F495">
        <v>3</v>
      </c>
      <c r="G495">
        <v>0</v>
      </c>
      <c r="H495">
        <v>1</v>
      </c>
      <c r="I495">
        <v>10</v>
      </c>
      <c r="J495">
        <v>2015</v>
      </c>
      <c r="K495">
        <v>5</v>
      </c>
      <c r="L495">
        <v>276</v>
      </c>
      <c r="M495" t="s">
        <v>15</v>
      </c>
      <c r="N495">
        <f t="shared" si="21"/>
        <v>39.567</v>
      </c>
      <c r="O495" t="str">
        <f t="shared" si="22"/>
        <v>May</v>
      </c>
      <c r="P495" t="str">
        <f t="shared" si="23"/>
        <v>Weekend</v>
      </c>
    </row>
    <row r="496" spans="1:16" x14ac:dyDescent="0.3">
      <c r="A496" s="1">
        <v>42135</v>
      </c>
      <c r="B496">
        <v>3.33</v>
      </c>
      <c r="C496">
        <v>6.66</v>
      </c>
      <c r="D496">
        <v>5.9</v>
      </c>
      <c r="E496">
        <v>21</v>
      </c>
      <c r="F496">
        <v>3</v>
      </c>
      <c r="G496">
        <v>0</v>
      </c>
      <c r="H496">
        <v>6</v>
      </c>
      <c r="I496">
        <v>4</v>
      </c>
      <c r="J496">
        <v>2015</v>
      </c>
      <c r="K496">
        <v>5</v>
      </c>
      <c r="L496">
        <v>276</v>
      </c>
      <c r="M496" t="s">
        <v>16</v>
      </c>
      <c r="N496">
        <f t="shared" si="21"/>
        <v>49.89</v>
      </c>
      <c r="O496" t="str">
        <f t="shared" si="22"/>
        <v>May</v>
      </c>
      <c r="P496" t="str">
        <f t="shared" si="23"/>
        <v>Weekday</v>
      </c>
    </row>
    <row r="497" spans="1:16" x14ac:dyDescent="0.3">
      <c r="A497" s="1">
        <v>42136</v>
      </c>
      <c r="B497">
        <v>7.33</v>
      </c>
      <c r="C497">
        <v>1.99</v>
      </c>
      <c r="D497">
        <v>8.1999999999999993</v>
      </c>
      <c r="E497">
        <v>22.95</v>
      </c>
      <c r="F497">
        <v>13</v>
      </c>
      <c r="G497">
        <v>0</v>
      </c>
      <c r="H497">
        <v>0</v>
      </c>
      <c r="I497">
        <v>8</v>
      </c>
      <c r="J497">
        <v>2015</v>
      </c>
      <c r="K497">
        <v>5</v>
      </c>
      <c r="L497">
        <v>276</v>
      </c>
      <c r="M497" t="s">
        <v>17</v>
      </c>
      <c r="N497">
        <f t="shared" si="21"/>
        <v>61.47</v>
      </c>
      <c r="O497" t="str">
        <f t="shared" si="22"/>
        <v>May</v>
      </c>
      <c r="P497" t="str">
        <f t="shared" si="23"/>
        <v>Weekday</v>
      </c>
    </row>
    <row r="498" spans="1:16" x14ac:dyDescent="0.3">
      <c r="A498" s="1">
        <v>42137</v>
      </c>
      <c r="B498">
        <v>8</v>
      </c>
      <c r="C498">
        <v>3.44</v>
      </c>
      <c r="D498">
        <v>9</v>
      </c>
      <c r="E498">
        <v>28.4</v>
      </c>
      <c r="F498">
        <v>5</v>
      </c>
      <c r="G498">
        <v>0</v>
      </c>
      <c r="H498">
        <v>2</v>
      </c>
      <c r="I498">
        <v>4.5</v>
      </c>
      <c r="J498">
        <v>2015</v>
      </c>
      <c r="K498">
        <v>5</v>
      </c>
      <c r="L498">
        <v>276</v>
      </c>
      <c r="M498" t="s">
        <v>18</v>
      </c>
      <c r="N498">
        <f t="shared" si="21"/>
        <v>60.339999999999996</v>
      </c>
      <c r="O498" t="str">
        <f t="shared" si="22"/>
        <v>May</v>
      </c>
      <c r="P498" t="str">
        <f t="shared" si="23"/>
        <v>Weekday</v>
      </c>
    </row>
    <row r="499" spans="1:16" x14ac:dyDescent="0.3">
      <c r="A499" s="1">
        <v>42138</v>
      </c>
      <c r="B499">
        <v>3</v>
      </c>
      <c r="C499">
        <v>5.0670000000000002</v>
      </c>
      <c r="D499">
        <v>3</v>
      </c>
      <c r="E499">
        <v>14</v>
      </c>
      <c r="F499">
        <v>1</v>
      </c>
      <c r="G499">
        <v>0</v>
      </c>
      <c r="H499">
        <v>0</v>
      </c>
      <c r="I499">
        <v>5</v>
      </c>
      <c r="J499">
        <v>2015</v>
      </c>
      <c r="K499">
        <v>5</v>
      </c>
      <c r="L499">
        <v>276</v>
      </c>
      <c r="M499" t="s">
        <v>12</v>
      </c>
      <c r="N499">
        <f t="shared" si="21"/>
        <v>31.067</v>
      </c>
      <c r="O499" t="str">
        <f t="shared" si="22"/>
        <v>May</v>
      </c>
      <c r="P499" t="str">
        <f t="shared" si="23"/>
        <v>Weekday</v>
      </c>
    </row>
    <row r="500" spans="1:16" x14ac:dyDescent="0.3">
      <c r="A500" s="1">
        <v>42139</v>
      </c>
      <c r="B500">
        <v>3.34</v>
      </c>
      <c r="C500">
        <v>6.53</v>
      </c>
      <c r="D500">
        <v>4.3</v>
      </c>
      <c r="E500">
        <v>48.4</v>
      </c>
      <c r="F500">
        <v>8</v>
      </c>
      <c r="G500">
        <v>0</v>
      </c>
      <c r="H500">
        <v>4</v>
      </c>
      <c r="I500">
        <v>3.2</v>
      </c>
      <c r="J500">
        <v>2015</v>
      </c>
      <c r="K500">
        <v>5</v>
      </c>
      <c r="L500">
        <v>276</v>
      </c>
      <c r="M500" t="s">
        <v>13</v>
      </c>
      <c r="N500">
        <f t="shared" si="21"/>
        <v>77.77</v>
      </c>
      <c r="O500" t="str">
        <f t="shared" si="22"/>
        <v>May</v>
      </c>
      <c r="P500" t="str">
        <f t="shared" si="23"/>
        <v>Weekday</v>
      </c>
    </row>
    <row r="501" spans="1:16" x14ac:dyDescent="0.3">
      <c r="A501" s="1">
        <v>42140</v>
      </c>
      <c r="B501">
        <v>5</v>
      </c>
      <c r="C501">
        <v>4.0659999999999998</v>
      </c>
      <c r="D501">
        <v>4.0999999999999996</v>
      </c>
      <c r="E501">
        <v>40.4</v>
      </c>
      <c r="F501">
        <v>4</v>
      </c>
      <c r="G501">
        <v>0</v>
      </c>
      <c r="H501">
        <v>0</v>
      </c>
      <c r="I501">
        <v>4</v>
      </c>
      <c r="J501">
        <v>2015</v>
      </c>
      <c r="K501">
        <v>5</v>
      </c>
      <c r="L501">
        <v>276</v>
      </c>
      <c r="M501" t="s">
        <v>14</v>
      </c>
      <c r="N501">
        <f t="shared" si="21"/>
        <v>61.565999999999995</v>
      </c>
      <c r="O501" t="str">
        <f t="shared" si="22"/>
        <v>May</v>
      </c>
      <c r="P501" t="str">
        <f t="shared" si="23"/>
        <v>Weekend</v>
      </c>
    </row>
    <row r="502" spans="1:16" x14ac:dyDescent="0.3">
      <c r="A502" s="1">
        <v>42141</v>
      </c>
      <c r="B502">
        <v>5</v>
      </c>
      <c r="C502">
        <v>3.33</v>
      </c>
      <c r="D502">
        <v>5</v>
      </c>
      <c r="E502">
        <v>23.2</v>
      </c>
      <c r="F502">
        <v>0</v>
      </c>
      <c r="G502">
        <v>0</v>
      </c>
      <c r="H502">
        <v>0</v>
      </c>
      <c r="I502">
        <v>8</v>
      </c>
      <c r="J502">
        <v>2015</v>
      </c>
      <c r="K502">
        <v>5</v>
      </c>
      <c r="L502">
        <v>276</v>
      </c>
      <c r="M502" t="s">
        <v>15</v>
      </c>
      <c r="N502">
        <f t="shared" si="21"/>
        <v>44.53</v>
      </c>
      <c r="O502" t="str">
        <f t="shared" si="22"/>
        <v>May</v>
      </c>
      <c r="P502" t="str">
        <f t="shared" si="23"/>
        <v>Weekend</v>
      </c>
    </row>
    <row r="503" spans="1:16" x14ac:dyDescent="0.3">
      <c r="A503" s="1">
        <v>42142</v>
      </c>
      <c r="B503">
        <v>7</v>
      </c>
      <c r="C503">
        <v>2.7130000000000001</v>
      </c>
      <c r="D503">
        <v>5.2</v>
      </c>
      <c r="E503">
        <v>21.4</v>
      </c>
      <c r="F503">
        <v>6</v>
      </c>
      <c r="G503">
        <v>1</v>
      </c>
      <c r="H503">
        <v>2</v>
      </c>
      <c r="I503">
        <v>2.2000000000000002</v>
      </c>
      <c r="J503">
        <v>2015</v>
      </c>
      <c r="K503">
        <v>5</v>
      </c>
      <c r="L503">
        <v>276</v>
      </c>
      <c r="M503" t="s">
        <v>16</v>
      </c>
      <c r="N503">
        <f t="shared" si="21"/>
        <v>47.513000000000005</v>
      </c>
      <c r="O503" t="str">
        <f t="shared" si="22"/>
        <v>May</v>
      </c>
      <c r="P503" t="str">
        <f t="shared" si="23"/>
        <v>Weekday</v>
      </c>
    </row>
    <row r="504" spans="1:16" x14ac:dyDescent="0.3">
      <c r="A504" s="1">
        <v>42143</v>
      </c>
      <c r="B504">
        <v>3</v>
      </c>
      <c r="C504">
        <v>1.66</v>
      </c>
      <c r="D504">
        <v>3</v>
      </c>
      <c r="E504">
        <v>20</v>
      </c>
      <c r="F504">
        <v>8</v>
      </c>
      <c r="G504">
        <v>0</v>
      </c>
      <c r="H504">
        <v>0</v>
      </c>
      <c r="I504">
        <v>3</v>
      </c>
      <c r="J504">
        <v>2015</v>
      </c>
      <c r="K504">
        <v>5</v>
      </c>
      <c r="L504">
        <v>276</v>
      </c>
      <c r="M504" t="s">
        <v>17</v>
      </c>
      <c r="N504">
        <f t="shared" si="21"/>
        <v>38.659999999999997</v>
      </c>
      <c r="O504" t="str">
        <f t="shared" si="22"/>
        <v>May</v>
      </c>
      <c r="P504" t="str">
        <f t="shared" si="23"/>
        <v>Weekday</v>
      </c>
    </row>
    <row r="505" spans="1:16" x14ac:dyDescent="0.3">
      <c r="A505" s="1">
        <v>42144</v>
      </c>
      <c r="B505">
        <v>5.67</v>
      </c>
      <c r="C505">
        <v>6.4649999999999999</v>
      </c>
      <c r="D505">
        <v>2</v>
      </c>
      <c r="E505">
        <v>17</v>
      </c>
      <c r="F505">
        <v>12</v>
      </c>
      <c r="G505">
        <v>1</v>
      </c>
      <c r="H505">
        <v>5</v>
      </c>
      <c r="I505">
        <v>6</v>
      </c>
      <c r="J505">
        <v>2015</v>
      </c>
      <c r="K505">
        <v>5</v>
      </c>
      <c r="L505">
        <v>276</v>
      </c>
      <c r="M505" t="s">
        <v>18</v>
      </c>
      <c r="N505">
        <f t="shared" si="21"/>
        <v>55.134999999999998</v>
      </c>
      <c r="O505" t="str">
        <f t="shared" si="22"/>
        <v>May</v>
      </c>
      <c r="P505" t="str">
        <f t="shared" si="23"/>
        <v>Weekday</v>
      </c>
    </row>
    <row r="506" spans="1:16" x14ac:dyDescent="0.3">
      <c r="A506" s="1">
        <v>42145</v>
      </c>
      <c r="B506">
        <v>6</v>
      </c>
      <c r="C506">
        <v>1.9570000000000001</v>
      </c>
      <c r="D506">
        <v>3</v>
      </c>
      <c r="E506">
        <v>10</v>
      </c>
      <c r="F506">
        <v>5</v>
      </c>
      <c r="G506">
        <v>0</v>
      </c>
      <c r="H506">
        <v>1</v>
      </c>
      <c r="I506">
        <v>3.3</v>
      </c>
      <c r="J506">
        <v>2015</v>
      </c>
      <c r="K506">
        <v>5</v>
      </c>
      <c r="L506">
        <v>276</v>
      </c>
      <c r="M506" t="s">
        <v>12</v>
      </c>
      <c r="N506">
        <f t="shared" si="21"/>
        <v>30.257000000000001</v>
      </c>
      <c r="O506" t="str">
        <f t="shared" si="22"/>
        <v>May</v>
      </c>
      <c r="P506" t="str">
        <f t="shared" si="23"/>
        <v>Weekday</v>
      </c>
    </row>
    <row r="507" spans="1:16" x14ac:dyDescent="0.3">
      <c r="A507" s="1">
        <v>42146</v>
      </c>
      <c r="B507">
        <v>3</v>
      </c>
      <c r="C507">
        <v>0.19800000000000001</v>
      </c>
      <c r="D507">
        <v>2</v>
      </c>
      <c r="E507">
        <v>15</v>
      </c>
      <c r="F507">
        <v>8</v>
      </c>
      <c r="G507">
        <v>0</v>
      </c>
      <c r="H507">
        <v>0</v>
      </c>
      <c r="I507">
        <v>7</v>
      </c>
      <c r="J507">
        <v>2015</v>
      </c>
      <c r="K507">
        <v>5</v>
      </c>
      <c r="L507">
        <v>276</v>
      </c>
      <c r="M507" t="s">
        <v>13</v>
      </c>
      <c r="N507">
        <f t="shared" si="21"/>
        <v>35.198</v>
      </c>
      <c r="O507" t="str">
        <f t="shared" si="22"/>
        <v>May</v>
      </c>
      <c r="P507" t="str">
        <f t="shared" si="23"/>
        <v>Weekday</v>
      </c>
    </row>
    <row r="508" spans="1:16" x14ac:dyDescent="0.3">
      <c r="A508" s="1">
        <v>42147</v>
      </c>
      <c r="B508">
        <v>5.68</v>
      </c>
      <c r="C508">
        <v>2.69</v>
      </c>
      <c r="D508">
        <v>5</v>
      </c>
      <c r="E508">
        <v>23.45</v>
      </c>
      <c r="F508">
        <v>10</v>
      </c>
      <c r="G508">
        <v>0</v>
      </c>
      <c r="H508">
        <v>2</v>
      </c>
      <c r="I508">
        <v>7</v>
      </c>
      <c r="J508">
        <v>2015</v>
      </c>
      <c r="K508">
        <v>5</v>
      </c>
      <c r="L508">
        <v>276</v>
      </c>
      <c r="M508" t="s">
        <v>14</v>
      </c>
      <c r="N508">
        <f t="shared" si="21"/>
        <v>55.82</v>
      </c>
      <c r="O508" t="str">
        <f t="shared" si="22"/>
        <v>May</v>
      </c>
      <c r="P508" t="str">
        <f t="shared" si="23"/>
        <v>Weekend</v>
      </c>
    </row>
    <row r="509" spans="1:16" x14ac:dyDescent="0.3">
      <c r="A509" s="1">
        <v>42148</v>
      </c>
      <c r="B509">
        <v>5.33</v>
      </c>
      <c r="C509">
        <v>7.7690000000000001</v>
      </c>
      <c r="D509">
        <v>3</v>
      </c>
      <c r="E509">
        <v>20</v>
      </c>
      <c r="F509">
        <v>5</v>
      </c>
      <c r="G509">
        <v>0</v>
      </c>
      <c r="H509">
        <v>0</v>
      </c>
      <c r="I509">
        <v>1.3</v>
      </c>
      <c r="J509">
        <v>2015</v>
      </c>
      <c r="K509">
        <v>5</v>
      </c>
      <c r="L509">
        <v>276</v>
      </c>
      <c r="M509" t="s">
        <v>15</v>
      </c>
      <c r="N509">
        <f t="shared" si="21"/>
        <v>42.399000000000001</v>
      </c>
      <c r="O509" t="str">
        <f t="shared" si="22"/>
        <v>May</v>
      </c>
      <c r="P509" t="str">
        <f t="shared" si="23"/>
        <v>Weekend</v>
      </c>
    </row>
    <row r="510" spans="1:16" x14ac:dyDescent="0.3">
      <c r="A510" s="1">
        <v>42149</v>
      </c>
      <c r="B510">
        <v>9.66</v>
      </c>
      <c r="C510">
        <v>3.33</v>
      </c>
      <c r="D510">
        <v>4</v>
      </c>
      <c r="E510">
        <v>30</v>
      </c>
      <c r="F510">
        <v>11</v>
      </c>
      <c r="G510">
        <v>3</v>
      </c>
      <c r="H510">
        <v>0</v>
      </c>
      <c r="I510">
        <v>3</v>
      </c>
      <c r="J510">
        <v>2015</v>
      </c>
      <c r="K510">
        <v>5</v>
      </c>
      <c r="L510">
        <v>276</v>
      </c>
      <c r="M510" t="s">
        <v>16</v>
      </c>
      <c r="N510">
        <f t="shared" si="21"/>
        <v>63.99</v>
      </c>
      <c r="O510" t="str">
        <f t="shared" si="22"/>
        <v>May</v>
      </c>
      <c r="P510" t="str">
        <f t="shared" si="23"/>
        <v>Weekday</v>
      </c>
    </row>
    <row r="511" spans="1:16" x14ac:dyDescent="0.3">
      <c r="A511" s="1">
        <v>42150</v>
      </c>
      <c r="B511">
        <v>7.34</v>
      </c>
      <c r="C511">
        <v>3.34</v>
      </c>
      <c r="D511">
        <v>4.5</v>
      </c>
      <c r="E511">
        <v>27</v>
      </c>
      <c r="F511">
        <v>11</v>
      </c>
      <c r="G511">
        <v>0</v>
      </c>
      <c r="H511">
        <v>22</v>
      </c>
      <c r="I511">
        <v>10</v>
      </c>
      <c r="J511">
        <v>2015</v>
      </c>
      <c r="K511">
        <v>5</v>
      </c>
      <c r="L511">
        <v>276</v>
      </c>
      <c r="M511" t="s">
        <v>17</v>
      </c>
      <c r="N511">
        <f t="shared" si="21"/>
        <v>85.18</v>
      </c>
      <c r="O511" t="str">
        <f t="shared" si="22"/>
        <v>May</v>
      </c>
      <c r="P511" t="str">
        <f t="shared" si="23"/>
        <v>Weekday</v>
      </c>
    </row>
    <row r="512" spans="1:16" x14ac:dyDescent="0.3">
      <c r="A512" s="1">
        <v>42151</v>
      </c>
      <c r="B512">
        <v>4</v>
      </c>
      <c r="C512">
        <v>2.66</v>
      </c>
      <c r="D512">
        <v>2</v>
      </c>
      <c r="E512">
        <v>24.2</v>
      </c>
      <c r="F512">
        <v>7</v>
      </c>
      <c r="G512">
        <v>0</v>
      </c>
      <c r="H512">
        <v>0</v>
      </c>
      <c r="I512">
        <v>1</v>
      </c>
      <c r="J512">
        <v>2015</v>
      </c>
      <c r="K512">
        <v>5</v>
      </c>
      <c r="L512">
        <v>276</v>
      </c>
      <c r="M512" t="s">
        <v>18</v>
      </c>
      <c r="N512">
        <f t="shared" si="21"/>
        <v>40.86</v>
      </c>
      <c r="O512" t="str">
        <f t="shared" si="22"/>
        <v>May</v>
      </c>
      <c r="P512" t="str">
        <f t="shared" si="23"/>
        <v>Weekday</v>
      </c>
    </row>
    <row r="513" spans="1:16" x14ac:dyDescent="0.3">
      <c r="A513" s="1">
        <v>42152</v>
      </c>
      <c r="B513">
        <v>6</v>
      </c>
      <c r="C513">
        <v>2.33</v>
      </c>
      <c r="D513">
        <v>6.7</v>
      </c>
      <c r="E513">
        <v>17.100000000000001</v>
      </c>
      <c r="F513">
        <v>3</v>
      </c>
      <c r="G513">
        <v>0</v>
      </c>
      <c r="H513">
        <v>20</v>
      </c>
      <c r="I513">
        <v>3</v>
      </c>
      <c r="J513">
        <v>2015</v>
      </c>
      <c r="K513">
        <v>5</v>
      </c>
      <c r="L513">
        <v>276</v>
      </c>
      <c r="M513" t="s">
        <v>12</v>
      </c>
      <c r="N513">
        <f t="shared" si="21"/>
        <v>58.13</v>
      </c>
      <c r="O513" t="str">
        <f t="shared" si="22"/>
        <v>May</v>
      </c>
      <c r="P513" t="str">
        <f t="shared" si="23"/>
        <v>Weekday</v>
      </c>
    </row>
    <row r="514" spans="1:16" x14ac:dyDescent="0.3">
      <c r="A514" s="1">
        <v>42153</v>
      </c>
      <c r="B514">
        <v>6.33</v>
      </c>
      <c r="C514">
        <v>5.01</v>
      </c>
      <c r="D514">
        <v>3</v>
      </c>
      <c r="E514">
        <v>41.8</v>
      </c>
      <c r="F514">
        <v>6</v>
      </c>
      <c r="G514">
        <v>0</v>
      </c>
      <c r="H514">
        <v>5</v>
      </c>
      <c r="I514">
        <v>3</v>
      </c>
      <c r="J514">
        <v>2015</v>
      </c>
      <c r="K514">
        <v>5</v>
      </c>
      <c r="L514">
        <v>276</v>
      </c>
      <c r="M514" t="s">
        <v>13</v>
      </c>
      <c r="N514">
        <f t="shared" si="21"/>
        <v>70.14</v>
      </c>
      <c r="O514" t="str">
        <f t="shared" si="22"/>
        <v>May</v>
      </c>
      <c r="P514" t="str">
        <f t="shared" si="23"/>
        <v>Weekday</v>
      </c>
    </row>
    <row r="515" spans="1:16" x14ac:dyDescent="0.3">
      <c r="A515" s="1">
        <v>42154</v>
      </c>
      <c r="B515">
        <v>14</v>
      </c>
      <c r="C515">
        <v>2.68</v>
      </c>
      <c r="D515">
        <v>6</v>
      </c>
      <c r="E515">
        <v>24.5</v>
      </c>
      <c r="F515">
        <v>4</v>
      </c>
      <c r="G515">
        <v>0</v>
      </c>
      <c r="H515">
        <v>4</v>
      </c>
      <c r="I515">
        <v>8</v>
      </c>
      <c r="J515">
        <v>2015</v>
      </c>
      <c r="K515">
        <v>5</v>
      </c>
      <c r="L515">
        <v>276</v>
      </c>
      <c r="M515" t="s">
        <v>14</v>
      </c>
      <c r="N515">
        <f t="shared" ref="N515:N578" si="24">SUM(B515:I515)</f>
        <v>63.18</v>
      </c>
      <c r="O515" t="str">
        <f t="shared" ref="O515:O578" si="25">TEXT(A515,"mmmm")</f>
        <v>May</v>
      </c>
      <c r="P515" t="str">
        <f t="shared" ref="P515:P578" si="26">IF(OR(M515="Saturday",M515="Sunday"),"Weekend","Weekday")</f>
        <v>Weekend</v>
      </c>
    </row>
    <row r="516" spans="1:16" x14ac:dyDescent="0.3">
      <c r="A516" s="1">
        <v>42155</v>
      </c>
      <c r="B516">
        <v>3</v>
      </c>
      <c r="C516">
        <v>4.6970000000000001</v>
      </c>
      <c r="D516">
        <v>6.3</v>
      </c>
      <c r="E516">
        <v>31.5</v>
      </c>
      <c r="F516">
        <v>2</v>
      </c>
      <c r="G516">
        <v>0</v>
      </c>
      <c r="H516">
        <v>0</v>
      </c>
      <c r="I516">
        <v>10.5</v>
      </c>
      <c r="J516">
        <v>2015</v>
      </c>
      <c r="K516">
        <v>5</v>
      </c>
      <c r="L516">
        <v>276</v>
      </c>
      <c r="M516" t="s">
        <v>15</v>
      </c>
      <c r="N516">
        <f t="shared" si="24"/>
        <v>57.997</v>
      </c>
      <c r="O516" t="str">
        <f t="shared" si="25"/>
        <v>May</v>
      </c>
      <c r="P516" t="str">
        <f t="shared" si="26"/>
        <v>Weekend</v>
      </c>
    </row>
    <row r="517" spans="1:16" x14ac:dyDescent="0.3">
      <c r="A517" s="1">
        <v>42156</v>
      </c>
      <c r="B517">
        <v>4.66</v>
      </c>
      <c r="C517">
        <v>5</v>
      </c>
      <c r="D517">
        <v>2.5</v>
      </c>
      <c r="E517">
        <v>23.55</v>
      </c>
      <c r="F517">
        <v>12</v>
      </c>
      <c r="G517">
        <v>0</v>
      </c>
      <c r="H517">
        <v>2</v>
      </c>
      <c r="I517">
        <v>3</v>
      </c>
      <c r="J517">
        <v>2015</v>
      </c>
      <c r="K517">
        <v>6</v>
      </c>
      <c r="L517">
        <v>276</v>
      </c>
      <c r="M517" t="s">
        <v>16</v>
      </c>
      <c r="N517">
        <f t="shared" si="24"/>
        <v>52.71</v>
      </c>
      <c r="O517" t="str">
        <f t="shared" si="25"/>
        <v>June</v>
      </c>
      <c r="P517" t="str">
        <f t="shared" si="26"/>
        <v>Weekday</v>
      </c>
    </row>
    <row r="518" spans="1:16" x14ac:dyDescent="0.3">
      <c r="A518" s="1">
        <v>42157</v>
      </c>
      <c r="B518">
        <v>8.33</v>
      </c>
      <c r="C518">
        <v>8</v>
      </c>
      <c r="D518">
        <v>7.9</v>
      </c>
      <c r="E518">
        <v>24</v>
      </c>
      <c r="F518">
        <v>10</v>
      </c>
      <c r="G518">
        <v>4</v>
      </c>
      <c r="H518">
        <v>3</v>
      </c>
      <c r="I518">
        <v>6</v>
      </c>
      <c r="J518">
        <v>2015</v>
      </c>
      <c r="K518">
        <v>6</v>
      </c>
      <c r="L518">
        <v>276</v>
      </c>
      <c r="M518" t="s">
        <v>17</v>
      </c>
      <c r="N518">
        <f t="shared" si="24"/>
        <v>71.22999999999999</v>
      </c>
      <c r="O518" t="str">
        <f t="shared" si="25"/>
        <v>June</v>
      </c>
      <c r="P518" t="str">
        <f t="shared" si="26"/>
        <v>Weekday</v>
      </c>
    </row>
    <row r="519" spans="1:16" x14ac:dyDescent="0.3">
      <c r="A519" s="1">
        <v>42158</v>
      </c>
      <c r="B519">
        <v>5</v>
      </c>
      <c r="C519">
        <v>1.66</v>
      </c>
      <c r="D519">
        <v>5.3</v>
      </c>
      <c r="E519">
        <v>30</v>
      </c>
      <c r="F519">
        <v>9</v>
      </c>
      <c r="G519">
        <v>0</v>
      </c>
      <c r="H519">
        <v>6</v>
      </c>
      <c r="I519">
        <v>2</v>
      </c>
      <c r="J519">
        <v>2015</v>
      </c>
      <c r="K519">
        <v>6</v>
      </c>
      <c r="L519">
        <v>276</v>
      </c>
      <c r="M519" t="s">
        <v>18</v>
      </c>
      <c r="N519">
        <f t="shared" si="24"/>
        <v>58.96</v>
      </c>
      <c r="O519" t="str">
        <f t="shared" si="25"/>
        <v>June</v>
      </c>
      <c r="P519" t="str">
        <f t="shared" si="26"/>
        <v>Weekday</v>
      </c>
    </row>
    <row r="520" spans="1:16" x14ac:dyDescent="0.3">
      <c r="A520" s="1">
        <v>42159</v>
      </c>
      <c r="B520">
        <v>2.33</v>
      </c>
      <c r="C520">
        <v>4</v>
      </c>
      <c r="D520">
        <v>3</v>
      </c>
      <c r="E520">
        <v>20</v>
      </c>
      <c r="F520">
        <v>5</v>
      </c>
      <c r="G520">
        <v>0</v>
      </c>
      <c r="H520">
        <v>2</v>
      </c>
      <c r="I520">
        <v>2</v>
      </c>
      <c r="J520">
        <v>2015</v>
      </c>
      <c r="K520">
        <v>6</v>
      </c>
      <c r="L520">
        <v>276</v>
      </c>
      <c r="M520" t="s">
        <v>12</v>
      </c>
      <c r="N520">
        <f t="shared" si="24"/>
        <v>38.33</v>
      </c>
      <c r="O520" t="str">
        <f t="shared" si="25"/>
        <v>June</v>
      </c>
      <c r="P520" t="str">
        <f t="shared" si="26"/>
        <v>Weekday</v>
      </c>
    </row>
    <row r="521" spans="1:16" x14ac:dyDescent="0.3">
      <c r="A521" s="1">
        <v>42160</v>
      </c>
      <c r="B521">
        <v>5</v>
      </c>
      <c r="C521">
        <v>0.67</v>
      </c>
      <c r="D521">
        <v>5</v>
      </c>
      <c r="E521">
        <v>13</v>
      </c>
      <c r="F521">
        <v>6</v>
      </c>
      <c r="G521">
        <v>0</v>
      </c>
      <c r="H521">
        <v>1</v>
      </c>
      <c r="I521">
        <v>7</v>
      </c>
      <c r="J521">
        <v>2015</v>
      </c>
      <c r="K521">
        <v>6</v>
      </c>
      <c r="L521">
        <v>276</v>
      </c>
      <c r="M521" t="s">
        <v>13</v>
      </c>
      <c r="N521">
        <f t="shared" si="24"/>
        <v>37.67</v>
      </c>
      <c r="O521" t="str">
        <f t="shared" si="25"/>
        <v>June</v>
      </c>
      <c r="P521" t="str">
        <f t="shared" si="26"/>
        <v>Weekday</v>
      </c>
    </row>
    <row r="522" spans="1:16" x14ac:dyDescent="0.3">
      <c r="A522" s="1">
        <v>42161</v>
      </c>
      <c r="B522">
        <v>3.68</v>
      </c>
      <c r="C522">
        <v>3.68</v>
      </c>
      <c r="D522">
        <v>2</v>
      </c>
      <c r="E522">
        <v>16</v>
      </c>
      <c r="F522">
        <v>6</v>
      </c>
      <c r="G522">
        <v>0</v>
      </c>
      <c r="H522">
        <v>17</v>
      </c>
      <c r="I522">
        <v>2</v>
      </c>
      <c r="J522">
        <v>2015</v>
      </c>
      <c r="K522">
        <v>6</v>
      </c>
      <c r="L522">
        <v>276</v>
      </c>
      <c r="M522" t="s">
        <v>14</v>
      </c>
      <c r="N522">
        <f t="shared" si="24"/>
        <v>50.36</v>
      </c>
      <c r="O522" t="str">
        <f t="shared" si="25"/>
        <v>June</v>
      </c>
      <c r="P522" t="str">
        <f t="shared" si="26"/>
        <v>Weekend</v>
      </c>
    </row>
    <row r="523" spans="1:16" x14ac:dyDescent="0.3">
      <c r="A523" s="1">
        <v>42162</v>
      </c>
      <c r="B523">
        <v>6.34</v>
      </c>
      <c r="C523">
        <v>5.01</v>
      </c>
      <c r="D523">
        <v>2</v>
      </c>
      <c r="E523">
        <v>17</v>
      </c>
      <c r="F523">
        <v>6</v>
      </c>
      <c r="G523">
        <v>1</v>
      </c>
      <c r="H523">
        <v>22</v>
      </c>
      <c r="I523">
        <v>6</v>
      </c>
      <c r="J523">
        <v>2015</v>
      </c>
      <c r="K523">
        <v>6</v>
      </c>
      <c r="L523">
        <v>276</v>
      </c>
      <c r="M523" t="s">
        <v>15</v>
      </c>
      <c r="N523">
        <f t="shared" si="24"/>
        <v>65.349999999999994</v>
      </c>
      <c r="O523" t="str">
        <f t="shared" si="25"/>
        <v>June</v>
      </c>
      <c r="P523" t="str">
        <f t="shared" si="26"/>
        <v>Weekend</v>
      </c>
    </row>
    <row r="524" spans="1:16" x14ac:dyDescent="0.3">
      <c r="A524" s="1">
        <v>42163</v>
      </c>
      <c r="B524">
        <v>6</v>
      </c>
      <c r="C524">
        <v>5.66</v>
      </c>
      <c r="D524">
        <v>2.5</v>
      </c>
      <c r="E524">
        <v>31</v>
      </c>
      <c r="F524">
        <v>10</v>
      </c>
      <c r="G524">
        <v>1</v>
      </c>
      <c r="H524">
        <v>3</v>
      </c>
      <c r="I524">
        <v>7</v>
      </c>
      <c r="J524">
        <v>2015</v>
      </c>
      <c r="K524">
        <v>6</v>
      </c>
      <c r="L524">
        <v>276</v>
      </c>
      <c r="M524" t="s">
        <v>16</v>
      </c>
      <c r="N524">
        <f t="shared" si="24"/>
        <v>66.16</v>
      </c>
      <c r="O524" t="str">
        <f t="shared" si="25"/>
        <v>June</v>
      </c>
      <c r="P524" t="str">
        <f t="shared" si="26"/>
        <v>Weekday</v>
      </c>
    </row>
    <row r="525" spans="1:16" x14ac:dyDescent="0.3">
      <c r="A525" s="1">
        <v>42164</v>
      </c>
      <c r="B525">
        <v>3</v>
      </c>
      <c r="C525">
        <v>4</v>
      </c>
      <c r="D525">
        <v>4</v>
      </c>
      <c r="E525">
        <v>26.6</v>
      </c>
      <c r="F525">
        <v>14</v>
      </c>
      <c r="G525">
        <v>0</v>
      </c>
      <c r="H525">
        <v>0</v>
      </c>
      <c r="I525">
        <v>4.5999999999999996</v>
      </c>
      <c r="J525">
        <v>2015</v>
      </c>
      <c r="K525">
        <v>6</v>
      </c>
      <c r="L525">
        <v>276</v>
      </c>
      <c r="M525" t="s">
        <v>17</v>
      </c>
      <c r="N525">
        <f t="shared" si="24"/>
        <v>56.2</v>
      </c>
      <c r="O525" t="str">
        <f t="shared" si="25"/>
        <v>June</v>
      </c>
      <c r="P525" t="str">
        <f t="shared" si="26"/>
        <v>Weekday</v>
      </c>
    </row>
    <row r="526" spans="1:16" x14ac:dyDescent="0.3">
      <c r="A526" s="1">
        <v>42165</v>
      </c>
      <c r="B526">
        <v>4.34</v>
      </c>
      <c r="C526">
        <v>3.01</v>
      </c>
      <c r="D526">
        <v>8</v>
      </c>
      <c r="E526">
        <v>18.675999999999998</v>
      </c>
      <c r="F526">
        <v>6</v>
      </c>
      <c r="G526">
        <v>0</v>
      </c>
      <c r="H526">
        <v>7</v>
      </c>
      <c r="I526">
        <v>2</v>
      </c>
      <c r="J526">
        <v>2015</v>
      </c>
      <c r="K526">
        <v>6</v>
      </c>
      <c r="L526">
        <v>276</v>
      </c>
      <c r="M526" t="s">
        <v>18</v>
      </c>
      <c r="N526">
        <f t="shared" si="24"/>
        <v>49.025999999999996</v>
      </c>
      <c r="O526" t="str">
        <f t="shared" si="25"/>
        <v>June</v>
      </c>
      <c r="P526" t="str">
        <f t="shared" si="26"/>
        <v>Weekday</v>
      </c>
    </row>
    <row r="527" spans="1:16" x14ac:dyDescent="0.3">
      <c r="A527" s="1">
        <v>42166</v>
      </c>
      <c r="B527">
        <v>6</v>
      </c>
      <c r="C527">
        <v>2.33</v>
      </c>
      <c r="D527">
        <v>5.0999999999999996</v>
      </c>
      <c r="E527">
        <v>38.299999999999997</v>
      </c>
      <c r="F527">
        <v>11</v>
      </c>
      <c r="G527">
        <v>0</v>
      </c>
      <c r="H527">
        <v>1</v>
      </c>
      <c r="I527">
        <v>3</v>
      </c>
      <c r="J527">
        <v>2015</v>
      </c>
      <c r="K527">
        <v>6</v>
      </c>
      <c r="L527">
        <v>276</v>
      </c>
      <c r="M527" t="s">
        <v>12</v>
      </c>
      <c r="N527">
        <f t="shared" si="24"/>
        <v>66.72999999999999</v>
      </c>
      <c r="O527" t="str">
        <f t="shared" si="25"/>
        <v>June</v>
      </c>
      <c r="P527" t="str">
        <f t="shared" si="26"/>
        <v>Weekday</v>
      </c>
    </row>
    <row r="528" spans="1:16" x14ac:dyDescent="0.3">
      <c r="A528" s="1">
        <v>42167</v>
      </c>
      <c r="B528">
        <v>1.67</v>
      </c>
      <c r="C528">
        <v>1.66</v>
      </c>
      <c r="D528">
        <v>2</v>
      </c>
      <c r="E528">
        <v>17.5</v>
      </c>
      <c r="F528">
        <v>2</v>
      </c>
      <c r="G528">
        <v>2</v>
      </c>
      <c r="H528">
        <v>0</v>
      </c>
      <c r="I528">
        <v>5</v>
      </c>
      <c r="J528">
        <v>2015</v>
      </c>
      <c r="K528">
        <v>6</v>
      </c>
      <c r="L528">
        <v>276</v>
      </c>
      <c r="M528" t="s">
        <v>13</v>
      </c>
      <c r="N528">
        <f t="shared" si="24"/>
        <v>31.83</v>
      </c>
      <c r="O528" t="str">
        <f t="shared" si="25"/>
        <v>June</v>
      </c>
      <c r="P528" t="str">
        <f t="shared" si="26"/>
        <v>Weekday</v>
      </c>
    </row>
    <row r="529" spans="1:16" x14ac:dyDescent="0.3">
      <c r="A529" s="1">
        <v>42168</v>
      </c>
      <c r="B529">
        <v>2.33</v>
      </c>
      <c r="C529">
        <v>4.66</v>
      </c>
      <c r="D529">
        <v>7.3</v>
      </c>
      <c r="E529">
        <v>21.4</v>
      </c>
      <c r="F529">
        <v>6</v>
      </c>
      <c r="G529">
        <v>0</v>
      </c>
      <c r="H529">
        <v>12</v>
      </c>
      <c r="I529">
        <v>4</v>
      </c>
      <c r="J529">
        <v>2015</v>
      </c>
      <c r="K529">
        <v>6</v>
      </c>
      <c r="L529">
        <v>276</v>
      </c>
      <c r="M529" t="s">
        <v>14</v>
      </c>
      <c r="N529">
        <f t="shared" si="24"/>
        <v>57.69</v>
      </c>
      <c r="O529" t="str">
        <f t="shared" si="25"/>
        <v>June</v>
      </c>
      <c r="P529" t="str">
        <f t="shared" si="26"/>
        <v>Weekend</v>
      </c>
    </row>
    <row r="530" spans="1:16" x14ac:dyDescent="0.3">
      <c r="A530" s="1">
        <v>42169</v>
      </c>
      <c r="B530">
        <v>5</v>
      </c>
      <c r="C530">
        <v>3.67</v>
      </c>
      <c r="D530">
        <v>1.6</v>
      </c>
      <c r="E530">
        <v>14</v>
      </c>
      <c r="F530">
        <v>6</v>
      </c>
      <c r="G530">
        <v>0</v>
      </c>
      <c r="H530">
        <v>3</v>
      </c>
      <c r="I530">
        <v>2</v>
      </c>
      <c r="J530">
        <v>2015</v>
      </c>
      <c r="K530">
        <v>6</v>
      </c>
      <c r="L530">
        <v>276</v>
      </c>
      <c r="M530" t="s">
        <v>15</v>
      </c>
      <c r="N530">
        <f t="shared" si="24"/>
        <v>35.269999999999996</v>
      </c>
      <c r="O530" t="str">
        <f t="shared" si="25"/>
        <v>June</v>
      </c>
      <c r="P530" t="str">
        <f t="shared" si="26"/>
        <v>Weekend</v>
      </c>
    </row>
    <row r="531" spans="1:16" x14ac:dyDescent="0.3">
      <c r="A531" s="1">
        <v>42170</v>
      </c>
      <c r="B531">
        <v>4</v>
      </c>
      <c r="C531">
        <v>3.36</v>
      </c>
      <c r="D531">
        <v>5</v>
      </c>
      <c r="E531">
        <v>37</v>
      </c>
      <c r="F531">
        <v>9</v>
      </c>
      <c r="G531">
        <v>0</v>
      </c>
      <c r="H531">
        <v>6</v>
      </c>
      <c r="I531">
        <v>9</v>
      </c>
      <c r="J531">
        <v>2015</v>
      </c>
      <c r="K531">
        <v>6</v>
      </c>
      <c r="L531">
        <v>276</v>
      </c>
      <c r="M531" t="s">
        <v>16</v>
      </c>
      <c r="N531">
        <f t="shared" si="24"/>
        <v>73.36</v>
      </c>
      <c r="O531" t="str">
        <f t="shared" si="25"/>
        <v>June</v>
      </c>
      <c r="P531" t="str">
        <f t="shared" si="26"/>
        <v>Weekday</v>
      </c>
    </row>
    <row r="532" spans="1:16" x14ac:dyDescent="0.3">
      <c r="A532" s="1">
        <v>42171</v>
      </c>
      <c r="B532">
        <v>7</v>
      </c>
      <c r="C532">
        <v>3.34</v>
      </c>
      <c r="D532">
        <v>4</v>
      </c>
      <c r="E532">
        <v>20</v>
      </c>
      <c r="F532">
        <v>6</v>
      </c>
      <c r="G532">
        <v>0</v>
      </c>
      <c r="H532">
        <v>8</v>
      </c>
      <c r="I532">
        <v>5</v>
      </c>
      <c r="J532">
        <v>2015</v>
      </c>
      <c r="K532">
        <v>6</v>
      </c>
      <c r="L532">
        <v>276</v>
      </c>
      <c r="M532" t="s">
        <v>17</v>
      </c>
      <c r="N532">
        <f t="shared" si="24"/>
        <v>53.34</v>
      </c>
      <c r="O532" t="str">
        <f t="shared" si="25"/>
        <v>June</v>
      </c>
      <c r="P532" t="str">
        <f t="shared" si="26"/>
        <v>Weekday</v>
      </c>
    </row>
    <row r="533" spans="1:16" x14ac:dyDescent="0.3">
      <c r="A533" s="1">
        <v>42172</v>
      </c>
      <c r="B533">
        <v>3.66</v>
      </c>
      <c r="C533">
        <v>3.32</v>
      </c>
      <c r="D533">
        <v>8.66</v>
      </c>
      <c r="E533">
        <v>24</v>
      </c>
      <c r="F533">
        <v>10</v>
      </c>
      <c r="G533">
        <v>1</v>
      </c>
      <c r="H533">
        <v>20</v>
      </c>
      <c r="I533">
        <v>2</v>
      </c>
      <c r="J533">
        <v>2015</v>
      </c>
      <c r="K533">
        <v>6</v>
      </c>
      <c r="L533">
        <v>276</v>
      </c>
      <c r="M533" t="s">
        <v>18</v>
      </c>
      <c r="N533">
        <f t="shared" si="24"/>
        <v>72.64</v>
      </c>
      <c r="O533" t="str">
        <f t="shared" si="25"/>
        <v>June</v>
      </c>
      <c r="P533" t="str">
        <f t="shared" si="26"/>
        <v>Weekday</v>
      </c>
    </row>
    <row r="534" spans="1:16" x14ac:dyDescent="0.3">
      <c r="A534" s="1">
        <v>42173</v>
      </c>
      <c r="B534">
        <v>3</v>
      </c>
      <c r="C534">
        <v>5.33</v>
      </c>
      <c r="D534">
        <v>7</v>
      </c>
      <c r="E534">
        <v>24.6</v>
      </c>
      <c r="F534">
        <v>4</v>
      </c>
      <c r="G534">
        <v>0</v>
      </c>
      <c r="H534">
        <v>23</v>
      </c>
      <c r="I534">
        <v>3.6</v>
      </c>
      <c r="J534">
        <v>2015</v>
      </c>
      <c r="K534">
        <v>6</v>
      </c>
      <c r="L534">
        <v>276</v>
      </c>
      <c r="M534" t="s">
        <v>12</v>
      </c>
      <c r="N534">
        <f t="shared" si="24"/>
        <v>70.53</v>
      </c>
      <c r="O534" t="str">
        <f t="shared" si="25"/>
        <v>June</v>
      </c>
      <c r="P534" t="str">
        <f t="shared" si="26"/>
        <v>Weekday</v>
      </c>
    </row>
    <row r="535" spans="1:16" x14ac:dyDescent="0.3">
      <c r="A535" s="1">
        <v>42174</v>
      </c>
      <c r="B535">
        <v>5.33</v>
      </c>
      <c r="C535">
        <v>4.01</v>
      </c>
      <c r="D535">
        <v>3.1</v>
      </c>
      <c r="E535">
        <v>24</v>
      </c>
      <c r="F535">
        <v>13</v>
      </c>
      <c r="G535">
        <v>2</v>
      </c>
      <c r="H535">
        <v>10</v>
      </c>
      <c r="I535">
        <v>6.3</v>
      </c>
      <c r="J535">
        <v>2015</v>
      </c>
      <c r="K535">
        <v>6</v>
      </c>
      <c r="L535">
        <v>276</v>
      </c>
      <c r="M535" t="s">
        <v>13</v>
      </c>
      <c r="N535">
        <f t="shared" si="24"/>
        <v>67.739999999999995</v>
      </c>
      <c r="O535" t="str">
        <f t="shared" si="25"/>
        <v>June</v>
      </c>
      <c r="P535" t="str">
        <f t="shared" si="26"/>
        <v>Weekday</v>
      </c>
    </row>
    <row r="536" spans="1:16" x14ac:dyDescent="0.3">
      <c r="A536" s="1">
        <v>42175</v>
      </c>
      <c r="B536">
        <v>9.34</v>
      </c>
      <c r="C536">
        <v>3</v>
      </c>
      <c r="D536">
        <v>3</v>
      </c>
      <c r="E536">
        <v>26.8</v>
      </c>
      <c r="F536">
        <v>5</v>
      </c>
      <c r="G536">
        <v>0</v>
      </c>
      <c r="H536">
        <v>10</v>
      </c>
      <c r="I536">
        <v>7</v>
      </c>
      <c r="J536">
        <v>2015</v>
      </c>
      <c r="K536">
        <v>6</v>
      </c>
      <c r="L536">
        <v>276</v>
      </c>
      <c r="M536" t="s">
        <v>14</v>
      </c>
      <c r="N536">
        <f t="shared" si="24"/>
        <v>64.14</v>
      </c>
      <c r="O536" t="str">
        <f t="shared" si="25"/>
        <v>June</v>
      </c>
      <c r="P536" t="str">
        <f t="shared" si="26"/>
        <v>Weekend</v>
      </c>
    </row>
    <row r="537" spans="1:16" x14ac:dyDescent="0.3">
      <c r="A537" s="1">
        <v>42176</v>
      </c>
      <c r="B537">
        <v>9.34</v>
      </c>
      <c r="C537">
        <v>0.68</v>
      </c>
      <c r="D537">
        <v>5</v>
      </c>
      <c r="E537">
        <v>18</v>
      </c>
      <c r="F537">
        <v>5</v>
      </c>
      <c r="G537">
        <v>0</v>
      </c>
      <c r="H537">
        <v>6</v>
      </c>
      <c r="I537">
        <v>2</v>
      </c>
      <c r="J537">
        <v>2015</v>
      </c>
      <c r="K537">
        <v>6</v>
      </c>
      <c r="L537">
        <v>276</v>
      </c>
      <c r="M537" t="s">
        <v>15</v>
      </c>
      <c r="N537">
        <f t="shared" si="24"/>
        <v>46.019999999999996</v>
      </c>
      <c r="O537" t="str">
        <f t="shared" si="25"/>
        <v>June</v>
      </c>
      <c r="P537" t="str">
        <f t="shared" si="26"/>
        <v>Weekend</v>
      </c>
    </row>
    <row r="538" spans="1:16" x14ac:dyDescent="0.3">
      <c r="A538" s="1">
        <v>42177</v>
      </c>
      <c r="B538">
        <v>5.17</v>
      </c>
      <c r="C538">
        <v>6.99</v>
      </c>
      <c r="D538">
        <v>9.6</v>
      </c>
      <c r="E538">
        <v>29.062000000000001</v>
      </c>
      <c r="F538">
        <v>0</v>
      </c>
      <c r="G538">
        <v>0</v>
      </c>
      <c r="H538">
        <v>1</v>
      </c>
      <c r="I538">
        <v>5</v>
      </c>
      <c r="J538">
        <v>2015</v>
      </c>
      <c r="K538">
        <v>6</v>
      </c>
      <c r="L538">
        <v>276</v>
      </c>
      <c r="M538" t="s">
        <v>16</v>
      </c>
      <c r="N538">
        <f t="shared" si="24"/>
        <v>56.822000000000003</v>
      </c>
      <c r="O538" t="str">
        <f t="shared" si="25"/>
        <v>June</v>
      </c>
      <c r="P538" t="str">
        <f t="shared" si="26"/>
        <v>Weekday</v>
      </c>
    </row>
    <row r="539" spans="1:16" x14ac:dyDescent="0.3">
      <c r="A539" s="1">
        <v>42178</v>
      </c>
      <c r="B539">
        <v>4.67</v>
      </c>
      <c r="C539">
        <v>5.67</v>
      </c>
      <c r="D539">
        <v>3.5</v>
      </c>
      <c r="E539">
        <v>19</v>
      </c>
      <c r="F539">
        <v>7</v>
      </c>
      <c r="G539">
        <v>0</v>
      </c>
      <c r="H539">
        <v>5</v>
      </c>
      <c r="I539">
        <v>5</v>
      </c>
      <c r="J539">
        <v>2015</v>
      </c>
      <c r="K539">
        <v>6</v>
      </c>
      <c r="L539">
        <v>276</v>
      </c>
      <c r="M539" t="s">
        <v>17</v>
      </c>
      <c r="N539">
        <f t="shared" si="24"/>
        <v>49.84</v>
      </c>
      <c r="O539" t="str">
        <f t="shared" si="25"/>
        <v>June</v>
      </c>
      <c r="P539" t="str">
        <f t="shared" si="26"/>
        <v>Weekday</v>
      </c>
    </row>
    <row r="540" spans="1:16" x14ac:dyDescent="0.3">
      <c r="A540" s="1">
        <v>42179</v>
      </c>
      <c r="B540">
        <v>3.83</v>
      </c>
      <c r="C540">
        <v>4</v>
      </c>
      <c r="D540">
        <v>7</v>
      </c>
      <c r="E540">
        <v>23.8</v>
      </c>
      <c r="F540">
        <v>5</v>
      </c>
      <c r="G540">
        <v>1</v>
      </c>
      <c r="H540">
        <v>4</v>
      </c>
      <c r="I540">
        <v>3</v>
      </c>
      <c r="J540">
        <v>2015</v>
      </c>
      <c r="K540">
        <v>6</v>
      </c>
      <c r="L540">
        <v>276</v>
      </c>
      <c r="M540" t="s">
        <v>18</v>
      </c>
      <c r="N540">
        <f t="shared" si="24"/>
        <v>51.63</v>
      </c>
      <c r="O540" t="str">
        <f t="shared" si="25"/>
        <v>June</v>
      </c>
      <c r="P540" t="str">
        <f t="shared" si="26"/>
        <v>Weekday</v>
      </c>
    </row>
    <row r="541" spans="1:16" x14ac:dyDescent="0.3">
      <c r="A541" s="1">
        <v>42180</v>
      </c>
      <c r="B541">
        <v>6.33</v>
      </c>
      <c r="C541">
        <v>4.34</v>
      </c>
      <c r="D541">
        <v>6</v>
      </c>
      <c r="E541">
        <v>24.125</v>
      </c>
      <c r="F541">
        <v>4</v>
      </c>
      <c r="G541">
        <v>0</v>
      </c>
      <c r="H541">
        <v>0</v>
      </c>
      <c r="I541">
        <v>3</v>
      </c>
      <c r="J541">
        <v>2015</v>
      </c>
      <c r="K541">
        <v>6</v>
      </c>
      <c r="L541">
        <v>276</v>
      </c>
      <c r="M541" t="s">
        <v>12</v>
      </c>
      <c r="N541">
        <f t="shared" si="24"/>
        <v>47.795000000000002</v>
      </c>
      <c r="O541" t="str">
        <f t="shared" si="25"/>
        <v>June</v>
      </c>
      <c r="P541" t="str">
        <f t="shared" si="26"/>
        <v>Weekday</v>
      </c>
    </row>
    <row r="542" spans="1:16" x14ac:dyDescent="0.3">
      <c r="A542" s="1">
        <v>42181</v>
      </c>
      <c r="B542">
        <v>7.17</v>
      </c>
      <c r="C542">
        <v>0.33</v>
      </c>
      <c r="D542">
        <v>2</v>
      </c>
      <c r="E542">
        <v>29</v>
      </c>
      <c r="F542">
        <v>3</v>
      </c>
      <c r="G542">
        <v>0</v>
      </c>
      <c r="H542">
        <v>1</v>
      </c>
      <c r="I542">
        <v>4</v>
      </c>
      <c r="J542">
        <v>2015</v>
      </c>
      <c r="K542">
        <v>6</v>
      </c>
      <c r="L542">
        <v>276</v>
      </c>
      <c r="M542" t="s">
        <v>13</v>
      </c>
      <c r="N542">
        <f t="shared" si="24"/>
        <v>46.5</v>
      </c>
      <c r="O542" t="str">
        <f t="shared" si="25"/>
        <v>June</v>
      </c>
      <c r="P542" t="str">
        <f t="shared" si="26"/>
        <v>Weekday</v>
      </c>
    </row>
    <row r="543" spans="1:16" x14ac:dyDescent="0.3">
      <c r="A543" s="1">
        <v>42182</v>
      </c>
      <c r="B543">
        <v>7.33</v>
      </c>
      <c r="C543">
        <v>3.33</v>
      </c>
      <c r="D543">
        <v>6</v>
      </c>
      <c r="E543">
        <v>36</v>
      </c>
      <c r="F543">
        <v>10</v>
      </c>
      <c r="G543">
        <v>0</v>
      </c>
      <c r="H543">
        <v>1</v>
      </c>
      <c r="I543">
        <v>2</v>
      </c>
      <c r="J543">
        <v>2015</v>
      </c>
      <c r="K543">
        <v>6</v>
      </c>
      <c r="L543">
        <v>276</v>
      </c>
      <c r="M543" t="s">
        <v>14</v>
      </c>
      <c r="N543">
        <f t="shared" si="24"/>
        <v>65.66</v>
      </c>
      <c r="O543" t="str">
        <f t="shared" si="25"/>
        <v>June</v>
      </c>
      <c r="P543" t="str">
        <f t="shared" si="26"/>
        <v>Weekend</v>
      </c>
    </row>
    <row r="544" spans="1:16" x14ac:dyDescent="0.3">
      <c r="A544" s="1">
        <v>42183</v>
      </c>
      <c r="B544">
        <v>5.34</v>
      </c>
      <c r="C544">
        <v>4.6500000000000004</v>
      </c>
      <c r="D544">
        <v>7.4</v>
      </c>
      <c r="E544">
        <v>12</v>
      </c>
      <c r="F544">
        <v>0</v>
      </c>
      <c r="G544">
        <v>0</v>
      </c>
      <c r="H544">
        <v>6</v>
      </c>
      <c r="I544">
        <v>6</v>
      </c>
      <c r="J544">
        <v>2015</v>
      </c>
      <c r="K544">
        <v>6</v>
      </c>
      <c r="L544">
        <v>276</v>
      </c>
      <c r="M544" t="s">
        <v>15</v>
      </c>
      <c r="N544">
        <f t="shared" si="24"/>
        <v>41.39</v>
      </c>
      <c r="O544" t="str">
        <f t="shared" si="25"/>
        <v>June</v>
      </c>
      <c r="P544" t="str">
        <f t="shared" si="26"/>
        <v>Weekend</v>
      </c>
    </row>
    <row r="545" spans="1:16" x14ac:dyDescent="0.3">
      <c r="A545" s="1">
        <v>42184</v>
      </c>
      <c r="B545">
        <v>5.68</v>
      </c>
      <c r="C545">
        <v>3.66</v>
      </c>
      <c r="D545">
        <v>4</v>
      </c>
      <c r="E545">
        <v>22</v>
      </c>
      <c r="F545">
        <v>15</v>
      </c>
      <c r="G545">
        <v>0</v>
      </c>
      <c r="H545">
        <v>11</v>
      </c>
      <c r="I545">
        <v>3</v>
      </c>
      <c r="J545">
        <v>2015</v>
      </c>
      <c r="K545">
        <v>6</v>
      </c>
      <c r="L545">
        <v>276</v>
      </c>
      <c r="M545" t="s">
        <v>16</v>
      </c>
      <c r="N545">
        <f t="shared" si="24"/>
        <v>64.34</v>
      </c>
      <c r="O545" t="str">
        <f t="shared" si="25"/>
        <v>June</v>
      </c>
      <c r="P545" t="str">
        <f t="shared" si="26"/>
        <v>Weekday</v>
      </c>
    </row>
    <row r="546" spans="1:16" x14ac:dyDescent="0.3">
      <c r="A546" s="1">
        <v>42185</v>
      </c>
      <c r="B546">
        <v>1</v>
      </c>
      <c r="C546">
        <v>4.67</v>
      </c>
      <c r="D546">
        <v>6</v>
      </c>
      <c r="E546">
        <v>35</v>
      </c>
      <c r="F546">
        <v>12</v>
      </c>
      <c r="G546">
        <v>0</v>
      </c>
      <c r="H546">
        <v>2</v>
      </c>
      <c r="I546">
        <v>4.3</v>
      </c>
      <c r="J546">
        <v>2015</v>
      </c>
      <c r="K546">
        <v>6</v>
      </c>
      <c r="L546">
        <v>276</v>
      </c>
      <c r="M546" t="s">
        <v>17</v>
      </c>
      <c r="N546">
        <f t="shared" si="24"/>
        <v>64.97</v>
      </c>
      <c r="O546" t="str">
        <f t="shared" si="25"/>
        <v>June</v>
      </c>
      <c r="P546" t="str">
        <f t="shared" si="26"/>
        <v>Weekday</v>
      </c>
    </row>
    <row r="547" spans="1:16" x14ac:dyDescent="0.3">
      <c r="A547" s="1">
        <v>42186</v>
      </c>
      <c r="B547">
        <v>8.83</v>
      </c>
      <c r="C547">
        <v>5.68</v>
      </c>
      <c r="D547">
        <v>5.4</v>
      </c>
      <c r="E547">
        <v>18.25</v>
      </c>
      <c r="F547">
        <v>14</v>
      </c>
      <c r="G547">
        <v>1</v>
      </c>
      <c r="H547">
        <v>12</v>
      </c>
      <c r="I547">
        <v>10</v>
      </c>
      <c r="J547">
        <v>2015</v>
      </c>
      <c r="K547">
        <v>7</v>
      </c>
      <c r="L547">
        <v>276</v>
      </c>
      <c r="M547" t="s">
        <v>18</v>
      </c>
      <c r="N547">
        <f t="shared" si="24"/>
        <v>75.16</v>
      </c>
      <c r="O547" t="str">
        <f t="shared" si="25"/>
        <v>July</v>
      </c>
      <c r="P547" t="str">
        <f t="shared" si="26"/>
        <v>Weekday</v>
      </c>
    </row>
    <row r="548" spans="1:16" x14ac:dyDescent="0.3">
      <c r="A548" s="1">
        <v>42187</v>
      </c>
      <c r="B548">
        <v>3</v>
      </c>
      <c r="C548">
        <v>2</v>
      </c>
      <c r="D548">
        <v>1</v>
      </c>
      <c r="E548">
        <v>23.15</v>
      </c>
      <c r="F548">
        <v>3</v>
      </c>
      <c r="G548">
        <v>0</v>
      </c>
      <c r="H548">
        <v>1</v>
      </c>
      <c r="I548">
        <v>2</v>
      </c>
      <c r="J548">
        <v>2015</v>
      </c>
      <c r="K548">
        <v>7</v>
      </c>
      <c r="L548">
        <v>276</v>
      </c>
      <c r="M548" t="s">
        <v>12</v>
      </c>
      <c r="N548">
        <f t="shared" si="24"/>
        <v>35.15</v>
      </c>
      <c r="O548" t="str">
        <f t="shared" si="25"/>
        <v>July</v>
      </c>
      <c r="P548" t="str">
        <f t="shared" si="26"/>
        <v>Weekday</v>
      </c>
    </row>
    <row r="549" spans="1:16" x14ac:dyDescent="0.3">
      <c r="A549" s="1">
        <v>42188</v>
      </c>
      <c r="B549">
        <v>5.5</v>
      </c>
      <c r="C549">
        <v>4.33</v>
      </c>
      <c r="D549">
        <v>3.5</v>
      </c>
      <c r="E549">
        <v>24.5</v>
      </c>
      <c r="F549">
        <v>10</v>
      </c>
      <c r="G549">
        <v>0</v>
      </c>
      <c r="H549">
        <v>8</v>
      </c>
      <c r="I549">
        <v>4</v>
      </c>
      <c r="J549">
        <v>2015</v>
      </c>
      <c r="K549">
        <v>7</v>
      </c>
      <c r="L549">
        <v>276</v>
      </c>
      <c r="M549" t="s">
        <v>13</v>
      </c>
      <c r="N549">
        <f t="shared" si="24"/>
        <v>59.83</v>
      </c>
      <c r="O549" t="str">
        <f t="shared" si="25"/>
        <v>July</v>
      </c>
      <c r="P549" t="str">
        <f t="shared" si="26"/>
        <v>Weekday</v>
      </c>
    </row>
    <row r="550" spans="1:16" x14ac:dyDescent="0.3">
      <c r="A550" s="1">
        <v>42189</v>
      </c>
      <c r="B550">
        <v>7.35</v>
      </c>
      <c r="C550">
        <v>2.34</v>
      </c>
      <c r="D550">
        <v>4.2</v>
      </c>
      <c r="E550">
        <v>15.2</v>
      </c>
      <c r="F550">
        <v>2</v>
      </c>
      <c r="G550">
        <v>0</v>
      </c>
      <c r="H550">
        <v>0</v>
      </c>
      <c r="I550">
        <v>3</v>
      </c>
      <c r="J550">
        <v>2015</v>
      </c>
      <c r="K550">
        <v>7</v>
      </c>
      <c r="L550">
        <v>276</v>
      </c>
      <c r="M550" t="s">
        <v>14</v>
      </c>
      <c r="N550">
        <f t="shared" si="24"/>
        <v>34.090000000000003</v>
      </c>
      <c r="O550" t="str">
        <f t="shared" si="25"/>
        <v>July</v>
      </c>
      <c r="P550" t="str">
        <f t="shared" si="26"/>
        <v>Weekend</v>
      </c>
    </row>
    <row r="551" spans="1:16" x14ac:dyDescent="0.3">
      <c r="A551" s="1">
        <v>42190</v>
      </c>
      <c r="B551">
        <v>5</v>
      </c>
      <c r="C551">
        <v>4.34</v>
      </c>
      <c r="D551">
        <v>4.2</v>
      </c>
      <c r="E551">
        <v>14</v>
      </c>
      <c r="F551">
        <v>10</v>
      </c>
      <c r="G551">
        <v>0</v>
      </c>
      <c r="H551">
        <v>1</v>
      </c>
      <c r="I551">
        <v>4</v>
      </c>
      <c r="J551">
        <v>2015</v>
      </c>
      <c r="K551">
        <v>7</v>
      </c>
      <c r="L551">
        <v>276</v>
      </c>
      <c r="M551" t="s">
        <v>15</v>
      </c>
      <c r="N551">
        <f t="shared" si="24"/>
        <v>42.54</v>
      </c>
      <c r="O551" t="str">
        <f t="shared" si="25"/>
        <v>July</v>
      </c>
      <c r="P551" t="str">
        <f t="shared" si="26"/>
        <v>Weekend</v>
      </c>
    </row>
    <row r="552" spans="1:16" x14ac:dyDescent="0.3">
      <c r="A552" s="1">
        <v>42191</v>
      </c>
      <c r="B552">
        <v>5.5</v>
      </c>
      <c r="C552">
        <v>4.68</v>
      </c>
      <c r="D552">
        <v>2</v>
      </c>
      <c r="E552">
        <v>20</v>
      </c>
      <c r="F552">
        <v>8</v>
      </c>
      <c r="G552">
        <v>0</v>
      </c>
      <c r="H552">
        <v>3</v>
      </c>
      <c r="I552">
        <v>3</v>
      </c>
      <c r="J552">
        <v>2015</v>
      </c>
      <c r="K552">
        <v>7</v>
      </c>
      <c r="L552">
        <v>276</v>
      </c>
      <c r="M552" t="s">
        <v>16</v>
      </c>
      <c r="N552">
        <f t="shared" si="24"/>
        <v>46.18</v>
      </c>
      <c r="O552" t="str">
        <f t="shared" si="25"/>
        <v>July</v>
      </c>
      <c r="P552" t="str">
        <f t="shared" si="26"/>
        <v>Weekday</v>
      </c>
    </row>
    <row r="553" spans="1:16" x14ac:dyDescent="0.3">
      <c r="A553" s="1">
        <v>42192</v>
      </c>
      <c r="B553">
        <v>4.84</v>
      </c>
      <c r="C553">
        <v>4.68</v>
      </c>
      <c r="D553">
        <v>2.2999999999999998</v>
      </c>
      <c r="E553">
        <v>19.600000000000001</v>
      </c>
      <c r="F553">
        <v>5</v>
      </c>
      <c r="G553">
        <v>0</v>
      </c>
      <c r="H553">
        <v>3</v>
      </c>
      <c r="I553">
        <v>7</v>
      </c>
      <c r="J553">
        <v>2015</v>
      </c>
      <c r="K553">
        <v>7</v>
      </c>
      <c r="L553">
        <v>276</v>
      </c>
      <c r="M553" t="s">
        <v>17</v>
      </c>
      <c r="N553">
        <f t="shared" si="24"/>
        <v>46.42</v>
      </c>
      <c r="O553" t="str">
        <f t="shared" si="25"/>
        <v>July</v>
      </c>
      <c r="P553" t="str">
        <f t="shared" si="26"/>
        <v>Weekday</v>
      </c>
    </row>
    <row r="554" spans="1:16" x14ac:dyDescent="0.3">
      <c r="A554" s="1">
        <v>42193</v>
      </c>
      <c r="B554">
        <v>2</v>
      </c>
      <c r="C554">
        <v>1.35</v>
      </c>
      <c r="D554">
        <v>3</v>
      </c>
      <c r="E554">
        <v>18.600000000000001</v>
      </c>
      <c r="F554">
        <v>6</v>
      </c>
      <c r="G554">
        <v>0</v>
      </c>
      <c r="H554">
        <v>5</v>
      </c>
      <c r="I554">
        <v>3</v>
      </c>
      <c r="J554">
        <v>2015</v>
      </c>
      <c r="K554">
        <v>7</v>
      </c>
      <c r="L554">
        <v>276</v>
      </c>
      <c r="M554" t="s">
        <v>18</v>
      </c>
      <c r="N554">
        <f t="shared" si="24"/>
        <v>38.950000000000003</v>
      </c>
      <c r="O554" t="str">
        <f t="shared" si="25"/>
        <v>July</v>
      </c>
      <c r="P554" t="str">
        <f t="shared" si="26"/>
        <v>Weekday</v>
      </c>
    </row>
    <row r="555" spans="1:16" x14ac:dyDescent="0.3">
      <c r="A555" s="1">
        <v>42194</v>
      </c>
      <c r="B555">
        <v>2.34</v>
      </c>
      <c r="C555">
        <v>1.67</v>
      </c>
      <c r="D555">
        <v>2</v>
      </c>
      <c r="E555">
        <v>32.75</v>
      </c>
      <c r="F555">
        <v>4</v>
      </c>
      <c r="G555">
        <v>0</v>
      </c>
      <c r="H555">
        <v>0</v>
      </c>
      <c r="I555">
        <v>5</v>
      </c>
      <c r="J555">
        <v>2015</v>
      </c>
      <c r="K555">
        <v>7</v>
      </c>
      <c r="L555">
        <v>276</v>
      </c>
      <c r="M555" t="s">
        <v>12</v>
      </c>
      <c r="N555">
        <f t="shared" si="24"/>
        <v>47.76</v>
      </c>
      <c r="O555" t="str">
        <f t="shared" si="25"/>
        <v>July</v>
      </c>
      <c r="P555" t="str">
        <f t="shared" si="26"/>
        <v>Weekday</v>
      </c>
    </row>
    <row r="556" spans="1:16" x14ac:dyDescent="0.3">
      <c r="A556" s="1">
        <v>42195</v>
      </c>
      <c r="B556">
        <v>5.5</v>
      </c>
      <c r="C556">
        <v>6.34</v>
      </c>
      <c r="D556">
        <v>5</v>
      </c>
      <c r="E556">
        <v>37</v>
      </c>
      <c r="F556">
        <v>15</v>
      </c>
      <c r="G556">
        <v>0</v>
      </c>
      <c r="H556">
        <v>8</v>
      </c>
      <c r="I556">
        <v>6</v>
      </c>
      <c r="J556">
        <v>2015</v>
      </c>
      <c r="K556">
        <v>7</v>
      </c>
      <c r="L556">
        <v>276</v>
      </c>
      <c r="M556" t="s">
        <v>13</v>
      </c>
      <c r="N556">
        <f t="shared" si="24"/>
        <v>82.84</v>
      </c>
      <c r="O556" t="str">
        <f t="shared" si="25"/>
        <v>July</v>
      </c>
      <c r="P556" t="str">
        <f t="shared" si="26"/>
        <v>Weekday</v>
      </c>
    </row>
    <row r="557" spans="1:16" x14ac:dyDescent="0.3">
      <c r="A557" s="1">
        <v>42196</v>
      </c>
      <c r="B557">
        <v>4</v>
      </c>
      <c r="C557">
        <v>2.33</v>
      </c>
      <c r="D557">
        <v>4.9000000000000004</v>
      </c>
      <c r="E557">
        <v>45</v>
      </c>
      <c r="F557">
        <v>9</v>
      </c>
      <c r="G557">
        <v>0</v>
      </c>
      <c r="H557">
        <v>2</v>
      </c>
      <c r="I557">
        <v>10</v>
      </c>
      <c r="J557">
        <v>2015</v>
      </c>
      <c r="K557">
        <v>7</v>
      </c>
      <c r="L557">
        <v>276</v>
      </c>
      <c r="M557" t="s">
        <v>14</v>
      </c>
      <c r="N557">
        <f t="shared" si="24"/>
        <v>77.23</v>
      </c>
      <c r="O557" t="str">
        <f t="shared" si="25"/>
        <v>July</v>
      </c>
      <c r="P557" t="str">
        <f t="shared" si="26"/>
        <v>Weekend</v>
      </c>
    </row>
    <row r="558" spans="1:16" x14ac:dyDescent="0.3">
      <c r="A558" s="1">
        <v>42197</v>
      </c>
      <c r="B558">
        <v>6.33</v>
      </c>
      <c r="C558">
        <v>5.33</v>
      </c>
      <c r="D558">
        <v>5</v>
      </c>
      <c r="E558">
        <v>25.3</v>
      </c>
      <c r="F558">
        <v>5</v>
      </c>
      <c r="G558">
        <v>0</v>
      </c>
      <c r="H558">
        <v>0</v>
      </c>
      <c r="I558">
        <v>6.5</v>
      </c>
      <c r="J558">
        <v>2015</v>
      </c>
      <c r="K558">
        <v>7</v>
      </c>
      <c r="L558">
        <v>276</v>
      </c>
      <c r="M558" t="s">
        <v>15</v>
      </c>
      <c r="N558">
        <f t="shared" si="24"/>
        <v>53.46</v>
      </c>
      <c r="O558" t="str">
        <f t="shared" si="25"/>
        <v>July</v>
      </c>
      <c r="P558" t="str">
        <f t="shared" si="26"/>
        <v>Weekend</v>
      </c>
    </row>
    <row r="559" spans="1:16" x14ac:dyDescent="0.3">
      <c r="A559" s="1">
        <v>42198</v>
      </c>
      <c r="B559">
        <v>3.68</v>
      </c>
      <c r="C559">
        <v>0.66</v>
      </c>
      <c r="D559">
        <v>8</v>
      </c>
      <c r="E559">
        <v>22.55</v>
      </c>
      <c r="F559">
        <v>5</v>
      </c>
      <c r="G559">
        <v>0</v>
      </c>
      <c r="H559">
        <v>0</v>
      </c>
      <c r="I559">
        <v>3</v>
      </c>
      <c r="J559">
        <v>2015</v>
      </c>
      <c r="K559">
        <v>7</v>
      </c>
      <c r="L559">
        <v>276</v>
      </c>
      <c r="M559" t="s">
        <v>16</v>
      </c>
      <c r="N559">
        <f t="shared" si="24"/>
        <v>42.89</v>
      </c>
      <c r="O559" t="str">
        <f t="shared" si="25"/>
        <v>July</v>
      </c>
      <c r="P559" t="str">
        <f t="shared" si="26"/>
        <v>Weekday</v>
      </c>
    </row>
    <row r="560" spans="1:16" x14ac:dyDescent="0.3">
      <c r="A560" s="1">
        <v>42199</v>
      </c>
      <c r="B560">
        <v>0.34</v>
      </c>
      <c r="C560">
        <v>4.33</v>
      </c>
      <c r="D560">
        <v>5</v>
      </c>
      <c r="E560">
        <v>14</v>
      </c>
      <c r="F560">
        <v>1</v>
      </c>
      <c r="G560">
        <v>0</v>
      </c>
      <c r="H560">
        <v>2</v>
      </c>
      <c r="I560">
        <v>2</v>
      </c>
      <c r="J560">
        <v>2015</v>
      </c>
      <c r="K560">
        <v>7</v>
      </c>
      <c r="L560">
        <v>276</v>
      </c>
      <c r="M560" t="s">
        <v>17</v>
      </c>
      <c r="N560">
        <f t="shared" si="24"/>
        <v>28.67</v>
      </c>
      <c r="O560" t="str">
        <f t="shared" si="25"/>
        <v>July</v>
      </c>
      <c r="P560" t="str">
        <f t="shared" si="26"/>
        <v>Weekday</v>
      </c>
    </row>
    <row r="561" spans="1:16" x14ac:dyDescent="0.3">
      <c r="A561" s="1">
        <v>42200</v>
      </c>
      <c r="B561">
        <v>8.49</v>
      </c>
      <c r="C561">
        <v>1.66</v>
      </c>
      <c r="D561">
        <v>4</v>
      </c>
      <c r="E561">
        <v>20.2</v>
      </c>
      <c r="F561">
        <v>5</v>
      </c>
      <c r="G561">
        <v>0</v>
      </c>
      <c r="H561">
        <v>1</v>
      </c>
      <c r="I561">
        <v>9</v>
      </c>
      <c r="J561">
        <v>2015</v>
      </c>
      <c r="K561">
        <v>7</v>
      </c>
      <c r="L561">
        <v>276</v>
      </c>
      <c r="M561" t="s">
        <v>18</v>
      </c>
      <c r="N561">
        <f t="shared" si="24"/>
        <v>49.35</v>
      </c>
      <c r="O561" t="str">
        <f t="shared" si="25"/>
        <v>July</v>
      </c>
      <c r="P561" t="str">
        <f t="shared" si="26"/>
        <v>Weekday</v>
      </c>
    </row>
    <row r="562" spans="1:16" x14ac:dyDescent="0.3">
      <c r="A562" s="1">
        <v>42201</v>
      </c>
      <c r="B562">
        <v>8.34</v>
      </c>
      <c r="C562">
        <v>3.33</v>
      </c>
      <c r="D562">
        <v>1</v>
      </c>
      <c r="E562">
        <v>18</v>
      </c>
      <c r="F562">
        <v>3</v>
      </c>
      <c r="G562">
        <v>0</v>
      </c>
      <c r="H562">
        <v>2</v>
      </c>
      <c r="I562">
        <v>4</v>
      </c>
      <c r="J562">
        <v>2015</v>
      </c>
      <c r="K562">
        <v>7</v>
      </c>
      <c r="L562">
        <v>276</v>
      </c>
      <c r="M562" t="s">
        <v>12</v>
      </c>
      <c r="N562">
        <f t="shared" si="24"/>
        <v>39.67</v>
      </c>
      <c r="O562" t="str">
        <f t="shared" si="25"/>
        <v>July</v>
      </c>
      <c r="P562" t="str">
        <f t="shared" si="26"/>
        <v>Weekday</v>
      </c>
    </row>
    <row r="563" spans="1:16" x14ac:dyDescent="0.3">
      <c r="A563" s="1">
        <v>42202</v>
      </c>
      <c r="B563">
        <v>2.5</v>
      </c>
      <c r="C563">
        <v>1.33</v>
      </c>
      <c r="D563">
        <v>1</v>
      </c>
      <c r="E563">
        <v>28</v>
      </c>
      <c r="F563">
        <v>3</v>
      </c>
      <c r="G563">
        <v>0</v>
      </c>
      <c r="H563">
        <v>0</v>
      </c>
      <c r="I563">
        <v>2.2999999999999998</v>
      </c>
      <c r="J563">
        <v>2015</v>
      </c>
      <c r="K563">
        <v>7</v>
      </c>
      <c r="L563">
        <v>276</v>
      </c>
      <c r="M563" t="s">
        <v>13</v>
      </c>
      <c r="N563">
        <f t="shared" si="24"/>
        <v>38.129999999999995</v>
      </c>
      <c r="O563" t="str">
        <f t="shared" si="25"/>
        <v>July</v>
      </c>
      <c r="P563" t="str">
        <f t="shared" si="26"/>
        <v>Weekday</v>
      </c>
    </row>
    <row r="564" spans="1:16" x14ac:dyDescent="0.3">
      <c r="A564" s="1">
        <v>42203</v>
      </c>
      <c r="B564">
        <v>3.68</v>
      </c>
      <c r="C564">
        <v>7.38</v>
      </c>
      <c r="D564">
        <v>2</v>
      </c>
      <c r="E564">
        <v>25</v>
      </c>
      <c r="F564">
        <v>8</v>
      </c>
      <c r="G564">
        <v>3</v>
      </c>
      <c r="H564">
        <v>1</v>
      </c>
      <c r="I564">
        <v>3</v>
      </c>
      <c r="J564">
        <v>2015</v>
      </c>
      <c r="K564">
        <v>7</v>
      </c>
      <c r="L564">
        <v>276</v>
      </c>
      <c r="M564" t="s">
        <v>14</v>
      </c>
      <c r="N564">
        <f t="shared" si="24"/>
        <v>53.06</v>
      </c>
      <c r="O564" t="str">
        <f t="shared" si="25"/>
        <v>July</v>
      </c>
      <c r="P564" t="str">
        <f t="shared" si="26"/>
        <v>Weekend</v>
      </c>
    </row>
    <row r="565" spans="1:16" x14ac:dyDescent="0.3">
      <c r="A565" s="1">
        <v>42204</v>
      </c>
      <c r="B565">
        <v>11.68</v>
      </c>
      <c r="C565">
        <v>1.68</v>
      </c>
      <c r="D565">
        <v>2</v>
      </c>
      <c r="E565">
        <v>15</v>
      </c>
      <c r="F565">
        <v>1</v>
      </c>
      <c r="G565">
        <v>0</v>
      </c>
      <c r="H565">
        <v>1</v>
      </c>
      <c r="I565">
        <v>3</v>
      </c>
      <c r="J565">
        <v>2015</v>
      </c>
      <c r="K565">
        <v>7</v>
      </c>
      <c r="L565">
        <v>276</v>
      </c>
      <c r="M565" t="s">
        <v>15</v>
      </c>
      <c r="N565">
        <f t="shared" si="24"/>
        <v>35.36</v>
      </c>
      <c r="O565" t="str">
        <f t="shared" si="25"/>
        <v>July</v>
      </c>
      <c r="P565" t="str">
        <f t="shared" si="26"/>
        <v>Weekend</v>
      </c>
    </row>
    <row r="566" spans="1:16" x14ac:dyDescent="0.3">
      <c r="A566" s="1">
        <v>42205</v>
      </c>
      <c r="B566">
        <v>5.84</v>
      </c>
      <c r="C566">
        <v>4.67</v>
      </c>
      <c r="D566">
        <v>5</v>
      </c>
      <c r="E566">
        <v>41</v>
      </c>
      <c r="F566">
        <v>4</v>
      </c>
      <c r="G566">
        <v>0</v>
      </c>
      <c r="H566">
        <v>0</v>
      </c>
      <c r="I566">
        <v>2</v>
      </c>
      <c r="J566">
        <v>2015</v>
      </c>
      <c r="K566">
        <v>7</v>
      </c>
      <c r="L566">
        <v>276</v>
      </c>
      <c r="M566" t="s">
        <v>16</v>
      </c>
      <c r="N566">
        <f t="shared" si="24"/>
        <v>62.51</v>
      </c>
      <c r="O566" t="str">
        <f t="shared" si="25"/>
        <v>July</v>
      </c>
      <c r="P566" t="str">
        <f t="shared" si="26"/>
        <v>Weekday</v>
      </c>
    </row>
    <row r="567" spans="1:16" x14ac:dyDescent="0.3">
      <c r="A567" s="1">
        <v>42206</v>
      </c>
      <c r="B567">
        <v>4.68</v>
      </c>
      <c r="C567">
        <v>1</v>
      </c>
      <c r="D567">
        <v>3.2</v>
      </c>
      <c r="E567">
        <v>14.25</v>
      </c>
      <c r="F567">
        <v>7</v>
      </c>
      <c r="G567">
        <v>0</v>
      </c>
      <c r="H567">
        <v>1</v>
      </c>
      <c r="I567">
        <v>4</v>
      </c>
      <c r="J567">
        <v>2015</v>
      </c>
      <c r="K567">
        <v>7</v>
      </c>
      <c r="L567">
        <v>276</v>
      </c>
      <c r="M567" t="s">
        <v>17</v>
      </c>
      <c r="N567">
        <f t="shared" si="24"/>
        <v>35.129999999999995</v>
      </c>
      <c r="O567" t="str">
        <f t="shared" si="25"/>
        <v>July</v>
      </c>
      <c r="P567" t="str">
        <f t="shared" si="26"/>
        <v>Weekday</v>
      </c>
    </row>
    <row r="568" spans="1:16" x14ac:dyDescent="0.3">
      <c r="A568" s="1">
        <v>42207</v>
      </c>
      <c r="B568">
        <v>9.33</v>
      </c>
      <c r="C568">
        <v>0.34</v>
      </c>
      <c r="D568">
        <v>5</v>
      </c>
      <c r="E568">
        <v>22</v>
      </c>
      <c r="F568">
        <v>10</v>
      </c>
      <c r="G568">
        <v>0</v>
      </c>
      <c r="H568">
        <v>5</v>
      </c>
      <c r="I568">
        <v>3</v>
      </c>
      <c r="J568">
        <v>2015</v>
      </c>
      <c r="K568">
        <v>7</v>
      </c>
      <c r="L568">
        <v>276</v>
      </c>
      <c r="M568" t="s">
        <v>18</v>
      </c>
      <c r="N568">
        <f t="shared" si="24"/>
        <v>54.67</v>
      </c>
      <c r="O568" t="str">
        <f t="shared" si="25"/>
        <v>July</v>
      </c>
      <c r="P568" t="str">
        <f t="shared" si="26"/>
        <v>Weekday</v>
      </c>
    </row>
    <row r="569" spans="1:16" x14ac:dyDescent="0.3">
      <c r="A569" s="1">
        <v>42208</v>
      </c>
      <c r="B569">
        <v>1.5</v>
      </c>
      <c r="C569">
        <v>4</v>
      </c>
      <c r="D569">
        <v>3</v>
      </c>
      <c r="E569">
        <v>14</v>
      </c>
      <c r="F569">
        <v>3</v>
      </c>
      <c r="G569">
        <v>0</v>
      </c>
      <c r="H569">
        <v>0</v>
      </c>
      <c r="I569">
        <v>2</v>
      </c>
      <c r="J569">
        <v>2015</v>
      </c>
      <c r="K569">
        <v>7</v>
      </c>
      <c r="L569">
        <v>276</v>
      </c>
      <c r="M569" t="s">
        <v>12</v>
      </c>
      <c r="N569">
        <f t="shared" si="24"/>
        <v>27.5</v>
      </c>
      <c r="O569" t="str">
        <f t="shared" si="25"/>
        <v>July</v>
      </c>
      <c r="P569" t="str">
        <f t="shared" si="26"/>
        <v>Weekday</v>
      </c>
    </row>
    <row r="570" spans="1:16" x14ac:dyDescent="0.3">
      <c r="A570" s="1">
        <v>42209</v>
      </c>
      <c r="B570">
        <v>6</v>
      </c>
      <c r="C570">
        <v>6.34</v>
      </c>
      <c r="D570">
        <v>3.6</v>
      </c>
      <c r="E570">
        <v>29.6</v>
      </c>
      <c r="F570">
        <v>9</v>
      </c>
      <c r="G570">
        <v>1</v>
      </c>
      <c r="H570">
        <v>1</v>
      </c>
      <c r="I570">
        <v>10</v>
      </c>
      <c r="J570">
        <v>2015</v>
      </c>
      <c r="K570">
        <v>7</v>
      </c>
      <c r="L570">
        <v>276</v>
      </c>
      <c r="M570" t="s">
        <v>13</v>
      </c>
      <c r="N570">
        <f t="shared" si="24"/>
        <v>66.539999999999992</v>
      </c>
      <c r="O570" t="str">
        <f t="shared" si="25"/>
        <v>July</v>
      </c>
      <c r="P570" t="str">
        <f t="shared" si="26"/>
        <v>Weekday</v>
      </c>
    </row>
    <row r="571" spans="1:16" x14ac:dyDescent="0.3">
      <c r="A571" s="1">
        <v>42210</v>
      </c>
      <c r="B571">
        <v>4</v>
      </c>
      <c r="C571">
        <v>4</v>
      </c>
      <c r="D571">
        <v>5</v>
      </c>
      <c r="E571">
        <v>22</v>
      </c>
      <c r="F571">
        <v>7</v>
      </c>
      <c r="G571">
        <v>1</v>
      </c>
      <c r="H571">
        <v>0</v>
      </c>
      <c r="I571">
        <v>4</v>
      </c>
      <c r="J571">
        <v>2015</v>
      </c>
      <c r="K571">
        <v>7</v>
      </c>
      <c r="L571">
        <v>276</v>
      </c>
      <c r="M571" t="s">
        <v>14</v>
      </c>
      <c r="N571">
        <f t="shared" si="24"/>
        <v>47</v>
      </c>
      <c r="O571" t="str">
        <f t="shared" si="25"/>
        <v>July</v>
      </c>
      <c r="P571" t="str">
        <f t="shared" si="26"/>
        <v>Weekend</v>
      </c>
    </row>
    <row r="572" spans="1:16" x14ac:dyDescent="0.3">
      <c r="A572" s="1">
        <v>42211</v>
      </c>
      <c r="B572">
        <v>5</v>
      </c>
      <c r="C572">
        <v>2.99</v>
      </c>
      <c r="D572">
        <v>3</v>
      </c>
      <c r="E572">
        <v>29</v>
      </c>
      <c r="F572">
        <v>4</v>
      </c>
      <c r="G572">
        <v>0</v>
      </c>
      <c r="H572">
        <v>0</v>
      </c>
      <c r="I572">
        <v>0</v>
      </c>
      <c r="J572">
        <v>2015</v>
      </c>
      <c r="K572">
        <v>7</v>
      </c>
      <c r="L572">
        <v>276</v>
      </c>
      <c r="M572" t="s">
        <v>15</v>
      </c>
      <c r="N572">
        <f t="shared" si="24"/>
        <v>43.99</v>
      </c>
      <c r="O572" t="str">
        <f t="shared" si="25"/>
        <v>July</v>
      </c>
      <c r="P572" t="str">
        <f t="shared" si="26"/>
        <v>Weekend</v>
      </c>
    </row>
    <row r="573" spans="1:16" x14ac:dyDescent="0.3">
      <c r="A573" s="1">
        <v>42212</v>
      </c>
      <c r="B573">
        <v>7.34</v>
      </c>
      <c r="C573">
        <v>3.34</v>
      </c>
      <c r="D573">
        <v>7</v>
      </c>
      <c r="E573">
        <v>24</v>
      </c>
      <c r="F573">
        <v>9</v>
      </c>
      <c r="G573">
        <v>0</v>
      </c>
      <c r="H573">
        <v>0</v>
      </c>
      <c r="I573">
        <v>1.5</v>
      </c>
      <c r="J573">
        <v>2015</v>
      </c>
      <c r="K573">
        <v>7</v>
      </c>
      <c r="L573">
        <v>276</v>
      </c>
      <c r="M573" t="s">
        <v>16</v>
      </c>
      <c r="N573">
        <f t="shared" si="24"/>
        <v>52.18</v>
      </c>
      <c r="O573" t="str">
        <f t="shared" si="25"/>
        <v>July</v>
      </c>
      <c r="P573" t="str">
        <f t="shared" si="26"/>
        <v>Weekday</v>
      </c>
    </row>
    <row r="574" spans="1:16" x14ac:dyDescent="0.3">
      <c r="A574" s="1">
        <v>42213</v>
      </c>
      <c r="B574">
        <v>14.18</v>
      </c>
      <c r="C574">
        <v>6.02</v>
      </c>
      <c r="D574">
        <v>1</v>
      </c>
      <c r="E574">
        <v>15.2</v>
      </c>
      <c r="F574">
        <v>14</v>
      </c>
      <c r="G574">
        <v>0</v>
      </c>
      <c r="H574">
        <v>1</v>
      </c>
      <c r="I574">
        <v>3</v>
      </c>
      <c r="J574">
        <v>2015</v>
      </c>
      <c r="K574">
        <v>7</v>
      </c>
      <c r="L574">
        <v>276</v>
      </c>
      <c r="M574" t="s">
        <v>17</v>
      </c>
      <c r="N574">
        <f t="shared" si="24"/>
        <v>54.4</v>
      </c>
      <c r="O574" t="str">
        <f t="shared" si="25"/>
        <v>July</v>
      </c>
      <c r="P574" t="str">
        <f t="shared" si="26"/>
        <v>Weekday</v>
      </c>
    </row>
    <row r="575" spans="1:16" x14ac:dyDescent="0.3">
      <c r="A575" s="1">
        <v>42214</v>
      </c>
      <c r="B575">
        <v>10.34</v>
      </c>
      <c r="C575">
        <v>3.34</v>
      </c>
      <c r="D575">
        <v>4</v>
      </c>
      <c r="E575">
        <v>21.378</v>
      </c>
      <c r="F575">
        <v>8</v>
      </c>
      <c r="G575">
        <v>0</v>
      </c>
      <c r="H575">
        <v>2</v>
      </c>
      <c r="I575">
        <v>1</v>
      </c>
      <c r="J575">
        <v>2015</v>
      </c>
      <c r="K575">
        <v>7</v>
      </c>
      <c r="L575">
        <v>276</v>
      </c>
      <c r="M575" t="s">
        <v>18</v>
      </c>
      <c r="N575">
        <f t="shared" si="24"/>
        <v>50.058</v>
      </c>
      <c r="O575" t="str">
        <f t="shared" si="25"/>
        <v>July</v>
      </c>
      <c r="P575" t="str">
        <f t="shared" si="26"/>
        <v>Weekday</v>
      </c>
    </row>
    <row r="576" spans="1:16" x14ac:dyDescent="0.3">
      <c r="A576" s="1">
        <v>42215</v>
      </c>
      <c r="B576">
        <v>3</v>
      </c>
      <c r="C576">
        <v>3.33</v>
      </c>
      <c r="D576">
        <v>14</v>
      </c>
      <c r="E576">
        <v>16.3</v>
      </c>
      <c r="F576">
        <v>3</v>
      </c>
      <c r="G576">
        <v>0</v>
      </c>
      <c r="H576">
        <v>0</v>
      </c>
      <c r="I576">
        <v>4</v>
      </c>
      <c r="J576">
        <v>2015</v>
      </c>
      <c r="K576">
        <v>7</v>
      </c>
      <c r="L576">
        <v>276</v>
      </c>
      <c r="M576" t="s">
        <v>12</v>
      </c>
      <c r="N576">
        <f t="shared" si="24"/>
        <v>43.629999999999995</v>
      </c>
      <c r="O576" t="str">
        <f t="shared" si="25"/>
        <v>July</v>
      </c>
      <c r="P576" t="str">
        <f t="shared" si="26"/>
        <v>Weekday</v>
      </c>
    </row>
    <row r="577" spans="1:16" x14ac:dyDescent="0.3">
      <c r="A577" s="1">
        <v>42216</v>
      </c>
      <c r="B577">
        <v>5.5</v>
      </c>
      <c r="C577">
        <v>9</v>
      </c>
      <c r="D577">
        <v>6.2</v>
      </c>
      <c r="E577">
        <v>24</v>
      </c>
      <c r="F577">
        <v>8</v>
      </c>
      <c r="G577">
        <v>0</v>
      </c>
      <c r="H577">
        <v>0</v>
      </c>
      <c r="I577">
        <v>6</v>
      </c>
      <c r="J577">
        <v>2015</v>
      </c>
      <c r="K577">
        <v>7</v>
      </c>
      <c r="L577">
        <v>276</v>
      </c>
      <c r="M577" t="s">
        <v>13</v>
      </c>
      <c r="N577">
        <f t="shared" si="24"/>
        <v>58.7</v>
      </c>
      <c r="O577" t="str">
        <f t="shared" si="25"/>
        <v>July</v>
      </c>
      <c r="P577" t="str">
        <f t="shared" si="26"/>
        <v>Weekday</v>
      </c>
    </row>
    <row r="578" spans="1:16" x14ac:dyDescent="0.3">
      <c r="A578" s="1">
        <v>42217</v>
      </c>
      <c r="B578">
        <v>5</v>
      </c>
      <c r="C578">
        <v>5</v>
      </c>
      <c r="D578">
        <v>4</v>
      </c>
      <c r="E578">
        <v>19</v>
      </c>
      <c r="F578">
        <v>14</v>
      </c>
      <c r="G578">
        <v>0</v>
      </c>
      <c r="H578">
        <v>0</v>
      </c>
      <c r="I578">
        <v>2</v>
      </c>
      <c r="J578">
        <v>2015</v>
      </c>
      <c r="K578">
        <v>8</v>
      </c>
      <c r="L578">
        <v>276</v>
      </c>
      <c r="M578" t="s">
        <v>14</v>
      </c>
      <c r="N578">
        <f t="shared" si="24"/>
        <v>49</v>
      </c>
      <c r="O578" t="str">
        <f t="shared" si="25"/>
        <v>August</v>
      </c>
      <c r="P578" t="str">
        <f t="shared" si="26"/>
        <v>Weekend</v>
      </c>
    </row>
    <row r="579" spans="1:16" x14ac:dyDescent="0.3">
      <c r="A579" s="1">
        <v>42218</v>
      </c>
      <c r="B579">
        <v>5</v>
      </c>
      <c r="C579">
        <v>6.7</v>
      </c>
      <c r="D579">
        <v>4</v>
      </c>
      <c r="E579">
        <v>15</v>
      </c>
      <c r="F579">
        <v>9</v>
      </c>
      <c r="G579">
        <v>0</v>
      </c>
      <c r="H579">
        <v>0</v>
      </c>
      <c r="I579">
        <v>2</v>
      </c>
      <c r="J579">
        <v>2015</v>
      </c>
      <c r="K579">
        <v>8</v>
      </c>
      <c r="L579">
        <v>276</v>
      </c>
      <c r="M579" t="s">
        <v>15</v>
      </c>
      <c r="N579">
        <f t="shared" ref="N579:N642" si="27">SUM(B579:I579)</f>
        <v>41.7</v>
      </c>
      <c r="O579" t="str">
        <f t="shared" ref="O579:O642" si="28">TEXT(A579,"mmmm")</f>
        <v>August</v>
      </c>
      <c r="P579" t="str">
        <f t="shared" ref="P579:P642" si="29">IF(OR(M579="Saturday",M579="Sunday"),"Weekend","Weekday")</f>
        <v>Weekend</v>
      </c>
    </row>
    <row r="580" spans="1:16" x14ac:dyDescent="0.3">
      <c r="A580" s="1">
        <v>42219</v>
      </c>
      <c r="B580">
        <v>1.5</v>
      </c>
      <c r="C580">
        <v>2.33</v>
      </c>
      <c r="D580">
        <v>1.5</v>
      </c>
      <c r="E580">
        <v>23</v>
      </c>
      <c r="F580">
        <v>3.5</v>
      </c>
      <c r="G580">
        <v>1</v>
      </c>
      <c r="H580">
        <v>5</v>
      </c>
      <c r="I580">
        <v>1</v>
      </c>
      <c r="J580">
        <v>2015</v>
      </c>
      <c r="K580">
        <v>8</v>
      </c>
      <c r="L580">
        <v>276</v>
      </c>
      <c r="M580" t="s">
        <v>16</v>
      </c>
      <c r="N580">
        <f t="shared" si="27"/>
        <v>38.83</v>
      </c>
      <c r="O580" t="str">
        <f t="shared" si="28"/>
        <v>August</v>
      </c>
      <c r="P580" t="str">
        <f t="shared" si="29"/>
        <v>Weekday</v>
      </c>
    </row>
    <row r="581" spans="1:16" x14ac:dyDescent="0.3">
      <c r="A581" s="1">
        <v>42220</v>
      </c>
      <c r="B581">
        <v>6.34</v>
      </c>
      <c r="C581">
        <v>2.33</v>
      </c>
      <c r="D581">
        <v>3</v>
      </c>
      <c r="E581">
        <v>23</v>
      </c>
      <c r="F581">
        <v>5</v>
      </c>
      <c r="G581">
        <v>1</v>
      </c>
      <c r="H581">
        <v>0</v>
      </c>
      <c r="I581">
        <v>4</v>
      </c>
      <c r="J581">
        <v>2015</v>
      </c>
      <c r="K581">
        <v>8</v>
      </c>
      <c r="L581">
        <v>276</v>
      </c>
      <c r="M581" t="s">
        <v>17</v>
      </c>
      <c r="N581">
        <f t="shared" si="27"/>
        <v>44.67</v>
      </c>
      <c r="O581" t="str">
        <f t="shared" si="28"/>
        <v>August</v>
      </c>
      <c r="P581" t="str">
        <f t="shared" si="29"/>
        <v>Weekday</v>
      </c>
    </row>
    <row r="582" spans="1:16" x14ac:dyDescent="0.3">
      <c r="A582" s="1">
        <v>42221</v>
      </c>
      <c r="B582">
        <v>5</v>
      </c>
      <c r="C582">
        <v>3.33</v>
      </c>
      <c r="D582">
        <v>4.2</v>
      </c>
      <c r="E582">
        <v>22.2</v>
      </c>
      <c r="F582">
        <v>3.5</v>
      </c>
      <c r="G582">
        <v>0</v>
      </c>
      <c r="H582">
        <v>0</v>
      </c>
      <c r="I582">
        <v>1</v>
      </c>
      <c r="J582">
        <v>2015</v>
      </c>
      <c r="K582">
        <v>8</v>
      </c>
      <c r="L582">
        <v>276</v>
      </c>
      <c r="M582" t="s">
        <v>18</v>
      </c>
      <c r="N582">
        <f t="shared" si="27"/>
        <v>39.230000000000004</v>
      </c>
      <c r="O582" t="str">
        <f t="shared" si="28"/>
        <v>August</v>
      </c>
      <c r="P582" t="str">
        <f t="shared" si="29"/>
        <v>Weekday</v>
      </c>
    </row>
    <row r="583" spans="1:16" x14ac:dyDescent="0.3">
      <c r="A583" s="1">
        <v>42222</v>
      </c>
      <c r="B583">
        <v>5.33</v>
      </c>
      <c r="C583">
        <v>1.67</v>
      </c>
      <c r="D583">
        <v>8</v>
      </c>
      <c r="E583">
        <v>35</v>
      </c>
      <c r="F583">
        <v>11</v>
      </c>
      <c r="G583">
        <v>0</v>
      </c>
      <c r="H583">
        <v>3</v>
      </c>
      <c r="I583">
        <v>2</v>
      </c>
      <c r="J583">
        <v>2015</v>
      </c>
      <c r="K583">
        <v>8</v>
      </c>
      <c r="L583">
        <v>276</v>
      </c>
      <c r="M583" t="s">
        <v>12</v>
      </c>
      <c r="N583">
        <f t="shared" si="27"/>
        <v>66</v>
      </c>
      <c r="O583" t="str">
        <f t="shared" si="28"/>
        <v>August</v>
      </c>
      <c r="P583" t="str">
        <f t="shared" si="29"/>
        <v>Weekday</v>
      </c>
    </row>
    <row r="584" spans="1:16" x14ac:dyDescent="0.3">
      <c r="A584" s="1">
        <v>42223</v>
      </c>
      <c r="B584">
        <v>4.33</v>
      </c>
      <c r="C584">
        <v>4</v>
      </c>
      <c r="D584">
        <v>6</v>
      </c>
      <c r="E584">
        <v>22</v>
      </c>
      <c r="F584">
        <v>9</v>
      </c>
      <c r="G584">
        <v>2</v>
      </c>
      <c r="H584">
        <v>1</v>
      </c>
      <c r="I584">
        <v>6</v>
      </c>
      <c r="J584">
        <v>2015</v>
      </c>
      <c r="K584">
        <v>8</v>
      </c>
      <c r="L584">
        <v>276</v>
      </c>
      <c r="M584" t="s">
        <v>13</v>
      </c>
      <c r="N584">
        <f t="shared" si="27"/>
        <v>54.33</v>
      </c>
      <c r="O584" t="str">
        <f t="shared" si="28"/>
        <v>August</v>
      </c>
      <c r="P584" t="str">
        <f t="shared" si="29"/>
        <v>Weekday</v>
      </c>
    </row>
    <row r="585" spans="1:16" x14ac:dyDescent="0.3">
      <c r="A585" s="1">
        <v>42224</v>
      </c>
      <c r="B585">
        <v>6.33</v>
      </c>
      <c r="C585">
        <v>5.33</v>
      </c>
      <c r="D585">
        <v>7</v>
      </c>
      <c r="E585">
        <v>22</v>
      </c>
      <c r="F585">
        <v>5</v>
      </c>
      <c r="G585">
        <v>0</v>
      </c>
      <c r="H585">
        <v>0</v>
      </c>
      <c r="I585">
        <v>0.7</v>
      </c>
      <c r="J585">
        <v>2015</v>
      </c>
      <c r="K585">
        <v>8</v>
      </c>
      <c r="L585">
        <v>276</v>
      </c>
      <c r="M585" t="s">
        <v>14</v>
      </c>
      <c r="N585">
        <f t="shared" si="27"/>
        <v>46.36</v>
      </c>
      <c r="O585" t="str">
        <f t="shared" si="28"/>
        <v>August</v>
      </c>
      <c r="P585" t="str">
        <f t="shared" si="29"/>
        <v>Weekend</v>
      </c>
    </row>
    <row r="586" spans="1:16" x14ac:dyDescent="0.3">
      <c r="A586" s="1">
        <v>42225</v>
      </c>
      <c r="B586">
        <v>5</v>
      </c>
      <c r="C586">
        <v>3.66</v>
      </c>
      <c r="D586">
        <v>2</v>
      </c>
      <c r="E586">
        <v>21</v>
      </c>
      <c r="F586">
        <v>5</v>
      </c>
      <c r="G586">
        <v>0</v>
      </c>
      <c r="H586">
        <v>2</v>
      </c>
      <c r="I586">
        <v>3</v>
      </c>
      <c r="J586">
        <v>2015</v>
      </c>
      <c r="K586">
        <v>8</v>
      </c>
      <c r="L586">
        <v>276</v>
      </c>
      <c r="M586" t="s">
        <v>15</v>
      </c>
      <c r="N586">
        <f t="shared" si="27"/>
        <v>41.66</v>
      </c>
      <c r="O586" t="str">
        <f t="shared" si="28"/>
        <v>August</v>
      </c>
      <c r="P586" t="str">
        <f t="shared" si="29"/>
        <v>Weekend</v>
      </c>
    </row>
    <row r="587" spans="1:16" x14ac:dyDescent="0.3">
      <c r="A587" s="1">
        <v>42226</v>
      </c>
      <c r="B587">
        <v>3.67</v>
      </c>
      <c r="C587">
        <v>5.68</v>
      </c>
      <c r="D587">
        <v>4.2</v>
      </c>
      <c r="E587">
        <v>29</v>
      </c>
      <c r="F587">
        <v>12.5</v>
      </c>
      <c r="G587">
        <v>0</v>
      </c>
      <c r="H587">
        <v>1</v>
      </c>
      <c r="I587">
        <v>5</v>
      </c>
      <c r="J587">
        <v>2015</v>
      </c>
      <c r="K587">
        <v>8</v>
      </c>
      <c r="L587">
        <v>276</v>
      </c>
      <c r="M587" t="s">
        <v>16</v>
      </c>
      <c r="N587">
        <f t="shared" si="27"/>
        <v>61.05</v>
      </c>
      <c r="O587" t="str">
        <f t="shared" si="28"/>
        <v>August</v>
      </c>
      <c r="P587" t="str">
        <f t="shared" si="29"/>
        <v>Weekday</v>
      </c>
    </row>
    <row r="588" spans="1:16" x14ac:dyDescent="0.3">
      <c r="A588" s="1">
        <v>42227</v>
      </c>
      <c r="B588">
        <v>12.33</v>
      </c>
      <c r="C588">
        <v>6.66</v>
      </c>
      <c r="D588">
        <v>7.4</v>
      </c>
      <c r="E588">
        <v>18.100000000000001</v>
      </c>
      <c r="F588">
        <v>10</v>
      </c>
      <c r="G588">
        <v>0</v>
      </c>
      <c r="H588">
        <v>0</v>
      </c>
      <c r="I588">
        <v>4</v>
      </c>
      <c r="J588">
        <v>2015</v>
      </c>
      <c r="K588">
        <v>8</v>
      </c>
      <c r="L588">
        <v>276</v>
      </c>
      <c r="M588" t="s">
        <v>17</v>
      </c>
      <c r="N588">
        <f t="shared" si="27"/>
        <v>58.49</v>
      </c>
      <c r="O588" t="str">
        <f t="shared" si="28"/>
        <v>August</v>
      </c>
      <c r="P588" t="str">
        <f t="shared" si="29"/>
        <v>Weekday</v>
      </c>
    </row>
    <row r="589" spans="1:16" x14ac:dyDescent="0.3">
      <c r="A589" s="1">
        <v>42228</v>
      </c>
      <c r="B589">
        <v>8.67</v>
      </c>
      <c r="C589">
        <v>7.6929999999999996</v>
      </c>
      <c r="D589">
        <v>4</v>
      </c>
      <c r="E589">
        <v>28.2</v>
      </c>
      <c r="F589">
        <v>9.5</v>
      </c>
      <c r="G589">
        <v>0</v>
      </c>
      <c r="H589">
        <v>1</v>
      </c>
      <c r="I589">
        <v>1</v>
      </c>
      <c r="J589">
        <v>2015</v>
      </c>
      <c r="K589">
        <v>8</v>
      </c>
      <c r="L589">
        <v>276</v>
      </c>
      <c r="M589" t="s">
        <v>18</v>
      </c>
      <c r="N589">
        <f t="shared" si="27"/>
        <v>60.063000000000002</v>
      </c>
      <c r="O589" t="str">
        <f t="shared" si="28"/>
        <v>August</v>
      </c>
      <c r="P589" t="str">
        <f t="shared" si="29"/>
        <v>Weekday</v>
      </c>
    </row>
    <row r="590" spans="1:16" x14ac:dyDescent="0.3">
      <c r="A590" s="1">
        <v>42229</v>
      </c>
      <c r="B590">
        <v>8</v>
      </c>
      <c r="C590">
        <v>2</v>
      </c>
      <c r="D590">
        <v>6</v>
      </c>
      <c r="E590">
        <v>23.437999999999999</v>
      </c>
      <c r="F590">
        <v>9</v>
      </c>
      <c r="G590">
        <v>0</v>
      </c>
      <c r="H590">
        <v>3</v>
      </c>
      <c r="I590">
        <v>3</v>
      </c>
      <c r="J590">
        <v>2015</v>
      </c>
      <c r="K590">
        <v>8</v>
      </c>
      <c r="L590">
        <v>276</v>
      </c>
      <c r="M590" t="s">
        <v>12</v>
      </c>
      <c r="N590">
        <f t="shared" si="27"/>
        <v>54.438000000000002</v>
      </c>
      <c r="O590" t="str">
        <f t="shared" si="28"/>
        <v>August</v>
      </c>
      <c r="P590" t="str">
        <f t="shared" si="29"/>
        <v>Weekday</v>
      </c>
    </row>
    <row r="591" spans="1:16" x14ac:dyDescent="0.3">
      <c r="A591" s="1">
        <v>42230</v>
      </c>
      <c r="B591">
        <v>3</v>
      </c>
      <c r="C591">
        <v>4.66</v>
      </c>
      <c r="D591">
        <v>4</v>
      </c>
      <c r="E591">
        <v>16.7</v>
      </c>
      <c r="F591">
        <v>5</v>
      </c>
      <c r="G591">
        <v>0</v>
      </c>
      <c r="H591">
        <v>1</v>
      </c>
      <c r="I591">
        <v>4</v>
      </c>
      <c r="J591">
        <v>2015</v>
      </c>
      <c r="K591">
        <v>8</v>
      </c>
      <c r="L591">
        <v>276</v>
      </c>
      <c r="M591" t="s">
        <v>13</v>
      </c>
      <c r="N591">
        <f t="shared" si="27"/>
        <v>38.36</v>
      </c>
      <c r="O591" t="str">
        <f t="shared" si="28"/>
        <v>August</v>
      </c>
      <c r="P591" t="str">
        <f t="shared" si="29"/>
        <v>Weekday</v>
      </c>
    </row>
    <row r="592" spans="1:16" x14ac:dyDescent="0.3">
      <c r="A592" s="1">
        <v>42231</v>
      </c>
      <c r="B592">
        <v>3.34</v>
      </c>
      <c r="C592">
        <v>6.34</v>
      </c>
      <c r="D592">
        <v>6</v>
      </c>
      <c r="E592">
        <v>35</v>
      </c>
      <c r="F592">
        <v>14</v>
      </c>
      <c r="G592">
        <v>1</v>
      </c>
      <c r="H592">
        <v>1</v>
      </c>
      <c r="I592">
        <v>1</v>
      </c>
      <c r="J592">
        <v>2015</v>
      </c>
      <c r="K592">
        <v>8</v>
      </c>
      <c r="L592">
        <v>276</v>
      </c>
      <c r="M592" t="s">
        <v>14</v>
      </c>
      <c r="N592">
        <f t="shared" si="27"/>
        <v>67.680000000000007</v>
      </c>
      <c r="O592" t="str">
        <f t="shared" si="28"/>
        <v>August</v>
      </c>
      <c r="P592" t="str">
        <f t="shared" si="29"/>
        <v>Weekend</v>
      </c>
    </row>
    <row r="593" spans="1:16" x14ac:dyDescent="0.3">
      <c r="A593" s="1">
        <v>42232</v>
      </c>
      <c r="B593">
        <v>2</v>
      </c>
      <c r="C593">
        <v>4.67</v>
      </c>
      <c r="D593">
        <v>2</v>
      </c>
      <c r="E593">
        <v>19.25</v>
      </c>
      <c r="F593">
        <v>4</v>
      </c>
      <c r="G593">
        <v>2</v>
      </c>
      <c r="H593">
        <v>0</v>
      </c>
      <c r="I593">
        <v>2</v>
      </c>
      <c r="J593">
        <v>2015</v>
      </c>
      <c r="K593">
        <v>8</v>
      </c>
      <c r="L593">
        <v>276</v>
      </c>
      <c r="M593" t="s">
        <v>15</v>
      </c>
      <c r="N593">
        <f t="shared" si="27"/>
        <v>35.92</v>
      </c>
      <c r="O593" t="str">
        <f t="shared" si="28"/>
        <v>August</v>
      </c>
      <c r="P593" t="str">
        <f t="shared" si="29"/>
        <v>Weekend</v>
      </c>
    </row>
    <row r="594" spans="1:16" x14ac:dyDescent="0.3">
      <c r="A594" s="1">
        <v>42233</v>
      </c>
      <c r="B594">
        <v>8</v>
      </c>
      <c r="C594">
        <v>3</v>
      </c>
      <c r="D594">
        <v>3</v>
      </c>
      <c r="E594">
        <v>33</v>
      </c>
      <c r="F594">
        <v>6</v>
      </c>
      <c r="G594">
        <v>0</v>
      </c>
      <c r="H594">
        <v>0</v>
      </c>
      <c r="I594">
        <v>2</v>
      </c>
      <c r="J594">
        <v>2015</v>
      </c>
      <c r="K594">
        <v>8</v>
      </c>
      <c r="L594">
        <v>276</v>
      </c>
      <c r="M594" t="s">
        <v>16</v>
      </c>
      <c r="N594">
        <f t="shared" si="27"/>
        <v>55</v>
      </c>
      <c r="O594" t="str">
        <f t="shared" si="28"/>
        <v>August</v>
      </c>
      <c r="P594" t="str">
        <f t="shared" si="29"/>
        <v>Weekday</v>
      </c>
    </row>
    <row r="595" spans="1:16" x14ac:dyDescent="0.3">
      <c r="A595" s="1">
        <v>42234</v>
      </c>
      <c r="B595">
        <v>6.01</v>
      </c>
      <c r="C595">
        <v>2.67</v>
      </c>
      <c r="D595">
        <v>3</v>
      </c>
      <c r="E595">
        <v>24</v>
      </c>
      <c r="F595">
        <v>16</v>
      </c>
      <c r="G595">
        <v>0</v>
      </c>
      <c r="H595">
        <v>3</v>
      </c>
      <c r="I595">
        <v>1</v>
      </c>
      <c r="J595">
        <v>2015</v>
      </c>
      <c r="K595">
        <v>8</v>
      </c>
      <c r="L595">
        <v>276</v>
      </c>
      <c r="M595" t="s">
        <v>17</v>
      </c>
      <c r="N595">
        <f t="shared" si="27"/>
        <v>55.68</v>
      </c>
      <c r="O595" t="str">
        <f t="shared" si="28"/>
        <v>August</v>
      </c>
      <c r="P595" t="str">
        <f t="shared" si="29"/>
        <v>Weekday</v>
      </c>
    </row>
    <row r="596" spans="1:16" x14ac:dyDescent="0.3">
      <c r="A596" s="1">
        <v>42235</v>
      </c>
      <c r="B596">
        <v>6.33</v>
      </c>
      <c r="C596">
        <v>2.66</v>
      </c>
      <c r="D596">
        <v>8</v>
      </c>
      <c r="E596">
        <v>28</v>
      </c>
      <c r="F596">
        <v>15</v>
      </c>
      <c r="G596">
        <v>0</v>
      </c>
      <c r="H596">
        <v>3</v>
      </c>
      <c r="I596">
        <v>3</v>
      </c>
      <c r="J596">
        <v>2015</v>
      </c>
      <c r="K596">
        <v>8</v>
      </c>
      <c r="L596">
        <v>276</v>
      </c>
      <c r="M596" t="s">
        <v>18</v>
      </c>
      <c r="N596">
        <f t="shared" si="27"/>
        <v>65.990000000000009</v>
      </c>
      <c r="O596" t="str">
        <f t="shared" si="28"/>
        <v>August</v>
      </c>
      <c r="P596" t="str">
        <f t="shared" si="29"/>
        <v>Weekday</v>
      </c>
    </row>
    <row r="597" spans="1:16" x14ac:dyDescent="0.3">
      <c r="A597" s="1">
        <v>42236</v>
      </c>
      <c r="B597">
        <v>3.5</v>
      </c>
      <c r="C597">
        <v>3.68</v>
      </c>
      <c r="D597">
        <v>5</v>
      </c>
      <c r="E597">
        <v>19</v>
      </c>
      <c r="F597">
        <v>6</v>
      </c>
      <c r="G597">
        <v>1</v>
      </c>
      <c r="H597">
        <v>0</v>
      </c>
      <c r="I597">
        <v>0</v>
      </c>
      <c r="J597">
        <v>2015</v>
      </c>
      <c r="K597">
        <v>8</v>
      </c>
      <c r="L597">
        <v>276</v>
      </c>
      <c r="M597" t="s">
        <v>12</v>
      </c>
      <c r="N597">
        <f t="shared" si="27"/>
        <v>38.18</v>
      </c>
      <c r="O597" t="str">
        <f t="shared" si="28"/>
        <v>August</v>
      </c>
      <c r="P597" t="str">
        <f t="shared" si="29"/>
        <v>Weekday</v>
      </c>
    </row>
    <row r="598" spans="1:16" x14ac:dyDescent="0.3">
      <c r="A598" s="1">
        <v>42237</v>
      </c>
      <c r="B598">
        <v>6</v>
      </c>
      <c r="C598">
        <v>0.67</v>
      </c>
      <c r="D598">
        <v>3</v>
      </c>
      <c r="E598">
        <v>34</v>
      </c>
      <c r="F598">
        <v>8</v>
      </c>
      <c r="G598">
        <v>1</v>
      </c>
      <c r="H598">
        <v>1</v>
      </c>
      <c r="I598">
        <v>4</v>
      </c>
      <c r="J598">
        <v>2015</v>
      </c>
      <c r="K598">
        <v>8</v>
      </c>
      <c r="L598">
        <v>276</v>
      </c>
      <c r="M598" t="s">
        <v>13</v>
      </c>
      <c r="N598">
        <f t="shared" si="27"/>
        <v>57.67</v>
      </c>
      <c r="O598" t="str">
        <f t="shared" si="28"/>
        <v>August</v>
      </c>
      <c r="P598" t="str">
        <f t="shared" si="29"/>
        <v>Weekday</v>
      </c>
    </row>
    <row r="599" spans="1:16" x14ac:dyDescent="0.3">
      <c r="A599" s="1">
        <v>42238</v>
      </c>
      <c r="B599">
        <v>2.34</v>
      </c>
      <c r="C599">
        <v>6.7359999999999998</v>
      </c>
      <c r="D599">
        <v>4</v>
      </c>
      <c r="E599">
        <v>28</v>
      </c>
      <c r="F599">
        <v>6</v>
      </c>
      <c r="G599">
        <v>3</v>
      </c>
      <c r="H599">
        <v>1</v>
      </c>
      <c r="I599">
        <v>6</v>
      </c>
      <c r="J599">
        <v>2015</v>
      </c>
      <c r="K599">
        <v>8</v>
      </c>
      <c r="L599">
        <v>276</v>
      </c>
      <c r="M599" t="s">
        <v>14</v>
      </c>
      <c r="N599">
        <f t="shared" si="27"/>
        <v>57.076000000000001</v>
      </c>
      <c r="O599" t="str">
        <f t="shared" si="28"/>
        <v>August</v>
      </c>
      <c r="P599" t="str">
        <f t="shared" si="29"/>
        <v>Weekend</v>
      </c>
    </row>
    <row r="600" spans="1:16" x14ac:dyDescent="0.3">
      <c r="A600" s="1">
        <v>42239</v>
      </c>
      <c r="B600">
        <v>8.99</v>
      </c>
      <c r="C600">
        <v>5.33</v>
      </c>
      <c r="D600">
        <v>3</v>
      </c>
      <c r="E600">
        <v>28</v>
      </c>
      <c r="F600">
        <v>8</v>
      </c>
      <c r="G600">
        <v>0</v>
      </c>
      <c r="H600">
        <v>2</v>
      </c>
      <c r="I600">
        <v>2</v>
      </c>
      <c r="J600">
        <v>2015</v>
      </c>
      <c r="K600">
        <v>8</v>
      </c>
      <c r="L600">
        <v>276</v>
      </c>
      <c r="M600" t="s">
        <v>15</v>
      </c>
      <c r="N600">
        <f t="shared" si="27"/>
        <v>57.32</v>
      </c>
      <c r="O600" t="str">
        <f t="shared" si="28"/>
        <v>August</v>
      </c>
      <c r="P600" t="str">
        <f t="shared" si="29"/>
        <v>Weekend</v>
      </c>
    </row>
    <row r="601" spans="1:16" x14ac:dyDescent="0.3">
      <c r="A601" s="1">
        <v>42240</v>
      </c>
      <c r="B601">
        <v>8.5</v>
      </c>
      <c r="C601">
        <v>3.66</v>
      </c>
      <c r="D601">
        <v>3.4</v>
      </c>
      <c r="E601">
        <v>45.1</v>
      </c>
      <c r="F601">
        <v>8</v>
      </c>
      <c r="G601">
        <v>0</v>
      </c>
      <c r="H601">
        <v>0</v>
      </c>
      <c r="I601">
        <v>1</v>
      </c>
      <c r="J601">
        <v>2015</v>
      </c>
      <c r="K601">
        <v>8</v>
      </c>
      <c r="L601">
        <v>276</v>
      </c>
      <c r="M601" t="s">
        <v>16</v>
      </c>
      <c r="N601">
        <f t="shared" si="27"/>
        <v>69.66</v>
      </c>
      <c r="O601" t="str">
        <f t="shared" si="28"/>
        <v>August</v>
      </c>
      <c r="P601" t="str">
        <f t="shared" si="29"/>
        <v>Weekday</v>
      </c>
    </row>
    <row r="602" spans="1:16" x14ac:dyDescent="0.3">
      <c r="A602" s="1">
        <v>42241</v>
      </c>
      <c r="B602">
        <v>2.34</v>
      </c>
      <c r="C602">
        <v>2.67</v>
      </c>
      <c r="D602">
        <v>4</v>
      </c>
      <c r="E602">
        <v>23.5</v>
      </c>
      <c r="F602">
        <v>20</v>
      </c>
      <c r="G602">
        <v>0</v>
      </c>
      <c r="H602">
        <v>1</v>
      </c>
      <c r="I602">
        <v>3</v>
      </c>
      <c r="J602">
        <v>2015</v>
      </c>
      <c r="K602">
        <v>8</v>
      </c>
      <c r="L602">
        <v>276</v>
      </c>
      <c r="M602" t="s">
        <v>17</v>
      </c>
      <c r="N602">
        <f t="shared" si="27"/>
        <v>56.51</v>
      </c>
      <c r="O602" t="str">
        <f t="shared" si="28"/>
        <v>August</v>
      </c>
      <c r="P602" t="str">
        <f t="shared" si="29"/>
        <v>Weekday</v>
      </c>
    </row>
    <row r="603" spans="1:16" x14ac:dyDescent="0.3">
      <c r="A603" s="1">
        <v>42242</v>
      </c>
      <c r="B603">
        <v>2.67</v>
      </c>
      <c r="C603">
        <v>4.0199999999999996</v>
      </c>
      <c r="D603">
        <v>7.3</v>
      </c>
      <c r="E603">
        <v>27</v>
      </c>
      <c r="F603">
        <v>7</v>
      </c>
      <c r="G603">
        <v>0</v>
      </c>
      <c r="H603">
        <v>1</v>
      </c>
      <c r="I603">
        <v>6</v>
      </c>
      <c r="J603">
        <v>2015</v>
      </c>
      <c r="K603">
        <v>8</v>
      </c>
      <c r="L603">
        <v>276</v>
      </c>
      <c r="M603" t="s">
        <v>18</v>
      </c>
      <c r="N603">
        <f t="shared" si="27"/>
        <v>54.989999999999995</v>
      </c>
      <c r="O603" t="str">
        <f t="shared" si="28"/>
        <v>August</v>
      </c>
      <c r="P603" t="str">
        <f t="shared" si="29"/>
        <v>Weekday</v>
      </c>
    </row>
    <row r="604" spans="1:16" x14ac:dyDescent="0.3">
      <c r="A604" s="1">
        <v>42243</v>
      </c>
      <c r="B604">
        <v>9.33</v>
      </c>
      <c r="C604">
        <v>3</v>
      </c>
      <c r="D604">
        <v>4.5</v>
      </c>
      <c r="E604">
        <v>32</v>
      </c>
      <c r="F604">
        <v>8</v>
      </c>
      <c r="G604">
        <v>0</v>
      </c>
      <c r="H604">
        <v>0</v>
      </c>
      <c r="I604">
        <v>3</v>
      </c>
      <c r="J604">
        <v>2015</v>
      </c>
      <c r="K604">
        <v>8</v>
      </c>
      <c r="L604">
        <v>276</v>
      </c>
      <c r="M604" t="s">
        <v>12</v>
      </c>
      <c r="N604">
        <f t="shared" si="27"/>
        <v>59.83</v>
      </c>
      <c r="O604" t="str">
        <f t="shared" si="28"/>
        <v>August</v>
      </c>
      <c r="P604" t="str">
        <f t="shared" si="29"/>
        <v>Weekday</v>
      </c>
    </row>
    <row r="605" spans="1:16" x14ac:dyDescent="0.3">
      <c r="A605" s="1">
        <v>42244</v>
      </c>
      <c r="B605">
        <v>7</v>
      </c>
      <c r="C605">
        <v>8.67</v>
      </c>
      <c r="D605">
        <v>1</v>
      </c>
      <c r="E605">
        <v>15.1</v>
      </c>
      <c r="F605">
        <v>12</v>
      </c>
      <c r="G605">
        <v>0</v>
      </c>
      <c r="H605">
        <v>0</v>
      </c>
      <c r="I605">
        <v>3</v>
      </c>
      <c r="J605">
        <v>2015</v>
      </c>
      <c r="K605">
        <v>8</v>
      </c>
      <c r="L605">
        <v>276</v>
      </c>
      <c r="M605" t="s">
        <v>13</v>
      </c>
      <c r="N605">
        <f t="shared" si="27"/>
        <v>46.77</v>
      </c>
      <c r="O605" t="str">
        <f t="shared" si="28"/>
        <v>August</v>
      </c>
      <c r="P605" t="str">
        <f t="shared" si="29"/>
        <v>Weekday</v>
      </c>
    </row>
    <row r="606" spans="1:16" x14ac:dyDescent="0.3">
      <c r="A606" s="1">
        <v>42245</v>
      </c>
      <c r="B606">
        <v>10.84</v>
      </c>
      <c r="C606">
        <v>10.34</v>
      </c>
      <c r="D606">
        <v>4</v>
      </c>
      <c r="E606">
        <v>23.2</v>
      </c>
      <c r="F606">
        <v>4</v>
      </c>
      <c r="G606">
        <v>3</v>
      </c>
      <c r="H606">
        <v>3</v>
      </c>
      <c r="I606">
        <v>2</v>
      </c>
      <c r="J606">
        <v>2015</v>
      </c>
      <c r="K606">
        <v>8</v>
      </c>
      <c r="L606">
        <v>276</v>
      </c>
      <c r="M606" t="s">
        <v>14</v>
      </c>
      <c r="N606">
        <f t="shared" si="27"/>
        <v>60.379999999999995</v>
      </c>
      <c r="O606" t="str">
        <f t="shared" si="28"/>
        <v>August</v>
      </c>
      <c r="P606" t="str">
        <f t="shared" si="29"/>
        <v>Weekend</v>
      </c>
    </row>
    <row r="607" spans="1:16" x14ac:dyDescent="0.3">
      <c r="A607" s="1">
        <v>42246</v>
      </c>
      <c r="B607">
        <v>11</v>
      </c>
      <c r="C607">
        <v>6.02</v>
      </c>
      <c r="D607">
        <v>3.5</v>
      </c>
      <c r="E607">
        <v>21</v>
      </c>
      <c r="F607">
        <v>3</v>
      </c>
      <c r="G607">
        <v>0</v>
      </c>
      <c r="H607">
        <v>6</v>
      </c>
      <c r="I607">
        <v>4</v>
      </c>
      <c r="J607">
        <v>2015</v>
      </c>
      <c r="K607">
        <v>8</v>
      </c>
      <c r="L607">
        <v>276</v>
      </c>
      <c r="M607" t="s">
        <v>15</v>
      </c>
      <c r="N607">
        <f t="shared" si="27"/>
        <v>54.519999999999996</v>
      </c>
      <c r="O607" t="str">
        <f t="shared" si="28"/>
        <v>August</v>
      </c>
      <c r="P607" t="str">
        <f t="shared" si="29"/>
        <v>Weekend</v>
      </c>
    </row>
    <row r="608" spans="1:16" x14ac:dyDescent="0.3">
      <c r="A608" s="1">
        <v>42247</v>
      </c>
      <c r="B608">
        <v>4</v>
      </c>
      <c r="C608">
        <v>9.34</v>
      </c>
      <c r="D608">
        <v>3.4</v>
      </c>
      <c r="E608">
        <v>38</v>
      </c>
      <c r="F608">
        <v>9.5</v>
      </c>
      <c r="G608">
        <v>0</v>
      </c>
      <c r="H608">
        <v>6</v>
      </c>
      <c r="I608">
        <v>2</v>
      </c>
      <c r="J608">
        <v>2015</v>
      </c>
      <c r="K608">
        <v>8</v>
      </c>
      <c r="L608">
        <v>276</v>
      </c>
      <c r="M608" t="s">
        <v>16</v>
      </c>
      <c r="N608">
        <f t="shared" si="27"/>
        <v>72.239999999999995</v>
      </c>
      <c r="O608" t="str">
        <f t="shared" si="28"/>
        <v>August</v>
      </c>
      <c r="P608" t="str">
        <f t="shared" si="29"/>
        <v>Weekday</v>
      </c>
    </row>
    <row r="609" spans="1:16" x14ac:dyDescent="0.3">
      <c r="A609" s="1">
        <v>42248</v>
      </c>
      <c r="B609">
        <v>8.18</v>
      </c>
      <c r="C609">
        <v>2.84</v>
      </c>
      <c r="D609">
        <v>4.4000000000000004</v>
      </c>
      <c r="E609">
        <v>28.25</v>
      </c>
      <c r="F609">
        <v>8</v>
      </c>
      <c r="G609">
        <v>0</v>
      </c>
      <c r="H609">
        <v>0</v>
      </c>
      <c r="I609">
        <v>3</v>
      </c>
      <c r="J609">
        <v>2015</v>
      </c>
      <c r="K609">
        <v>9</v>
      </c>
      <c r="L609">
        <v>276</v>
      </c>
      <c r="M609" t="s">
        <v>17</v>
      </c>
      <c r="N609">
        <f t="shared" si="27"/>
        <v>54.67</v>
      </c>
      <c r="O609" t="str">
        <f t="shared" si="28"/>
        <v>September</v>
      </c>
      <c r="P609" t="str">
        <f t="shared" si="29"/>
        <v>Weekday</v>
      </c>
    </row>
    <row r="610" spans="1:16" x14ac:dyDescent="0.3">
      <c r="A610" s="1">
        <v>42249</v>
      </c>
      <c r="B610">
        <v>5.33</v>
      </c>
      <c r="C610">
        <v>7</v>
      </c>
      <c r="D610">
        <v>3</v>
      </c>
      <c r="E610">
        <v>31.3</v>
      </c>
      <c r="F610">
        <v>9.5</v>
      </c>
      <c r="G610">
        <v>0</v>
      </c>
      <c r="H610">
        <v>5</v>
      </c>
      <c r="I610">
        <v>5</v>
      </c>
      <c r="J610">
        <v>2015</v>
      </c>
      <c r="K610">
        <v>9</v>
      </c>
      <c r="L610">
        <v>276</v>
      </c>
      <c r="M610" t="s">
        <v>18</v>
      </c>
      <c r="N610">
        <f t="shared" si="27"/>
        <v>66.13</v>
      </c>
      <c r="O610" t="str">
        <f t="shared" si="28"/>
        <v>September</v>
      </c>
      <c r="P610" t="str">
        <f t="shared" si="29"/>
        <v>Weekday</v>
      </c>
    </row>
    <row r="611" spans="1:16" x14ac:dyDescent="0.3">
      <c r="A611" s="1">
        <v>42250</v>
      </c>
      <c r="B611">
        <v>1.34</v>
      </c>
      <c r="C611">
        <v>3.68</v>
      </c>
      <c r="D611">
        <v>2.2000000000000002</v>
      </c>
      <c r="E611">
        <v>19</v>
      </c>
      <c r="F611">
        <v>13</v>
      </c>
      <c r="G611">
        <v>0</v>
      </c>
      <c r="H611">
        <v>4</v>
      </c>
      <c r="I611">
        <v>2</v>
      </c>
      <c r="J611">
        <v>2015</v>
      </c>
      <c r="K611">
        <v>9</v>
      </c>
      <c r="L611">
        <v>276</v>
      </c>
      <c r="M611" t="s">
        <v>12</v>
      </c>
      <c r="N611">
        <f t="shared" si="27"/>
        <v>45.22</v>
      </c>
      <c r="O611" t="str">
        <f t="shared" si="28"/>
        <v>September</v>
      </c>
      <c r="P611" t="str">
        <f t="shared" si="29"/>
        <v>Weekday</v>
      </c>
    </row>
    <row r="612" spans="1:16" x14ac:dyDescent="0.3">
      <c r="A612" s="1">
        <v>42251</v>
      </c>
      <c r="B612">
        <v>3.34</v>
      </c>
      <c r="C612">
        <v>2.68</v>
      </c>
      <c r="D612">
        <v>3.1</v>
      </c>
      <c r="E612">
        <v>20</v>
      </c>
      <c r="F612">
        <v>8</v>
      </c>
      <c r="G612">
        <v>1</v>
      </c>
      <c r="H612">
        <v>1</v>
      </c>
      <c r="I612">
        <v>2</v>
      </c>
      <c r="J612">
        <v>2015</v>
      </c>
      <c r="K612">
        <v>9</v>
      </c>
      <c r="L612">
        <v>276</v>
      </c>
      <c r="M612" t="s">
        <v>13</v>
      </c>
      <c r="N612">
        <f t="shared" si="27"/>
        <v>41.12</v>
      </c>
      <c r="O612" t="str">
        <f t="shared" si="28"/>
        <v>September</v>
      </c>
      <c r="P612" t="str">
        <f t="shared" si="29"/>
        <v>Weekday</v>
      </c>
    </row>
    <row r="613" spans="1:16" x14ac:dyDescent="0.3">
      <c r="A613" s="1">
        <v>42252</v>
      </c>
      <c r="B613">
        <v>8.83</v>
      </c>
      <c r="C613">
        <v>6.01</v>
      </c>
      <c r="D613">
        <v>3.2</v>
      </c>
      <c r="E613">
        <v>20</v>
      </c>
      <c r="F613">
        <v>10.5</v>
      </c>
      <c r="G613">
        <v>1</v>
      </c>
      <c r="H613">
        <v>6</v>
      </c>
      <c r="I613">
        <v>4</v>
      </c>
      <c r="J613">
        <v>2015</v>
      </c>
      <c r="K613">
        <v>9</v>
      </c>
      <c r="L613">
        <v>276</v>
      </c>
      <c r="M613" t="s">
        <v>14</v>
      </c>
      <c r="N613">
        <f t="shared" si="27"/>
        <v>59.54</v>
      </c>
      <c r="O613" t="str">
        <f t="shared" si="28"/>
        <v>September</v>
      </c>
      <c r="P613" t="str">
        <f t="shared" si="29"/>
        <v>Weekend</v>
      </c>
    </row>
    <row r="614" spans="1:16" x14ac:dyDescent="0.3">
      <c r="A614" s="1">
        <v>42253</v>
      </c>
      <c r="B614">
        <v>8.33</v>
      </c>
      <c r="C614">
        <v>9.67</v>
      </c>
      <c r="D614">
        <v>6</v>
      </c>
      <c r="E614">
        <v>23.6</v>
      </c>
      <c r="F614">
        <v>8</v>
      </c>
      <c r="G614">
        <v>1</v>
      </c>
      <c r="H614">
        <v>0</v>
      </c>
      <c r="I614">
        <v>3</v>
      </c>
      <c r="J614">
        <v>2015</v>
      </c>
      <c r="K614">
        <v>9</v>
      </c>
      <c r="L614">
        <v>276</v>
      </c>
      <c r="M614" t="s">
        <v>15</v>
      </c>
      <c r="N614">
        <f t="shared" si="27"/>
        <v>59.6</v>
      </c>
      <c r="O614" t="str">
        <f t="shared" si="28"/>
        <v>September</v>
      </c>
      <c r="P614" t="str">
        <f t="shared" si="29"/>
        <v>Weekend</v>
      </c>
    </row>
    <row r="615" spans="1:16" x14ac:dyDescent="0.3">
      <c r="A615" s="1">
        <v>42254</v>
      </c>
      <c r="B615">
        <v>4.34</v>
      </c>
      <c r="C615">
        <v>6.1239999999999997</v>
      </c>
      <c r="D615">
        <v>2.5</v>
      </c>
      <c r="E615">
        <v>32.799999999999997</v>
      </c>
      <c r="F615">
        <v>7</v>
      </c>
      <c r="G615">
        <v>1</v>
      </c>
      <c r="H615">
        <v>5</v>
      </c>
      <c r="I615">
        <v>2</v>
      </c>
      <c r="J615">
        <v>2015</v>
      </c>
      <c r="K615">
        <v>9</v>
      </c>
      <c r="L615">
        <v>276</v>
      </c>
      <c r="M615" t="s">
        <v>16</v>
      </c>
      <c r="N615">
        <f t="shared" si="27"/>
        <v>60.763999999999996</v>
      </c>
      <c r="O615" t="str">
        <f t="shared" si="28"/>
        <v>September</v>
      </c>
      <c r="P615" t="str">
        <f t="shared" si="29"/>
        <v>Weekday</v>
      </c>
    </row>
    <row r="616" spans="1:16" x14ac:dyDescent="0.3">
      <c r="A616" s="1">
        <v>42255</v>
      </c>
      <c r="B616">
        <v>2.67</v>
      </c>
      <c r="C616">
        <v>1.6930000000000001</v>
      </c>
      <c r="D616">
        <v>5</v>
      </c>
      <c r="E616">
        <v>29.2</v>
      </c>
      <c r="F616">
        <v>4</v>
      </c>
      <c r="G616">
        <v>0</v>
      </c>
      <c r="H616">
        <v>2</v>
      </c>
      <c r="I616">
        <v>4</v>
      </c>
      <c r="J616">
        <v>2015</v>
      </c>
      <c r="K616">
        <v>9</v>
      </c>
      <c r="L616">
        <v>276</v>
      </c>
      <c r="M616" t="s">
        <v>17</v>
      </c>
      <c r="N616">
        <f t="shared" si="27"/>
        <v>48.563000000000002</v>
      </c>
      <c r="O616" t="str">
        <f t="shared" si="28"/>
        <v>September</v>
      </c>
      <c r="P616" t="str">
        <f t="shared" si="29"/>
        <v>Weekday</v>
      </c>
    </row>
    <row r="617" spans="1:16" x14ac:dyDescent="0.3">
      <c r="A617" s="1">
        <v>42256</v>
      </c>
      <c r="B617">
        <v>2</v>
      </c>
      <c r="C617">
        <v>3</v>
      </c>
      <c r="D617">
        <v>1</v>
      </c>
      <c r="E617">
        <v>34.700000000000003</v>
      </c>
      <c r="F617">
        <v>8</v>
      </c>
      <c r="G617">
        <v>0</v>
      </c>
      <c r="H617">
        <v>2</v>
      </c>
      <c r="I617">
        <v>2</v>
      </c>
      <c r="J617">
        <v>2015</v>
      </c>
      <c r="K617">
        <v>9</v>
      </c>
      <c r="L617">
        <v>276</v>
      </c>
      <c r="M617" t="s">
        <v>18</v>
      </c>
      <c r="N617">
        <f t="shared" si="27"/>
        <v>52.7</v>
      </c>
      <c r="O617" t="str">
        <f t="shared" si="28"/>
        <v>September</v>
      </c>
      <c r="P617" t="str">
        <f t="shared" si="29"/>
        <v>Weekday</v>
      </c>
    </row>
    <row r="618" spans="1:16" x14ac:dyDescent="0.3">
      <c r="A618" s="1">
        <v>42257</v>
      </c>
      <c r="B618">
        <v>6</v>
      </c>
      <c r="C618">
        <v>3.99</v>
      </c>
      <c r="D618">
        <v>4.2</v>
      </c>
      <c r="E618">
        <v>21.2</v>
      </c>
      <c r="F618">
        <v>18</v>
      </c>
      <c r="G618">
        <v>0</v>
      </c>
      <c r="H618">
        <v>2</v>
      </c>
      <c r="I618">
        <v>2</v>
      </c>
      <c r="J618">
        <v>2015</v>
      </c>
      <c r="K618">
        <v>9</v>
      </c>
      <c r="L618">
        <v>276</v>
      </c>
      <c r="M618" t="s">
        <v>12</v>
      </c>
      <c r="N618">
        <f t="shared" si="27"/>
        <v>57.39</v>
      </c>
      <c r="O618" t="str">
        <f t="shared" si="28"/>
        <v>September</v>
      </c>
      <c r="P618" t="str">
        <f t="shared" si="29"/>
        <v>Weekday</v>
      </c>
    </row>
    <row r="619" spans="1:16" x14ac:dyDescent="0.3">
      <c r="A619" s="1">
        <v>42258</v>
      </c>
      <c r="B619">
        <v>11.33</v>
      </c>
      <c r="C619">
        <v>5</v>
      </c>
      <c r="D619">
        <v>9</v>
      </c>
      <c r="E619">
        <v>30</v>
      </c>
      <c r="F619">
        <v>9</v>
      </c>
      <c r="G619">
        <v>0</v>
      </c>
      <c r="H619">
        <v>2</v>
      </c>
      <c r="I619">
        <v>2</v>
      </c>
      <c r="J619">
        <v>2015</v>
      </c>
      <c r="K619">
        <v>9</v>
      </c>
      <c r="L619">
        <v>276</v>
      </c>
      <c r="M619" t="s">
        <v>13</v>
      </c>
      <c r="N619">
        <f t="shared" si="27"/>
        <v>68.33</v>
      </c>
      <c r="O619" t="str">
        <f t="shared" si="28"/>
        <v>September</v>
      </c>
      <c r="P619" t="str">
        <f t="shared" si="29"/>
        <v>Weekday</v>
      </c>
    </row>
    <row r="620" spans="1:16" x14ac:dyDescent="0.3">
      <c r="A620" s="1">
        <v>42259</v>
      </c>
      <c r="B620">
        <v>4.66</v>
      </c>
      <c r="C620">
        <v>7.66</v>
      </c>
      <c r="D620">
        <v>5.2</v>
      </c>
      <c r="E620">
        <v>63.3</v>
      </c>
      <c r="F620">
        <v>6</v>
      </c>
      <c r="G620">
        <v>3</v>
      </c>
      <c r="H620">
        <v>0</v>
      </c>
      <c r="I620">
        <v>2</v>
      </c>
      <c r="J620">
        <v>2015</v>
      </c>
      <c r="K620">
        <v>9</v>
      </c>
      <c r="L620">
        <v>276</v>
      </c>
      <c r="M620" t="s">
        <v>14</v>
      </c>
      <c r="N620">
        <f t="shared" si="27"/>
        <v>91.82</v>
      </c>
      <c r="O620" t="str">
        <f t="shared" si="28"/>
        <v>September</v>
      </c>
      <c r="P620" t="str">
        <f t="shared" si="29"/>
        <v>Weekend</v>
      </c>
    </row>
    <row r="621" spans="1:16" x14ac:dyDescent="0.3">
      <c r="A621" s="1">
        <v>42260</v>
      </c>
      <c r="B621">
        <v>7.33</v>
      </c>
      <c r="C621">
        <v>6.165</v>
      </c>
      <c r="D621">
        <v>7.2</v>
      </c>
      <c r="E621">
        <v>25</v>
      </c>
      <c r="F621">
        <v>4</v>
      </c>
      <c r="G621">
        <v>0</v>
      </c>
      <c r="H621">
        <v>11</v>
      </c>
      <c r="I621">
        <v>3</v>
      </c>
      <c r="J621">
        <v>2015</v>
      </c>
      <c r="K621">
        <v>9</v>
      </c>
      <c r="L621">
        <v>276</v>
      </c>
      <c r="M621" t="s">
        <v>15</v>
      </c>
      <c r="N621">
        <f t="shared" si="27"/>
        <v>63.695</v>
      </c>
      <c r="O621" t="str">
        <f t="shared" si="28"/>
        <v>September</v>
      </c>
      <c r="P621" t="str">
        <f t="shared" si="29"/>
        <v>Weekend</v>
      </c>
    </row>
    <row r="622" spans="1:16" x14ac:dyDescent="0.3">
      <c r="A622" s="1">
        <v>42261</v>
      </c>
      <c r="B622">
        <v>4.68</v>
      </c>
      <c r="C622">
        <v>5</v>
      </c>
      <c r="D622">
        <v>1</v>
      </c>
      <c r="E622">
        <v>31.3</v>
      </c>
      <c r="F622">
        <v>14</v>
      </c>
      <c r="G622">
        <v>0</v>
      </c>
      <c r="H622">
        <v>0</v>
      </c>
      <c r="I622">
        <v>0</v>
      </c>
      <c r="J622">
        <v>2015</v>
      </c>
      <c r="K622">
        <v>9</v>
      </c>
      <c r="L622">
        <v>276</v>
      </c>
      <c r="M622" t="s">
        <v>16</v>
      </c>
      <c r="N622">
        <f t="shared" si="27"/>
        <v>55.980000000000004</v>
      </c>
      <c r="O622" t="str">
        <f t="shared" si="28"/>
        <v>September</v>
      </c>
      <c r="P622" t="str">
        <f t="shared" si="29"/>
        <v>Weekday</v>
      </c>
    </row>
    <row r="623" spans="1:16" x14ac:dyDescent="0.3">
      <c r="A623" s="1">
        <v>42262</v>
      </c>
      <c r="B623">
        <v>3.33</v>
      </c>
      <c r="C623">
        <v>5.0759999999999996</v>
      </c>
      <c r="D623">
        <v>4.2</v>
      </c>
      <c r="E623">
        <v>23.8</v>
      </c>
      <c r="F623">
        <v>7.5</v>
      </c>
      <c r="G623">
        <v>0</v>
      </c>
      <c r="H623">
        <v>6</v>
      </c>
      <c r="I623">
        <v>5</v>
      </c>
      <c r="J623">
        <v>2015</v>
      </c>
      <c r="K623">
        <v>9</v>
      </c>
      <c r="L623">
        <v>276</v>
      </c>
      <c r="M623" t="s">
        <v>17</v>
      </c>
      <c r="N623">
        <f t="shared" si="27"/>
        <v>54.905999999999999</v>
      </c>
      <c r="O623" t="str">
        <f t="shared" si="28"/>
        <v>September</v>
      </c>
      <c r="P623" t="str">
        <f t="shared" si="29"/>
        <v>Weekday</v>
      </c>
    </row>
    <row r="624" spans="1:16" x14ac:dyDescent="0.3">
      <c r="A624" s="1">
        <v>42263</v>
      </c>
      <c r="B624">
        <v>0.67</v>
      </c>
      <c r="C624">
        <v>4.835</v>
      </c>
      <c r="D624">
        <v>2.2000000000000002</v>
      </c>
      <c r="E624">
        <v>16.600000000000001</v>
      </c>
      <c r="F624">
        <v>6</v>
      </c>
      <c r="G624">
        <v>0</v>
      </c>
      <c r="H624">
        <v>2</v>
      </c>
      <c r="I624">
        <v>1</v>
      </c>
      <c r="J624">
        <v>2015</v>
      </c>
      <c r="K624">
        <v>9</v>
      </c>
      <c r="L624">
        <v>276</v>
      </c>
      <c r="M624" t="s">
        <v>18</v>
      </c>
      <c r="N624">
        <f t="shared" si="27"/>
        <v>33.305</v>
      </c>
      <c r="O624" t="str">
        <f t="shared" si="28"/>
        <v>September</v>
      </c>
      <c r="P624" t="str">
        <f t="shared" si="29"/>
        <v>Weekday</v>
      </c>
    </row>
    <row r="625" spans="1:16" x14ac:dyDescent="0.3">
      <c r="A625" s="1">
        <v>42264</v>
      </c>
      <c r="B625">
        <v>9.83</v>
      </c>
      <c r="C625">
        <v>6.33</v>
      </c>
      <c r="D625">
        <v>0</v>
      </c>
      <c r="E625">
        <v>35.5</v>
      </c>
      <c r="F625">
        <v>3</v>
      </c>
      <c r="G625">
        <v>0</v>
      </c>
      <c r="H625">
        <v>1</v>
      </c>
      <c r="I625">
        <v>2</v>
      </c>
      <c r="J625">
        <v>2015</v>
      </c>
      <c r="K625">
        <v>9</v>
      </c>
      <c r="L625">
        <v>276</v>
      </c>
      <c r="M625" t="s">
        <v>12</v>
      </c>
      <c r="N625">
        <f t="shared" si="27"/>
        <v>57.66</v>
      </c>
      <c r="O625" t="str">
        <f t="shared" si="28"/>
        <v>September</v>
      </c>
      <c r="P625" t="str">
        <f t="shared" si="29"/>
        <v>Weekday</v>
      </c>
    </row>
    <row r="626" spans="1:16" x14ac:dyDescent="0.3">
      <c r="A626" s="1">
        <v>42265</v>
      </c>
      <c r="B626">
        <v>3.34</v>
      </c>
      <c r="C626">
        <v>1.33</v>
      </c>
      <c r="D626">
        <v>3</v>
      </c>
      <c r="E626">
        <v>16</v>
      </c>
      <c r="F626">
        <v>4</v>
      </c>
      <c r="G626">
        <v>0</v>
      </c>
      <c r="H626">
        <v>4</v>
      </c>
      <c r="I626">
        <v>3</v>
      </c>
      <c r="J626">
        <v>2015</v>
      </c>
      <c r="K626">
        <v>9</v>
      </c>
      <c r="L626">
        <v>276</v>
      </c>
      <c r="M626" t="s">
        <v>13</v>
      </c>
      <c r="N626">
        <f t="shared" si="27"/>
        <v>34.67</v>
      </c>
      <c r="O626" t="str">
        <f t="shared" si="28"/>
        <v>September</v>
      </c>
      <c r="P626" t="str">
        <f t="shared" si="29"/>
        <v>Weekday</v>
      </c>
    </row>
    <row r="627" spans="1:16" x14ac:dyDescent="0.3">
      <c r="A627" s="1">
        <v>42266</v>
      </c>
      <c r="B627">
        <v>6.83</v>
      </c>
      <c r="C627">
        <v>0.99</v>
      </c>
      <c r="D627">
        <v>7</v>
      </c>
      <c r="E627">
        <v>37</v>
      </c>
      <c r="F627">
        <v>7</v>
      </c>
      <c r="G627">
        <v>0</v>
      </c>
      <c r="H627">
        <v>4</v>
      </c>
      <c r="I627">
        <v>5</v>
      </c>
      <c r="J627">
        <v>2015</v>
      </c>
      <c r="K627">
        <v>9</v>
      </c>
      <c r="L627">
        <v>276</v>
      </c>
      <c r="M627" t="s">
        <v>14</v>
      </c>
      <c r="N627">
        <f t="shared" si="27"/>
        <v>67.819999999999993</v>
      </c>
      <c r="O627" t="str">
        <f t="shared" si="28"/>
        <v>September</v>
      </c>
      <c r="P627" t="str">
        <f t="shared" si="29"/>
        <v>Weekend</v>
      </c>
    </row>
    <row r="628" spans="1:16" x14ac:dyDescent="0.3">
      <c r="A628" s="1">
        <v>42267</v>
      </c>
      <c r="B628">
        <v>9.99</v>
      </c>
      <c r="C628">
        <v>3.99</v>
      </c>
      <c r="D628">
        <v>6.5</v>
      </c>
      <c r="E628">
        <v>28.9</v>
      </c>
      <c r="F628">
        <v>15</v>
      </c>
      <c r="G628">
        <v>0</v>
      </c>
      <c r="H628">
        <v>0</v>
      </c>
      <c r="I628">
        <v>2</v>
      </c>
      <c r="J628">
        <v>2015</v>
      </c>
      <c r="K628">
        <v>9</v>
      </c>
      <c r="L628">
        <v>276</v>
      </c>
      <c r="M628" t="s">
        <v>15</v>
      </c>
      <c r="N628">
        <f t="shared" si="27"/>
        <v>66.38</v>
      </c>
      <c r="O628" t="str">
        <f t="shared" si="28"/>
        <v>September</v>
      </c>
      <c r="P628" t="str">
        <f t="shared" si="29"/>
        <v>Weekend</v>
      </c>
    </row>
    <row r="629" spans="1:16" x14ac:dyDescent="0.3">
      <c r="A629" s="1">
        <v>42268</v>
      </c>
      <c r="B629">
        <v>2</v>
      </c>
      <c r="C629">
        <v>10</v>
      </c>
      <c r="D629">
        <v>2</v>
      </c>
      <c r="E629">
        <v>46.7</v>
      </c>
      <c r="F629">
        <v>6</v>
      </c>
      <c r="G629">
        <v>0</v>
      </c>
      <c r="H629">
        <v>0</v>
      </c>
      <c r="I629">
        <v>2</v>
      </c>
      <c r="J629">
        <v>2015</v>
      </c>
      <c r="K629">
        <v>9</v>
      </c>
      <c r="L629">
        <v>276</v>
      </c>
      <c r="M629" t="s">
        <v>16</v>
      </c>
      <c r="N629">
        <f t="shared" si="27"/>
        <v>68.7</v>
      </c>
      <c r="O629" t="str">
        <f t="shared" si="28"/>
        <v>September</v>
      </c>
      <c r="P629" t="str">
        <f t="shared" si="29"/>
        <v>Weekday</v>
      </c>
    </row>
    <row r="630" spans="1:16" x14ac:dyDescent="0.3">
      <c r="A630" s="1">
        <v>42269</v>
      </c>
      <c r="B630">
        <v>6.99</v>
      </c>
      <c r="C630">
        <v>1.33</v>
      </c>
      <c r="D630">
        <v>4</v>
      </c>
      <c r="E630">
        <v>19.5</v>
      </c>
      <c r="F630">
        <v>10</v>
      </c>
      <c r="G630">
        <v>2</v>
      </c>
      <c r="H630">
        <v>5</v>
      </c>
      <c r="I630">
        <v>5</v>
      </c>
      <c r="J630">
        <v>2015</v>
      </c>
      <c r="K630">
        <v>9</v>
      </c>
      <c r="L630">
        <v>276</v>
      </c>
      <c r="M630" t="s">
        <v>17</v>
      </c>
      <c r="N630">
        <f t="shared" si="27"/>
        <v>53.82</v>
      </c>
      <c r="O630" t="str">
        <f t="shared" si="28"/>
        <v>September</v>
      </c>
      <c r="P630" t="str">
        <f t="shared" si="29"/>
        <v>Weekday</v>
      </c>
    </row>
    <row r="631" spans="1:16" x14ac:dyDescent="0.3">
      <c r="A631" s="1">
        <v>42270</v>
      </c>
      <c r="B631">
        <v>6.16</v>
      </c>
      <c r="C631">
        <v>4.056</v>
      </c>
      <c r="D631">
        <v>3.3</v>
      </c>
      <c r="E631">
        <v>34.65</v>
      </c>
      <c r="F631">
        <v>7</v>
      </c>
      <c r="G631">
        <v>0</v>
      </c>
      <c r="H631">
        <v>2</v>
      </c>
      <c r="I631">
        <v>1</v>
      </c>
      <c r="J631">
        <v>2015</v>
      </c>
      <c r="K631">
        <v>9</v>
      </c>
      <c r="L631">
        <v>276</v>
      </c>
      <c r="M631" t="s">
        <v>18</v>
      </c>
      <c r="N631">
        <f t="shared" si="27"/>
        <v>58.165999999999997</v>
      </c>
      <c r="O631" t="str">
        <f t="shared" si="28"/>
        <v>September</v>
      </c>
      <c r="P631" t="str">
        <f t="shared" si="29"/>
        <v>Weekday</v>
      </c>
    </row>
    <row r="632" spans="1:16" x14ac:dyDescent="0.3">
      <c r="A632" s="1">
        <v>42271</v>
      </c>
      <c r="B632">
        <v>2.99</v>
      </c>
      <c r="C632">
        <v>4.34</v>
      </c>
      <c r="D632">
        <v>4.2</v>
      </c>
      <c r="E632">
        <v>37.6</v>
      </c>
      <c r="F632">
        <v>7</v>
      </c>
      <c r="G632">
        <v>0</v>
      </c>
      <c r="H632">
        <v>0</v>
      </c>
      <c r="I632">
        <v>0</v>
      </c>
      <c r="J632">
        <v>2015</v>
      </c>
      <c r="K632">
        <v>9</v>
      </c>
      <c r="L632">
        <v>276</v>
      </c>
      <c r="M632" t="s">
        <v>12</v>
      </c>
      <c r="N632">
        <f t="shared" si="27"/>
        <v>56.13</v>
      </c>
      <c r="O632" t="str">
        <f t="shared" si="28"/>
        <v>September</v>
      </c>
      <c r="P632" t="str">
        <f t="shared" si="29"/>
        <v>Weekday</v>
      </c>
    </row>
    <row r="633" spans="1:16" x14ac:dyDescent="0.3">
      <c r="A633" s="1">
        <v>42272</v>
      </c>
      <c r="B633">
        <v>4.83</v>
      </c>
      <c r="C633">
        <v>4.9800000000000004</v>
      </c>
      <c r="D633">
        <v>5.2</v>
      </c>
      <c r="E633">
        <v>25.2</v>
      </c>
      <c r="F633">
        <v>11</v>
      </c>
      <c r="G633">
        <v>0</v>
      </c>
      <c r="H633">
        <v>1</v>
      </c>
      <c r="I633">
        <v>3</v>
      </c>
      <c r="J633">
        <v>2015</v>
      </c>
      <c r="K633">
        <v>9</v>
      </c>
      <c r="L633">
        <v>276</v>
      </c>
      <c r="M633" t="s">
        <v>13</v>
      </c>
      <c r="N633">
        <f t="shared" si="27"/>
        <v>55.21</v>
      </c>
      <c r="O633" t="str">
        <f t="shared" si="28"/>
        <v>September</v>
      </c>
      <c r="P633" t="str">
        <f t="shared" si="29"/>
        <v>Weekday</v>
      </c>
    </row>
    <row r="634" spans="1:16" x14ac:dyDescent="0.3">
      <c r="A634" s="1">
        <v>42273</v>
      </c>
      <c r="B634">
        <v>12.42</v>
      </c>
      <c r="C634">
        <v>3.33</v>
      </c>
      <c r="D634">
        <v>2.5</v>
      </c>
      <c r="E634">
        <v>33</v>
      </c>
      <c r="F634">
        <v>6</v>
      </c>
      <c r="G634">
        <v>1</v>
      </c>
      <c r="H634">
        <v>7</v>
      </c>
      <c r="I634">
        <v>2</v>
      </c>
      <c r="J634">
        <v>2015</v>
      </c>
      <c r="K634">
        <v>9</v>
      </c>
      <c r="L634">
        <v>276</v>
      </c>
      <c r="M634" t="s">
        <v>14</v>
      </c>
      <c r="N634">
        <f t="shared" si="27"/>
        <v>67.25</v>
      </c>
      <c r="O634" t="str">
        <f t="shared" si="28"/>
        <v>September</v>
      </c>
      <c r="P634" t="str">
        <f t="shared" si="29"/>
        <v>Weekend</v>
      </c>
    </row>
    <row r="635" spans="1:16" x14ac:dyDescent="0.3">
      <c r="A635" s="1">
        <v>42274</v>
      </c>
      <c r="B635">
        <v>5.83</v>
      </c>
      <c r="C635">
        <v>3</v>
      </c>
      <c r="D635">
        <v>2.2999999999999998</v>
      </c>
      <c r="E635">
        <v>10.425000000000001</v>
      </c>
      <c r="F635">
        <v>3</v>
      </c>
      <c r="G635">
        <v>1</v>
      </c>
      <c r="H635">
        <v>2</v>
      </c>
      <c r="I635">
        <v>1</v>
      </c>
      <c r="J635">
        <v>2015</v>
      </c>
      <c r="K635">
        <v>9</v>
      </c>
      <c r="L635">
        <v>276</v>
      </c>
      <c r="M635" t="s">
        <v>15</v>
      </c>
      <c r="N635">
        <f t="shared" si="27"/>
        <v>28.555</v>
      </c>
      <c r="O635" t="str">
        <f t="shared" si="28"/>
        <v>September</v>
      </c>
      <c r="P635" t="str">
        <f t="shared" si="29"/>
        <v>Weekend</v>
      </c>
    </row>
    <row r="636" spans="1:16" x14ac:dyDescent="0.3">
      <c r="A636" s="1">
        <v>42275</v>
      </c>
      <c r="B636">
        <v>1</v>
      </c>
      <c r="C636">
        <v>1.33</v>
      </c>
      <c r="D636">
        <v>2</v>
      </c>
      <c r="E636">
        <v>15.4</v>
      </c>
      <c r="F636">
        <v>8</v>
      </c>
      <c r="G636">
        <v>0</v>
      </c>
      <c r="H636">
        <v>17</v>
      </c>
      <c r="I636">
        <v>2</v>
      </c>
      <c r="J636">
        <v>2015</v>
      </c>
      <c r="K636">
        <v>9</v>
      </c>
      <c r="L636">
        <v>276</v>
      </c>
      <c r="M636" t="s">
        <v>16</v>
      </c>
      <c r="N636">
        <f t="shared" si="27"/>
        <v>46.730000000000004</v>
      </c>
      <c r="O636" t="str">
        <f t="shared" si="28"/>
        <v>September</v>
      </c>
      <c r="P636" t="str">
        <f t="shared" si="29"/>
        <v>Weekday</v>
      </c>
    </row>
    <row r="637" spans="1:16" x14ac:dyDescent="0.3">
      <c r="A637" s="1">
        <v>42276</v>
      </c>
      <c r="B637">
        <v>6.33</v>
      </c>
      <c r="C637">
        <v>4.3630000000000004</v>
      </c>
      <c r="D637">
        <v>1</v>
      </c>
      <c r="E637">
        <v>39.700000000000003</v>
      </c>
      <c r="F637">
        <v>7</v>
      </c>
      <c r="G637">
        <v>0</v>
      </c>
      <c r="H637">
        <v>0</v>
      </c>
      <c r="I637">
        <v>0</v>
      </c>
      <c r="J637">
        <v>2015</v>
      </c>
      <c r="K637">
        <v>9</v>
      </c>
      <c r="L637">
        <v>276</v>
      </c>
      <c r="M637" t="s">
        <v>17</v>
      </c>
      <c r="N637">
        <f t="shared" si="27"/>
        <v>58.393000000000001</v>
      </c>
      <c r="O637" t="str">
        <f t="shared" si="28"/>
        <v>September</v>
      </c>
      <c r="P637" t="str">
        <f t="shared" si="29"/>
        <v>Weekday</v>
      </c>
    </row>
    <row r="638" spans="1:16" x14ac:dyDescent="0.3">
      <c r="A638" s="1">
        <v>42277</v>
      </c>
      <c r="B638">
        <v>5.32</v>
      </c>
      <c r="C638">
        <v>4.33</v>
      </c>
      <c r="D638">
        <v>4</v>
      </c>
      <c r="E638">
        <v>22.5</v>
      </c>
      <c r="F638">
        <v>9</v>
      </c>
      <c r="G638">
        <v>0</v>
      </c>
      <c r="H638">
        <v>0</v>
      </c>
      <c r="I638">
        <v>1</v>
      </c>
      <c r="J638">
        <v>2015</v>
      </c>
      <c r="K638">
        <v>9</v>
      </c>
      <c r="L638">
        <v>276</v>
      </c>
      <c r="M638" t="s">
        <v>18</v>
      </c>
      <c r="N638">
        <f t="shared" si="27"/>
        <v>46.15</v>
      </c>
      <c r="O638" t="str">
        <f t="shared" si="28"/>
        <v>September</v>
      </c>
      <c r="P638" t="str">
        <f t="shared" si="29"/>
        <v>Weekday</v>
      </c>
    </row>
    <row r="639" spans="1:16" x14ac:dyDescent="0.3">
      <c r="A639" s="1">
        <v>42278</v>
      </c>
      <c r="B639">
        <v>9.66</v>
      </c>
      <c r="C639">
        <v>5.99</v>
      </c>
      <c r="D639">
        <v>4</v>
      </c>
      <c r="E639">
        <v>34.561999999999998</v>
      </c>
      <c r="F639">
        <v>2</v>
      </c>
      <c r="G639">
        <v>0</v>
      </c>
      <c r="H639">
        <v>5</v>
      </c>
      <c r="I639">
        <v>2</v>
      </c>
      <c r="J639">
        <v>2015</v>
      </c>
      <c r="K639">
        <v>10</v>
      </c>
      <c r="L639">
        <v>276</v>
      </c>
      <c r="M639" t="s">
        <v>12</v>
      </c>
      <c r="N639">
        <f t="shared" si="27"/>
        <v>63.211999999999996</v>
      </c>
      <c r="O639" t="str">
        <f t="shared" si="28"/>
        <v>October</v>
      </c>
      <c r="P639" t="str">
        <f t="shared" si="29"/>
        <v>Weekday</v>
      </c>
    </row>
    <row r="640" spans="1:16" x14ac:dyDescent="0.3">
      <c r="A640" s="1">
        <v>42279</v>
      </c>
      <c r="B640">
        <v>5</v>
      </c>
      <c r="C640">
        <v>4.726</v>
      </c>
      <c r="D640">
        <v>4</v>
      </c>
      <c r="E640">
        <v>37.299999999999997</v>
      </c>
      <c r="F640">
        <v>5</v>
      </c>
      <c r="G640">
        <v>0</v>
      </c>
      <c r="H640">
        <v>5</v>
      </c>
      <c r="I640">
        <v>1</v>
      </c>
      <c r="J640">
        <v>2015</v>
      </c>
      <c r="K640">
        <v>10</v>
      </c>
      <c r="L640">
        <v>276</v>
      </c>
      <c r="M640" t="s">
        <v>13</v>
      </c>
      <c r="N640">
        <f t="shared" si="27"/>
        <v>62.025999999999996</v>
      </c>
      <c r="O640" t="str">
        <f t="shared" si="28"/>
        <v>October</v>
      </c>
      <c r="P640" t="str">
        <f t="shared" si="29"/>
        <v>Weekday</v>
      </c>
    </row>
    <row r="641" spans="1:16" x14ac:dyDescent="0.3">
      <c r="A641" s="1">
        <v>42280</v>
      </c>
      <c r="B641">
        <v>10.34</v>
      </c>
      <c r="C641">
        <v>5.34</v>
      </c>
      <c r="D641">
        <v>3</v>
      </c>
      <c r="E641">
        <v>37.200000000000003</v>
      </c>
      <c r="F641">
        <v>7</v>
      </c>
      <c r="G641">
        <v>0</v>
      </c>
      <c r="H641">
        <v>7</v>
      </c>
      <c r="I641">
        <v>2</v>
      </c>
      <c r="J641">
        <v>2015</v>
      </c>
      <c r="K641">
        <v>10</v>
      </c>
      <c r="L641">
        <v>276</v>
      </c>
      <c r="M641" t="s">
        <v>14</v>
      </c>
      <c r="N641">
        <f t="shared" si="27"/>
        <v>71.88</v>
      </c>
      <c r="O641" t="str">
        <f t="shared" si="28"/>
        <v>October</v>
      </c>
      <c r="P641" t="str">
        <f t="shared" si="29"/>
        <v>Weekend</v>
      </c>
    </row>
    <row r="642" spans="1:16" x14ac:dyDescent="0.3">
      <c r="A642" s="1">
        <v>42281</v>
      </c>
      <c r="B642">
        <v>7</v>
      </c>
      <c r="C642">
        <v>4</v>
      </c>
      <c r="D642">
        <v>4</v>
      </c>
      <c r="E642">
        <v>59</v>
      </c>
      <c r="F642">
        <v>3</v>
      </c>
      <c r="G642">
        <v>0</v>
      </c>
      <c r="H642">
        <v>16</v>
      </c>
      <c r="I642">
        <v>2</v>
      </c>
      <c r="J642">
        <v>2015</v>
      </c>
      <c r="K642">
        <v>10</v>
      </c>
      <c r="L642">
        <v>276</v>
      </c>
      <c r="M642" t="s">
        <v>15</v>
      </c>
      <c r="N642">
        <f t="shared" si="27"/>
        <v>95</v>
      </c>
      <c r="O642" t="str">
        <f t="shared" si="28"/>
        <v>October</v>
      </c>
      <c r="P642" t="str">
        <f t="shared" si="29"/>
        <v>Weekend</v>
      </c>
    </row>
    <row r="643" spans="1:16" x14ac:dyDescent="0.3">
      <c r="A643" s="1">
        <v>42282</v>
      </c>
      <c r="B643">
        <v>5</v>
      </c>
      <c r="C643">
        <v>2.3730000000000002</v>
      </c>
      <c r="D643">
        <v>2.2000000000000002</v>
      </c>
      <c r="E643">
        <v>70.95</v>
      </c>
      <c r="F643">
        <v>11</v>
      </c>
      <c r="G643">
        <v>1</v>
      </c>
      <c r="H643">
        <v>7</v>
      </c>
      <c r="I643">
        <v>5</v>
      </c>
      <c r="J643">
        <v>2015</v>
      </c>
      <c r="K643">
        <v>10</v>
      </c>
      <c r="L643">
        <v>276</v>
      </c>
      <c r="M643" t="s">
        <v>16</v>
      </c>
      <c r="N643">
        <f t="shared" ref="N643:N706" si="30">SUM(B643:I643)</f>
        <v>104.523</v>
      </c>
      <c r="O643" t="str">
        <f t="shared" ref="O643:O706" si="31">TEXT(A643,"mmmm")</f>
        <v>October</v>
      </c>
      <c r="P643" t="str">
        <f t="shared" ref="P643:P706" si="32">IF(OR(M643="Saturday",M643="Sunday"),"Weekend","Weekday")</f>
        <v>Weekday</v>
      </c>
    </row>
    <row r="644" spans="1:16" x14ac:dyDescent="0.3">
      <c r="A644" s="1">
        <v>42283</v>
      </c>
      <c r="B644">
        <v>5.69</v>
      </c>
      <c r="C644">
        <v>3.66</v>
      </c>
      <c r="D644">
        <v>5.5</v>
      </c>
      <c r="E644">
        <v>42.725000000000001</v>
      </c>
      <c r="F644">
        <v>9</v>
      </c>
      <c r="G644">
        <v>1</v>
      </c>
      <c r="H644">
        <v>5</v>
      </c>
      <c r="I644">
        <v>4</v>
      </c>
      <c r="J644">
        <v>2015</v>
      </c>
      <c r="K644">
        <v>10</v>
      </c>
      <c r="L644">
        <v>276</v>
      </c>
      <c r="M644" t="s">
        <v>17</v>
      </c>
      <c r="N644">
        <f t="shared" si="30"/>
        <v>76.575000000000003</v>
      </c>
      <c r="O644" t="str">
        <f t="shared" si="31"/>
        <v>October</v>
      </c>
      <c r="P644" t="str">
        <f t="shared" si="32"/>
        <v>Weekday</v>
      </c>
    </row>
    <row r="645" spans="1:16" x14ac:dyDescent="0.3">
      <c r="A645" s="1">
        <v>42284</v>
      </c>
      <c r="B645">
        <v>7.33</v>
      </c>
      <c r="C645">
        <v>2.66</v>
      </c>
      <c r="D645">
        <v>6</v>
      </c>
      <c r="E645">
        <v>44.3</v>
      </c>
      <c r="F645">
        <v>8</v>
      </c>
      <c r="G645">
        <v>0</v>
      </c>
      <c r="H645">
        <v>5</v>
      </c>
      <c r="I645">
        <v>2</v>
      </c>
      <c r="J645">
        <v>2015</v>
      </c>
      <c r="K645">
        <v>10</v>
      </c>
      <c r="L645">
        <v>276</v>
      </c>
      <c r="M645" t="s">
        <v>18</v>
      </c>
      <c r="N645">
        <f t="shared" si="30"/>
        <v>75.289999999999992</v>
      </c>
      <c r="O645" t="str">
        <f t="shared" si="31"/>
        <v>October</v>
      </c>
      <c r="P645" t="str">
        <f t="shared" si="32"/>
        <v>Weekday</v>
      </c>
    </row>
    <row r="646" spans="1:16" x14ac:dyDescent="0.3">
      <c r="A646" s="1">
        <v>42285</v>
      </c>
      <c r="B646">
        <v>8.82</v>
      </c>
      <c r="C646">
        <v>4.33</v>
      </c>
      <c r="D646">
        <v>3</v>
      </c>
      <c r="E646">
        <v>30.7</v>
      </c>
      <c r="F646">
        <v>5</v>
      </c>
      <c r="G646">
        <v>0</v>
      </c>
      <c r="H646">
        <v>20</v>
      </c>
      <c r="I646">
        <v>0</v>
      </c>
      <c r="J646">
        <v>2015</v>
      </c>
      <c r="K646">
        <v>10</v>
      </c>
      <c r="L646">
        <v>276</v>
      </c>
      <c r="M646" t="s">
        <v>12</v>
      </c>
      <c r="N646">
        <f t="shared" si="30"/>
        <v>71.849999999999994</v>
      </c>
      <c r="O646" t="str">
        <f t="shared" si="31"/>
        <v>October</v>
      </c>
      <c r="P646" t="str">
        <f t="shared" si="32"/>
        <v>Weekday</v>
      </c>
    </row>
    <row r="647" spans="1:16" x14ac:dyDescent="0.3">
      <c r="A647" s="1">
        <v>42286</v>
      </c>
      <c r="B647">
        <v>2</v>
      </c>
      <c r="C647">
        <v>2.7690000000000001</v>
      </c>
      <c r="D647">
        <v>7.6</v>
      </c>
      <c r="E647">
        <v>28.062000000000001</v>
      </c>
      <c r="F647">
        <v>13</v>
      </c>
      <c r="G647">
        <v>2</v>
      </c>
      <c r="H647">
        <v>10</v>
      </c>
      <c r="I647">
        <v>2</v>
      </c>
      <c r="J647">
        <v>2015</v>
      </c>
      <c r="K647">
        <v>10</v>
      </c>
      <c r="L647">
        <v>276</v>
      </c>
      <c r="M647" t="s">
        <v>13</v>
      </c>
      <c r="N647">
        <f t="shared" si="30"/>
        <v>67.430999999999997</v>
      </c>
      <c r="O647" t="str">
        <f t="shared" si="31"/>
        <v>October</v>
      </c>
      <c r="P647" t="str">
        <f t="shared" si="32"/>
        <v>Weekday</v>
      </c>
    </row>
    <row r="648" spans="1:16" x14ac:dyDescent="0.3">
      <c r="A648" s="1">
        <v>42287</v>
      </c>
      <c r="B648">
        <v>6.16</v>
      </c>
      <c r="C648">
        <v>5.66</v>
      </c>
      <c r="D648">
        <v>3</v>
      </c>
      <c r="E648">
        <v>46.3</v>
      </c>
      <c r="F648">
        <v>19.5</v>
      </c>
      <c r="G648">
        <v>0</v>
      </c>
      <c r="H648">
        <v>1</v>
      </c>
      <c r="I648">
        <v>0</v>
      </c>
      <c r="J648">
        <v>2015</v>
      </c>
      <c r="K648">
        <v>10</v>
      </c>
      <c r="L648">
        <v>276</v>
      </c>
      <c r="M648" t="s">
        <v>14</v>
      </c>
      <c r="N648">
        <f t="shared" si="30"/>
        <v>81.62</v>
      </c>
      <c r="O648" t="str">
        <f t="shared" si="31"/>
        <v>October</v>
      </c>
      <c r="P648" t="str">
        <f t="shared" si="32"/>
        <v>Weekend</v>
      </c>
    </row>
    <row r="649" spans="1:16" x14ac:dyDescent="0.3">
      <c r="A649" s="1">
        <v>42288</v>
      </c>
      <c r="B649">
        <v>10.33</v>
      </c>
      <c r="C649">
        <v>2.7919999999999998</v>
      </c>
      <c r="D649">
        <v>7.1</v>
      </c>
      <c r="E649">
        <v>70.3</v>
      </c>
      <c r="F649">
        <v>8</v>
      </c>
      <c r="G649">
        <v>0</v>
      </c>
      <c r="H649">
        <v>3</v>
      </c>
      <c r="I649">
        <v>5</v>
      </c>
      <c r="J649">
        <v>2015</v>
      </c>
      <c r="K649">
        <v>10</v>
      </c>
      <c r="L649">
        <v>276</v>
      </c>
      <c r="M649" t="s">
        <v>15</v>
      </c>
      <c r="N649">
        <f t="shared" si="30"/>
        <v>106.52199999999999</v>
      </c>
      <c r="O649" t="str">
        <f t="shared" si="31"/>
        <v>October</v>
      </c>
      <c r="P649" t="str">
        <f t="shared" si="32"/>
        <v>Weekend</v>
      </c>
    </row>
    <row r="650" spans="1:16" x14ac:dyDescent="0.3">
      <c r="A650" s="1">
        <v>42289</v>
      </c>
      <c r="B650">
        <v>9.66</v>
      </c>
      <c r="C650">
        <v>7.33</v>
      </c>
      <c r="D650">
        <v>6</v>
      </c>
      <c r="E650">
        <v>68.849999999999994</v>
      </c>
      <c r="F650">
        <v>12</v>
      </c>
      <c r="G650">
        <v>0</v>
      </c>
      <c r="H650">
        <v>5</v>
      </c>
      <c r="I650">
        <v>3</v>
      </c>
      <c r="J650">
        <v>2015</v>
      </c>
      <c r="K650">
        <v>10</v>
      </c>
      <c r="L650">
        <v>276</v>
      </c>
      <c r="M650" t="s">
        <v>16</v>
      </c>
      <c r="N650">
        <f t="shared" si="30"/>
        <v>111.84</v>
      </c>
      <c r="O650" t="str">
        <f t="shared" si="31"/>
        <v>October</v>
      </c>
      <c r="P650" t="str">
        <f t="shared" si="32"/>
        <v>Weekday</v>
      </c>
    </row>
    <row r="651" spans="1:16" x14ac:dyDescent="0.3">
      <c r="A651" s="1">
        <v>42290</v>
      </c>
      <c r="B651">
        <v>3.83</v>
      </c>
      <c r="C651">
        <v>7</v>
      </c>
      <c r="D651">
        <v>5.2</v>
      </c>
      <c r="E651">
        <v>63.8</v>
      </c>
      <c r="F651">
        <v>5.5</v>
      </c>
      <c r="G651">
        <v>0</v>
      </c>
      <c r="H651">
        <v>5</v>
      </c>
      <c r="I651">
        <v>1</v>
      </c>
      <c r="J651">
        <v>2015</v>
      </c>
      <c r="K651">
        <v>10</v>
      </c>
      <c r="L651">
        <v>276</v>
      </c>
      <c r="M651" t="s">
        <v>17</v>
      </c>
      <c r="N651">
        <f t="shared" si="30"/>
        <v>91.33</v>
      </c>
      <c r="O651" t="str">
        <f t="shared" si="31"/>
        <v>October</v>
      </c>
      <c r="P651" t="str">
        <f t="shared" si="32"/>
        <v>Weekday</v>
      </c>
    </row>
    <row r="652" spans="1:16" x14ac:dyDescent="0.3">
      <c r="A652" s="1">
        <v>42291</v>
      </c>
      <c r="B652">
        <v>4.66</v>
      </c>
      <c r="C652">
        <v>7.33</v>
      </c>
      <c r="D652">
        <v>3.9</v>
      </c>
      <c r="E652">
        <v>38.6</v>
      </c>
      <c r="F652">
        <v>7</v>
      </c>
      <c r="G652">
        <v>0</v>
      </c>
      <c r="H652">
        <v>0</v>
      </c>
      <c r="I652">
        <v>1</v>
      </c>
      <c r="J652">
        <v>2015</v>
      </c>
      <c r="K652">
        <v>10</v>
      </c>
      <c r="L652">
        <v>276</v>
      </c>
      <c r="M652" t="s">
        <v>18</v>
      </c>
      <c r="N652">
        <f t="shared" si="30"/>
        <v>62.49</v>
      </c>
      <c r="O652" t="str">
        <f t="shared" si="31"/>
        <v>October</v>
      </c>
      <c r="P652" t="str">
        <f t="shared" si="32"/>
        <v>Weekday</v>
      </c>
    </row>
    <row r="653" spans="1:16" x14ac:dyDescent="0.3">
      <c r="A653" s="1">
        <v>42292</v>
      </c>
      <c r="B653">
        <v>5.16</v>
      </c>
      <c r="C653">
        <v>5.726</v>
      </c>
      <c r="D653">
        <v>7.3</v>
      </c>
      <c r="E653">
        <v>64.724000000000004</v>
      </c>
      <c r="F653">
        <v>4</v>
      </c>
      <c r="G653">
        <v>0</v>
      </c>
      <c r="H653">
        <v>9</v>
      </c>
      <c r="I653">
        <v>1</v>
      </c>
      <c r="J653">
        <v>2015</v>
      </c>
      <c r="K653">
        <v>10</v>
      </c>
      <c r="L653">
        <v>276</v>
      </c>
      <c r="M653" t="s">
        <v>12</v>
      </c>
      <c r="N653">
        <f t="shared" si="30"/>
        <v>96.91</v>
      </c>
      <c r="O653" t="str">
        <f t="shared" si="31"/>
        <v>October</v>
      </c>
      <c r="P653" t="str">
        <f t="shared" si="32"/>
        <v>Weekday</v>
      </c>
    </row>
    <row r="654" spans="1:16" x14ac:dyDescent="0.3">
      <c r="A654" s="1">
        <v>42293</v>
      </c>
      <c r="B654">
        <v>1.67</v>
      </c>
      <c r="C654">
        <v>3.33</v>
      </c>
      <c r="D654">
        <v>5.2</v>
      </c>
      <c r="E654">
        <v>57.3</v>
      </c>
      <c r="F654">
        <v>2</v>
      </c>
      <c r="G654">
        <v>0</v>
      </c>
      <c r="H654">
        <v>5</v>
      </c>
      <c r="I654">
        <v>1</v>
      </c>
      <c r="J654">
        <v>2015</v>
      </c>
      <c r="K654">
        <v>10</v>
      </c>
      <c r="L654">
        <v>276</v>
      </c>
      <c r="M654" t="s">
        <v>13</v>
      </c>
      <c r="N654">
        <f t="shared" si="30"/>
        <v>75.5</v>
      </c>
      <c r="O654" t="str">
        <f t="shared" si="31"/>
        <v>October</v>
      </c>
      <c r="P654" t="str">
        <f t="shared" si="32"/>
        <v>Weekday</v>
      </c>
    </row>
    <row r="655" spans="1:16" x14ac:dyDescent="0.3">
      <c r="A655" s="1">
        <v>42294</v>
      </c>
      <c r="B655">
        <v>10.34</v>
      </c>
      <c r="C655">
        <v>2.8370000000000002</v>
      </c>
      <c r="D655">
        <v>3.4</v>
      </c>
      <c r="E655">
        <v>74.3</v>
      </c>
      <c r="F655">
        <v>8</v>
      </c>
      <c r="G655">
        <v>0</v>
      </c>
      <c r="H655">
        <v>0</v>
      </c>
      <c r="I655">
        <v>1</v>
      </c>
      <c r="J655">
        <v>2015</v>
      </c>
      <c r="K655">
        <v>10</v>
      </c>
      <c r="L655">
        <v>276</v>
      </c>
      <c r="M655" t="s">
        <v>14</v>
      </c>
      <c r="N655">
        <f t="shared" si="30"/>
        <v>99.876999999999995</v>
      </c>
      <c r="O655" t="str">
        <f t="shared" si="31"/>
        <v>October</v>
      </c>
      <c r="P655" t="str">
        <f t="shared" si="32"/>
        <v>Weekend</v>
      </c>
    </row>
    <row r="656" spans="1:16" x14ac:dyDescent="0.3">
      <c r="A656" s="1">
        <v>42295</v>
      </c>
      <c r="B656">
        <v>7.34</v>
      </c>
      <c r="C656">
        <v>6.54</v>
      </c>
      <c r="D656">
        <v>4.9000000000000004</v>
      </c>
      <c r="E656">
        <v>55.6</v>
      </c>
      <c r="F656">
        <v>3</v>
      </c>
      <c r="G656">
        <v>1</v>
      </c>
      <c r="H656">
        <v>8</v>
      </c>
      <c r="I656">
        <v>8</v>
      </c>
      <c r="J656">
        <v>2015</v>
      </c>
      <c r="K656">
        <v>10</v>
      </c>
      <c r="L656">
        <v>276</v>
      </c>
      <c r="M656" t="s">
        <v>15</v>
      </c>
      <c r="N656">
        <f t="shared" si="30"/>
        <v>94.38</v>
      </c>
      <c r="O656" t="str">
        <f t="shared" si="31"/>
        <v>October</v>
      </c>
      <c r="P656" t="str">
        <f t="shared" si="32"/>
        <v>Weekend</v>
      </c>
    </row>
    <row r="657" spans="1:16" x14ac:dyDescent="0.3">
      <c r="A657" s="1">
        <v>42296</v>
      </c>
      <c r="B657">
        <v>12</v>
      </c>
      <c r="C657">
        <v>3.802</v>
      </c>
      <c r="D657">
        <v>3</v>
      </c>
      <c r="E657">
        <v>62.6</v>
      </c>
      <c r="F657">
        <v>3</v>
      </c>
      <c r="G657">
        <v>0</v>
      </c>
      <c r="H657">
        <v>17</v>
      </c>
      <c r="I657">
        <v>0</v>
      </c>
      <c r="J657">
        <v>2015</v>
      </c>
      <c r="K657">
        <v>10</v>
      </c>
      <c r="L657">
        <v>276</v>
      </c>
      <c r="M657" t="s">
        <v>16</v>
      </c>
      <c r="N657">
        <f t="shared" si="30"/>
        <v>101.402</v>
      </c>
      <c r="O657" t="str">
        <f t="shared" si="31"/>
        <v>October</v>
      </c>
      <c r="P657" t="str">
        <f t="shared" si="32"/>
        <v>Weekday</v>
      </c>
    </row>
    <row r="658" spans="1:16" x14ac:dyDescent="0.3">
      <c r="A658" s="1">
        <v>42297</v>
      </c>
      <c r="B658">
        <v>3.34</v>
      </c>
      <c r="C658">
        <v>1.99</v>
      </c>
      <c r="D658">
        <v>2.2999999999999998</v>
      </c>
      <c r="E658">
        <v>44.7</v>
      </c>
      <c r="F658">
        <v>6</v>
      </c>
      <c r="G658">
        <v>0</v>
      </c>
      <c r="H658">
        <v>10</v>
      </c>
      <c r="I658">
        <v>5</v>
      </c>
      <c r="J658">
        <v>2015</v>
      </c>
      <c r="K658">
        <v>10</v>
      </c>
      <c r="L658">
        <v>276</v>
      </c>
      <c r="M658" t="s">
        <v>17</v>
      </c>
      <c r="N658">
        <f t="shared" si="30"/>
        <v>73.330000000000013</v>
      </c>
      <c r="O658" t="str">
        <f t="shared" si="31"/>
        <v>October</v>
      </c>
      <c r="P658" t="str">
        <f t="shared" si="32"/>
        <v>Weekday</v>
      </c>
    </row>
    <row r="659" spans="1:16" x14ac:dyDescent="0.3">
      <c r="A659" s="1">
        <v>42298</v>
      </c>
      <c r="B659">
        <v>8.66</v>
      </c>
      <c r="C659">
        <v>2.363</v>
      </c>
      <c r="D659">
        <v>3.2</v>
      </c>
      <c r="E659">
        <v>36.799999999999997</v>
      </c>
      <c r="F659">
        <v>9</v>
      </c>
      <c r="G659">
        <v>1</v>
      </c>
      <c r="H659">
        <v>1</v>
      </c>
      <c r="I659">
        <v>4</v>
      </c>
      <c r="J659">
        <v>2015</v>
      </c>
      <c r="K659">
        <v>10</v>
      </c>
      <c r="L659">
        <v>276</v>
      </c>
      <c r="M659" t="s">
        <v>18</v>
      </c>
      <c r="N659">
        <f t="shared" si="30"/>
        <v>66.022999999999996</v>
      </c>
      <c r="O659" t="str">
        <f t="shared" si="31"/>
        <v>October</v>
      </c>
      <c r="P659" t="str">
        <f t="shared" si="32"/>
        <v>Weekday</v>
      </c>
    </row>
    <row r="660" spans="1:16" x14ac:dyDescent="0.3">
      <c r="A660" s="1">
        <v>42299</v>
      </c>
      <c r="B660">
        <v>4.33</v>
      </c>
      <c r="C660">
        <v>0.34</v>
      </c>
      <c r="D660">
        <v>0</v>
      </c>
      <c r="E660">
        <v>35.262</v>
      </c>
      <c r="F660">
        <v>9</v>
      </c>
      <c r="G660">
        <v>0</v>
      </c>
      <c r="H660">
        <v>2</v>
      </c>
      <c r="I660">
        <v>2</v>
      </c>
      <c r="J660">
        <v>2015</v>
      </c>
      <c r="K660">
        <v>10</v>
      </c>
      <c r="L660">
        <v>276</v>
      </c>
      <c r="M660" t="s">
        <v>12</v>
      </c>
      <c r="N660">
        <f t="shared" si="30"/>
        <v>52.932000000000002</v>
      </c>
      <c r="O660" t="str">
        <f t="shared" si="31"/>
        <v>October</v>
      </c>
      <c r="P660" t="str">
        <f t="shared" si="32"/>
        <v>Weekday</v>
      </c>
    </row>
    <row r="661" spans="1:16" x14ac:dyDescent="0.3">
      <c r="A661" s="1">
        <v>42300</v>
      </c>
      <c r="B661">
        <v>7</v>
      </c>
      <c r="C661">
        <v>1.66</v>
      </c>
      <c r="D661">
        <v>10.199999999999999</v>
      </c>
      <c r="E661">
        <v>41.4</v>
      </c>
      <c r="F661">
        <v>3</v>
      </c>
      <c r="G661">
        <v>0</v>
      </c>
      <c r="H661">
        <v>6</v>
      </c>
      <c r="I661">
        <v>2</v>
      </c>
      <c r="J661">
        <v>2015</v>
      </c>
      <c r="K661">
        <v>10</v>
      </c>
      <c r="L661">
        <v>276</v>
      </c>
      <c r="M661" t="s">
        <v>13</v>
      </c>
      <c r="N661">
        <f t="shared" si="30"/>
        <v>71.259999999999991</v>
      </c>
      <c r="O661" t="str">
        <f t="shared" si="31"/>
        <v>October</v>
      </c>
      <c r="P661" t="str">
        <f t="shared" si="32"/>
        <v>Weekday</v>
      </c>
    </row>
    <row r="662" spans="1:16" x14ac:dyDescent="0.3">
      <c r="A662" s="1">
        <v>42301</v>
      </c>
      <c r="B662">
        <v>9.84</v>
      </c>
      <c r="C662">
        <v>8.35</v>
      </c>
      <c r="D662">
        <v>9.1</v>
      </c>
      <c r="E662">
        <v>67.400000000000006</v>
      </c>
      <c r="F662">
        <v>8</v>
      </c>
      <c r="G662">
        <v>0</v>
      </c>
      <c r="H662">
        <v>4</v>
      </c>
      <c r="I662">
        <v>2</v>
      </c>
      <c r="J662">
        <v>2015</v>
      </c>
      <c r="K662">
        <v>10</v>
      </c>
      <c r="L662">
        <v>276</v>
      </c>
      <c r="M662" t="s">
        <v>14</v>
      </c>
      <c r="N662">
        <f t="shared" si="30"/>
        <v>108.69</v>
      </c>
      <c r="O662" t="str">
        <f t="shared" si="31"/>
        <v>October</v>
      </c>
      <c r="P662" t="str">
        <f t="shared" si="32"/>
        <v>Weekend</v>
      </c>
    </row>
    <row r="663" spans="1:16" x14ac:dyDescent="0.3">
      <c r="A663" s="1">
        <v>42302</v>
      </c>
      <c r="B663">
        <v>3</v>
      </c>
      <c r="C663">
        <v>3.33</v>
      </c>
      <c r="D663">
        <v>3.1</v>
      </c>
      <c r="E663">
        <v>64.599999999999994</v>
      </c>
      <c r="F663">
        <v>4</v>
      </c>
      <c r="G663">
        <v>0</v>
      </c>
      <c r="H663">
        <v>0</v>
      </c>
      <c r="I663">
        <v>4</v>
      </c>
      <c r="J663">
        <v>2015</v>
      </c>
      <c r="K663">
        <v>10</v>
      </c>
      <c r="L663">
        <v>276</v>
      </c>
      <c r="M663" t="s">
        <v>15</v>
      </c>
      <c r="N663">
        <f t="shared" si="30"/>
        <v>82.03</v>
      </c>
      <c r="O663" t="str">
        <f t="shared" si="31"/>
        <v>October</v>
      </c>
      <c r="P663" t="str">
        <f t="shared" si="32"/>
        <v>Weekend</v>
      </c>
    </row>
    <row r="664" spans="1:16" x14ac:dyDescent="0.3">
      <c r="A664" s="1">
        <v>42303</v>
      </c>
      <c r="B664">
        <v>9</v>
      </c>
      <c r="C664">
        <v>5.33</v>
      </c>
      <c r="D664">
        <v>8</v>
      </c>
      <c r="E664">
        <v>53.3</v>
      </c>
      <c r="F664">
        <v>8</v>
      </c>
      <c r="G664">
        <v>1</v>
      </c>
      <c r="H664">
        <v>2</v>
      </c>
      <c r="I664">
        <v>2</v>
      </c>
      <c r="J664">
        <v>2015</v>
      </c>
      <c r="K664">
        <v>10</v>
      </c>
      <c r="L664">
        <v>276</v>
      </c>
      <c r="M664" t="s">
        <v>16</v>
      </c>
      <c r="N664">
        <f t="shared" si="30"/>
        <v>88.63</v>
      </c>
      <c r="O664" t="str">
        <f t="shared" si="31"/>
        <v>October</v>
      </c>
      <c r="P664" t="str">
        <f t="shared" si="32"/>
        <v>Weekday</v>
      </c>
    </row>
    <row r="665" spans="1:16" x14ac:dyDescent="0.3">
      <c r="A665" s="1">
        <v>42304</v>
      </c>
      <c r="B665">
        <v>4.33</v>
      </c>
      <c r="C665">
        <v>2</v>
      </c>
      <c r="D665">
        <v>8.5</v>
      </c>
      <c r="E665">
        <v>64.400000000000006</v>
      </c>
      <c r="F665">
        <v>7</v>
      </c>
      <c r="G665">
        <v>0</v>
      </c>
      <c r="H665">
        <v>8</v>
      </c>
      <c r="I665">
        <v>3</v>
      </c>
      <c r="J665">
        <v>2015</v>
      </c>
      <c r="K665">
        <v>10</v>
      </c>
      <c r="L665">
        <v>276</v>
      </c>
      <c r="M665" t="s">
        <v>17</v>
      </c>
      <c r="N665">
        <f t="shared" si="30"/>
        <v>97.23</v>
      </c>
      <c r="O665" t="str">
        <f t="shared" si="31"/>
        <v>October</v>
      </c>
      <c r="P665" t="str">
        <f t="shared" si="32"/>
        <v>Weekday</v>
      </c>
    </row>
    <row r="666" spans="1:16" x14ac:dyDescent="0.3">
      <c r="A666" s="1">
        <v>42305</v>
      </c>
      <c r="B666">
        <v>1</v>
      </c>
      <c r="C666">
        <v>1.66</v>
      </c>
      <c r="D666">
        <v>1</v>
      </c>
      <c r="E666">
        <v>33</v>
      </c>
      <c r="F666">
        <v>11</v>
      </c>
      <c r="G666">
        <v>1</v>
      </c>
      <c r="H666">
        <v>6</v>
      </c>
      <c r="I666">
        <v>2</v>
      </c>
      <c r="J666">
        <v>2015</v>
      </c>
      <c r="K666">
        <v>10</v>
      </c>
      <c r="L666">
        <v>276</v>
      </c>
      <c r="M666" t="s">
        <v>18</v>
      </c>
      <c r="N666">
        <f t="shared" si="30"/>
        <v>56.66</v>
      </c>
      <c r="O666" t="str">
        <f t="shared" si="31"/>
        <v>October</v>
      </c>
      <c r="P666" t="str">
        <f t="shared" si="32"/>
        <v>Weekday</v>
      </c>
    </row>
    <row r="667" spans="1:16" x14ac:dyDescent="0.3">
      <c r="A667" s="1">
        <v>42306</v>
      </c>
      <c r="B667">
        <v>2.33</v>
      </c>
      <c r="C667">
        <v>3.6930000000000001</v>
      </c>
      <c r="D667">
        <v>1.3</v>
      </c>
      <c r="E667">
        <v>38.299999999999997</v>
      </c>
      <c r="F667">
        <v>8</v>
      </c>
      <c r="G667">
        <v>0</v>
      </c>
      <c r="H667">
        <v>0</v>
      </c>
      <c r="I667">
        <v>1</v>
      </c>
      <c r="J667">
        <v>2015</v>
      </c>
      <c r="K667">
        <v>10</v>
      </c>
      <c r="L667">
        <v>276</v>
      </c>
      <c r="M667" t="s">
        <v>12</v>
      </c>
      <c r="N667">
        <f t="shared" si="30"/>
        <v>54.622999999999998</v>
      </c>
      <c r="O667" t="str">
        <f t="shared" si="31"/>
        <v>October</v>
      </c>
      <c r="P667" t="str">
        <f t="shared" si="32"/>
        <v>Weekday</v>
      </c>
    </row>
    <row r="668" spans="1:16" x14ac:dyDescent="0.3">
      <c r="A668" s="1">
        <v>42307</v>
      </c>
      <c r="B668">
        <v>5.33</v>
      </c>
      <c r="C668">
        <v>3.67</v>
      </c>
      <c r="D668">
        <v>3.2</v>
      </c>
      <c r="E668">
        <v>49.6</v>
      </c>
      <c r="F668">
        <v>8</v>
      </c>
      <c r="G668">
        <v>0</v>
      </c>
      <c r="H668">
        <v>5</v>
      </c>
      <c r="I668">
        <v>3</v>
      </c>
      <c r="J668">
        <v>2015</v>
      </c>
      <c r="K668">
        <v>10</v>
      </c>
      <c r="L668">
        <v>276</v>
      </c>
      <c r="M668" t="s">
        <v>13</v>
      </c>
      <c r="N668">
        <f t="shared" si="30"/>
        <v>77.8</v>
      </c>
      <c r="O668" t="str">
        <f t="shared" si="31"/>
        <v>October</v>
      </c>
      <c r="P668" t="str">
        <f t="shared" si="32"/>
        <v>Weekday</v>
      </c>
    </row>
    <row r="669" spans="1:16" x14ac:dyDescent="0.3">
      <c r="A669" s="1">
        <v>42308</v>
      </c>
      <c r="B669">
        <v>5.66</v>
      </c>
      <c r="C669">
        <v>4.6500000000000004</v>
      </c>
      <c r="D669">
        <v>8</v>
      </c>
      <c r="E669">
        <v>58.4</v>
      </c>
      <c r="F669">
        <v>6</v>
      </c>
      <c r="G669">
        <v>0</v>
      </c>
      <c r="H669">
        <v>7</v>
      </c>
      <c r="I669">
        <v>1</v>
      </c>
      <c r="J669">
        <v>2015</v>
      </c>
      <c r="K669">
        <v>10</v>
      </c>
      <c r="L669">
        <v>276</v>
      </c>
      <c r="M669" t="s">
        <v>14</v>
      </c>
      <c r="N669">
        <f t="shared" si="30"/>
        <v>90.710000000000008</v>
      </c>
      <c r="O669" t="str">
        <f t="shared" si="31"/>
        <v>October</v>
      </c>
      <c r="P669" t="str">
        <f t="shared" si="32"/>
        <v>Weekend</v>
      </c>
    </row>
    <row r="670" spans="1:16" x14ac:dyDescent="0.3">
      <c r="A670" s="1">
        <v>42309</v>
      </c>
      <c r="B670">
        <v>2.33</v>
      </c>
      <c r="C670">
        <v>7.99</v>
      </c>
      <c r="D670">
        <v>5.6</v>
      </c>
      <c r="E670">
        <v>80.400000000000006</v>
      </c>
      <c r="F670">
        <v>11</v>
      </c>
      <c r="G670">
        <v>0</v>
      </c>
      <c r="H670">
        <v>5</v>
      </c>
      <c r="I670">
        <v>0</v>
      </c>
      <c r="J670">
        <v>2015</v>
      </c>
      <c r="K670">
        <v>11</v>
      </c>
      <c r="L670">
        <v>276</v>
      </c>
      <c r="M670" t="s">
        <v>15</v>
      </c>
      <c r="N670">
        <f t="shared" si="30"/>
        <v>112.32000000000001</v>
      </c>
      <c r="O670" t="str">
        <f t="shared" si="31"/>
        <v>November</v>
      </c>
      <c r="P670" t="str">
        <f t="shared" si="32"/>
        <v>Weekend</v>
      </c>
    </row>
    <row r="671" spans="1:16" x14ac:dyDescent="0.3">
      <c r="A671" s="1">
        <v>42310</v>
      </c>
      <c r="B671">
        <v>4.66</v>
      </c>
      <c r="C671">
        <v>4.33</v>
      </c>
      <c r="D671">
        <v>4</v>
      </c>
      <c r="E671">
        <v>46.3</v>
      </c>
      <c r="F671">
        <v>7</v>
      </c>
      <c r="G671">
        <v>0</v>
      </c>
      <c r="H671">
        <v>7</v>
      </c>
      <c r="I671">
        <v>2</v>
      </c>
      <c r="J671">
        <v>2015</v>
      </c>
      <c r="K671">
        <v>11</v>
      </c>
      <c r="L671">
        <v>276</v>
      </c>
      <c r="M671" t="s">
        <v>16</v>
      </c>
      <c r="N671">
        <f t="shared" si="30"/>
        <v>75.289999999999992</v>
      </c>
      <c r="O671" t="str">
        <f t="shared" si="31"/>
        <v>November</v>
      </c>
      <c r="P671" t="str">
        <f t="shared" si="32"/>
        <v>Weekday</v>
      </c>
    </row>
    <row r="672" spans="1:16" x14ac:dyDescent="0.3">
      <c r="A672" s="1">
        <v>42311</v>
      </c>
      <c r="B672">
        <v>1.34</v>
      </c>
      <c r="C672">
        <v>4.3499999999999996</v>
      </c>
      <c r="D672">
        <v>4.3</v>
      </c>
      <c r="E672">
        <v>41.8</v>
      </c>
      <c r="F672">
        <v>5</v>
      </c>
      <c r="G672">
        <v>0</v>
      </c>
      <c r="H672">
        <v>3</v>
      </c>
      <c r="I672">
        <v>0</v>
      </c>
      <c r="J672">
        <v>2015</v>
      </c>
      <c r="K672">
        <v>11</v>
      </c>
      <c r="L672">
        <v>276</v>
      </c>
      <c r="M672" t="s">
        <v>17</v>
      </c>
      <c r="N672">
        <f t="shared" si="30"/>
        <v>59.789999999999992</v>
      </c>
      <c r="O672" t="str">
        <f t="shared" si="31"/>
        <v>November</v>
      </c>
      <c r="P672" t="str">
        <f t="shared" si="32"/>
        <v>Weekday</v>
      </c>
    </row>
    <row r="673" spans="1:16" x14ac:dyDescent="0.3">
      <c r="A673" s="1">
        <v>42312</v>
      </c>
      <c r="B673">
        <v>8.5</v>
      </c>
      <c r="C673">
        <v>2.34</v>
      </c>
      <c r="D673">
        <v>3</v>
      </c>
      <c r="E673">
        <v>59.8</v>
      </c>
      <c r="F673">
        <v>18</v>
      </c>
      <c r="G673">
        <v>3</v>
      </c>
      <c r="H673">
        <v>3</v>
      </c>
      <c r="I673">
        <v>4</v>
      </c>
      <c r="J673">
        <v>2015</v>
      </c>
      <c r="K673">
        <v>11</v>
      </c>
      <c r="L673">
        <v>276</v>
      </c>
      <c r="M673" t="s">
        <v>18</v>
      </c>
      <c r="N673">
        <f t="shared" si="30"/>
        <v>101.64</v>
      </c>
      <c r="O673" t="str">
        <f t="shared" si="31"/>
        <v>November</v>
      </c>
      <c r="P673" t="str">
        <f t="shared" si="32"/>
        <v>Weekday</v>
      </c>
    </row>
    <row r="674" spans="1:16" x14ac:dyDescent="0.3">
      <c r="A674" s="1">
        <v>42313</v>
      </c>
      <c r="B674">
        <v>4.33</v>
      </c>
      <c r="C674">
        <v>3.5609999999999999</v>
      </c>
      <c r="D674">
        <v>7.4</v>
      </c>
      <c r="E674">
        <v>45</v>
      </c>
      <c r="F674">
        <v>3</v>
      </c>
      <c r="G674">
        <v>0</v>
      </c>
      <c r="H674">
        <v>0</v>
      </c>
      <c r="I674">
        <v>2</v>
      </c>
      <c r="J674">
        <v>2015</v>
      </c>
      <c r="K674">
        <v>11</v>
      </c>
      <c r="L674">
        <v>276</v>
      </c>
      <c r="M674" t="s">
        <v>12</v>
      </c>
      <c r="N674">
        <f t="shared" si="30"/>
        <v>65.290999999999997</v>
      </c>
      <c r="O674" t="str">
        <f t="shared" si="31"/>
        <v>November</v>
      </c>
      <c r="P674" t="str">
        <f t="shared" si="32"/>
        <v>Weekday</v>
      </c>
    </row>
    <row r="675" spans="1:16" x14ac:dyDescent="0.3">
      <c r="A675" s="1">
        <v>42314</v>
      </c>
      <c r="B675">
        <v>3.33</v>
      </c>
      <c r="C675">
        <v>6.7359999999999998</v>
      </c>
      <c r="D675">
        <v>4</v>
      </c>
      <c r="E675">
        <v>31.475000000000001</v>
      </c>
      <c r="F675">
        <v>5</v>
      </c>
      <c r="G675">
        <v>2</v>
      </c>
      <c r="H675">
        <v>1</v>
      </c>
      <c r="I675">
        <v>0</v>
      </c>
      <c r="J675">
        <v>2015</v>
      </c>
      <c r="K675">
        <v>11</v>
      </c>
      <c r="L675">
        <v>276</v>
      </c>
      <c r="M675" t="s">
        <v>13</v>
      </c>
      <c r="N675">
        <f t="shared" si="30"/>
        <v>53.540999999999997</v>
      </c>
      <c r="O675" t="str">
        <f t="shared" si="31"/>
        <v>November</v>
      </c>
      <c r="P675" t="str">
        <f t="shared" si="32"/>
        <v>Weekday</v>
      </c>
    </row>
    <row r="676" spans="1:16" x14ac:dyDescent="0.3">
      <c r="A676" s="1">
        <v>42315</v>
      </c>
      <c r="B676">
        <v>4</v>
      </c>
      <c r="C676">
        <v>3.11</v>
      </c>
      <c r="D676">
        <v>4.8</v>
      </c>
      <c r="E676">
        <v>69.900000000000006</v>
      </c>
      <c r="F676">
        <v>15</v>
      </c>
      <c r="G676">
        <v>1</v>
      </c>
      <c r="H676">
        <v>6</v>
      </c>
      <c r="I676">
        <v>1</v>
      </c>
      <c r="J676">
        <v>2015</v>
      </c>
      <c r="K676">
        <v>11</v>
      </c>
      <c r="L676">
        <v>276</v>
      </c>
      <c r="M676" t="s">
        <v>14</v>
      </c>
      <c r="N676">
        <f t="shared" si="30"/>
        <v>104.81</v>
      </c>
      <c r="O676" t="str">
        <f t="shared" si="31"/>
        <v>November</v>
      </c>
      <c r="P676" t="str">
        <f t="shared" si="32"/>
        <v>Weekend</v>
      </c>
    </row>
    <row r="677" spans="1:16" x14ac:dyDescent="0.3">
      <c r="A677" s="1">
        <v>42316</v>
      </c>
      <c r="B677">
        <v>6.33</v>
      </c>
      <c r="C677">
        <v>3.67</v>
      </c>
      <c r="D677">
        <v>7.2</v>
      </c>
      <c r="E677">
        <v>48.6</v>
      </c>
      <c r="F677">
        <v>7</v>
      </c>
      <c r="G677">
        <v>0</v>
      </c>
      <c r="H677">
        <v>13</v>
      </c>
      <c r="I677">
        <v>1</v>
      </c>
      <c r="J677">
        <v>2015</v>
      </c>
      <c r="K677">
        <v>11</v>
      </c>
      <c r="L677">
        <v>276</v>
      </c>
      <c r="M677" t="s">
        <v>15</v>
      </c>
      <c r="N677">
        <f t="shared" si="30"/>
        <v>86.8</v>
      </c>
      <c r="O677" t="str">
        <f t="shared" si="31"/>
        <v>November</v>
      </c>
      <c r="P677" t="str">
        <f t="shared" si="32"/>
        <v>Weekend</v>
      </c>
    </row>
    <row r="678" spans="1:16" x14ac:dyDescent="0.3">
      <c r="A678" s="1">
        <v>42317</v>
      </c>
      <c r="B678">
        <v>3.66</v>
      </c>
      <c r="C678">
        <v>6.1980000000000004</v>
      </c>
      <c r="D678">
        <v>4.2</v>
      </c>
      <c r="E678">
        <v>40.75</v>
      </c>
      <c r="F678">
        <v>3</v>
      </c>
      <c r="G678">
        <v>1</v>
      </c>
      <c r="H678">
        <v>12</v>
      </c>
      <c r="I678">
        <v>1</v>
      </c>
      <c r="J678">
        <v>2015</v>
      </c>
      <c r="K678">
        <v>11</v>
      </c>
      <c r="L678">
        <v>276</v>
      </c>
      <c r="M678" t="s">
        <v>16</v>
      </c>
      <c r="N678">
        <f t="shared" si="30"/>
        <v>71.807999999999993</v>
      </c>
      <c r="O678" t="str">
        <f t="shared" si="31"/>
        <v>November</v>
      </c>
      <c r="P678" t="str">
        <f t="shared" si="32"/>
        <v>Weekday</v>
      </c>
    </row>
    <row r="679" spans="1:16" x14ac:dyDescent="0.3">
      <c r="A679" s="1">
        <v>42318</v>
      </c>
      <c r="B679">
        <v>6.33</v>
      </c>
      <c r="C679">
        <v>7.4820000000000002</v>
      </c>
      <c r="D679">
        <v>10</v>
      </c>
      <c r="E679">
        <v>41.2</v>
      </c>
      <c r="F679">
        <v>8</v>
      </c>
      <c r="G679">
        <v>0</v>
      </c>
      <c r="H679">
        <v>9</v>
      </c>
      <c r="I679">
        <v>2</v>
      </c>
      <c r="J679">
        <v>2015</v>
      </c>
      <c r="K679">
        <v>11</v>
      </c>
      <c r="L679">
        <v>276</v>
      </c>
      <c r="M679" t="s">
        <v>17</v>
      </c>
      <c r="N679">
        <f t="shared" si="30"/>
        <v>84.012</v>
      </c>
      <c r="O679" t="str">
        <f t="shared" si="31"/>
        <v>November</v>
      </c>
      <c r="P679" t="str">
        <f t="shared" si="32"/>
        <v>Weekday</v>
      </c>
    </row>
    <row r="680" spans="1:16" x14ac:dyDescent="0.3">
      <c r="A680" s="1">
        <v>42319</v>
      </c>
      <c r="B680">
        <v>9.66</v>
      </c>
      <c r="C680">
        <v>5.34</v>
      </c>
      <c r="D680">
        <v>7.2</v>
      </c>
      <c r="E680">
        <v>60</v>
      </c>
      <c r="F680">
        <v>4</v>
      </c>
      <c r="G680">
        <v>0</v>
      </c>
      <c r="H680">
        <v>12</v>
      </c>
      <c r="I680">
        <v>3</v>
      </c>
      <c r="J680">
        <v>2015</v>
      </c>
      <c r="K680">
        <v>11</v>
      </c>
      <c r="L680">
        <v>276</v>
      </c>
      <c r="M680" t="s">
        <v>18</v>
      </c>
      <c r="N680">
        <f t="shared" si="30"/>
        <v>101.2</v>
      </c>
      <c r="O680" t="str">
        <f t="shared" si="31"/>
        <v>November</v>
      </c>
      <c r="P680" t="str">
        <f t="shared" si="32"/>
        <v>Weekday</v>
      </c>
    </row>
    <row r="681" spans="1:16" x14ac:dyDescent="0.3">
      <c r="A681" s="1">
        <v>42320</v>
      </c>
      <c r="B681">
        <v>6</v>
      </c>
      <c r="C681">
        <v>4.33</v>
      </c>
      <c r="D681">
        <v>6</v>
      </c>
      <c r="E681">
        <v>24</v>
      </c>
      <c r="F681">
        <v>11</v>
      </c>
      <c r="G681">
        <v>0</v>
      </c>
      <c r="H681">
        <v>20</v>
      </c>
      <c r="I681">
        <v>0</v>
      </c>
      <c r="J681">
        <v>2015</v>
      </c>
      <c r="K681">
        <v>11</v>
      </c>
      <c r="L681">
        <v>276</v>
      </c>
      <c r="M681" t="s">
        <v>12</v>
      </c>
      <c r="N681">
        <f t="shared" si="30"/>
        <v>71.33</v>
      </c>
      <c r="O681" t="str">
        <f t="shared" si="31"/>
        <v>November</v>
      </c>
      <c r="P681" t="str">
        <f t="shared" si="32"/>
        <v>Weekday</v>
      </c>
    </row>
    <row r="682" spans="1:16" x14ac:dyDescent="0.3">
      <c r="A682" s="1">
        <v>42321</v>
      </c>
      <c r="B682">
        <v>5</v>
      </c>
      <c r="C682">
        <v>2.44</v>
      </c>
      <c r="D682">
        <v>2</v>
      </c>
      <c r="E682">
        <v>22</v>
      </c>
      <c r="F682">
        <v>13</v>
      </c>
      <c r="G682">
        <v>0</v>
      </c>
      <c r="H682">
        <v>0</v>
      </c>
      <c r="I682">
        <v>0</v>
      </c>
      <c r="J682">
        <v>2015</v>
      </c>
      <c r="K682">
        <v>11</v>
      </c>
      <c r="L682">
        <v>276</v>
      </c>
      <c r="M682" t="s">
        <v>13</v>
      </c>
      <c r="N682">
        <f t="shared" si="30"/>
        <v>44.44</v>
      </c>
      <c r="O682" t="str">
        <f t="shared" si="31"/>
        <v>November</v>
      </c>
      <c r="P682" t="str">
        <f t="shared" si="32"/>
        <v>Weekday</v>
      </c>
    </row>
    <row r="683" spans="1:16" x14ac:dyDescent="0.3">
      <c r="A683" s="1">
        <v>42322</v>
      </c>
      <c r="B683">
        <v>4.99</v>
      </c>
      <c r="C683">
        <v>0.33</v>
      </c>
      <c r="D683">
        <v>3.7</v>
      </c>
      <c r="E683">
        <v>19</v>
      </c>
      <c r="F683">
        <v>5</v>
      </c>
      <c r="G683">
        <v>1</v>
      </c>
      <c r="H683">
        <v>0</v>
      </c>
      <c r="I683">
        <v>1</v>
      </c>
      <c r="J683">
        <v>2015</v>
      </c>
      <c r="K683">
        <v>11</v>
      </c>
      <c r="L683">
        <v>276</v>
      </c>
      <c r="M683" t="s">
        <v>14</v>
      </c>
      <c r="N683">
        <f t="shared" si="30"/>
        <v>35.019999999999996</v>
      </c>
      <c r="O683" t="str">
        <f t="shared" si="31"/>
        <v>November</v>
      </c>
      <c r="P683" t="str">
        <f t="shared" si="32"/>
        <v>Weekend</v>
      </c>
    </row>
    <row r="684" spans="1:16" x14ac:dyDescent="0.3">
      <c r="A684" s="1">
        <v>42323</v>
      </c>
      <c r="B684">
        <v>1.33</v>
      </c>
      <c r="C684">
        <v>11.99</v>
      </c>
      <c r="D684">
        <v>9.3000000000000007</v>
      </c>
      <c r="E684">
        <v>42.35</v>
      </c>
      <c r="F684">
        <v>8</v>
      </c>
      <c r="G684">
        <v>2</v>
      </c>
      <c r="H684">
        <v>17</v>
      </c>
      <c r="I684">
        <v>0</v>
      </c>
      <c r="J684">
        <v>2015</v>
      </c>
      <c r="K684">
        <v>11</v>
      </c>
      <c r="L684">
        <v>276</v>
      </c>
      <c r="M684" t="s">
        <v>15</v>
      </c>
      <c r="N684">
        <f t="shared" si="30"/>
        <v>91.97</v>
      </c>
      <c r="O684" t="str">
        <f t="shared" si="31"/>
        <v>November</v>
      </c>
      <c r="P684" t="str">
        <f t="shared" si="32"/>
        <v>Weekend</v>
      </c>
    </row>
    <row r="685" spans="1:16" x14ac:dyDescent="0.3">
      <c r="A685" s="1">
        <v>42324</v>
      </c>
      <c r="B685">
        <v>5.67</v>
      </c>
      <c r="C685">
        <v>3.67</v>
      </c>
      <c r="D685">
        <v>6</v>
      </c>
      <c r="E685">
        <v>50.3</v>
      </c>
      <c r="F685">
        <v>9</v>
      </c>
      <c r="G685">
        <v>0</v>
      </c>
      <c r="H685">
        <v>3</v>
      </c>
      <c r="I685">
        <v>2</v>
      </c>
      <c r="J685">
        <v>2015</v>
      </c>
      <c r="K685">
        <v>11</v>
      </c>
      <c r="L685">
        <v>276</v>
      </c>
      <c r="M685" t="s">
        <v>16</v>
      </c>
      <c r="N685">
        <f t="shared" si="30"/>
        <v>79.64</v>
      </c>
      <c r="O685" t="str">
        <f t="shared" si="31"/>
        <v>November</v>
      </c>
      <c r="P685" t="str">
        <f t="shared" si="32"/>
        <v>Weekday</v>
      </c>
    </row>
    <row r="686" spans="1:16" x14ac:dyDescent="0.3">
      <c r="A686" s="1">
        <v>42325</v>
      </c>
      <c r="B686">
        <v>6.34</v>
      </c>
      <c r="C686">
        <v>4.6929999999999996</v>
      </c>
      <c r="D686">
        <v>4.7</v>
      </c>
      <c r="E686">
        <v>60</v>
      </c>
      <c r="F686">
        <v>1</v>
      </c>
      <c r="G686">
        <v>0</v>
      </c>
      <c r="H686">
        <v>0</v>
      </c>
      <c r="I686">
        <v>2</v>
      </c>
      <c r="J686">
        <v>2015</v>
      </c>
      <c r="K686">
        <v>11</v>
      </c>
      <c r="L686">
        <v>276</v>
      </c>
      <c r="M686" t="s">
        <v>17</v>
      </c>
      <c r="N686">
        <f t="shared" si="30"/>
        <v>78.733000000000004</v>
      </c>
      <c r="O686" t="str">
        <f t="shared" si="31"/>
        <v>November</v>
      </c>
      <c r="P686" t="str">
        <f t="shared" si="32"/>
        <v>Weekday</v>
      </c>
    </row>
    <row r="687" spans="1:16" x14ac:dyDescent="0.3">
      <c r="A687" s="1">
        <v>42326</v>
      </c>
      <c r="B687">
        <v>6.34</v>
      </c>
      <c r="C687">
        <v>5.33</v>
      </c>
      <c r="D687">
        <v>5.5</v>
      </c>
      <c r="E687">
        <v>24.5</v>
      </c>
      <c r="F687">
        <v>11</v>
      </c>
      <c r="G687">
        <v>0</v>
      </c>
      <c r="H687">
        <v>0</v>
      </c>
      <c r="I687">
        <v>2</v>
      </c>
      <c r="J687">
        <v>2015</v>
      </c>
      <c r="K687">
        <v>11</v>
      </c>
      <c r="L687">
        <v>276</v>
      </c>
      <c r="M687" t="s">
        <v>18</v>
      </c>
      <c r="N687">
        <f t="shared" si="30"/>
        <v>54.67</v>
      </c>
      <c r="O687" t="str">
        <f t="shared" si="31"/>
        <v>November</v>
      </c>
      <c r="P687" t="str">
        <f t="shared" si="32"/>
        <v>Weekday</v>
      </c>
    </row>
    <row r="688" spans="1:16" x14ac:dyDescent="0.3">
      <c r="A688" s="1">
        <v>42327</v>
      </c>
      <c r="B688">
        <v>2</v>
      </c>
      <c r="C688">
        <v>2.99</v>
      </c>
      <c r="D688">
        <v>2.1</v>
      </c>
      <c r="E688">
        <v>26.4</v>
      </c>
      <c r="F688">
        <v>22</v>
      </c>
      <c r="G688">
        <v>0</v>
      </c>
      <c r="H688">
        <v>0</v>
      </c>
      <c r="I688">
        <v>0</v>
      </c>
      <c r="J688">
        <v>2015</v>
      </c>
      <c r="K688">
        <v>11</v>
      </c>
      <c r="L688">
        <v>276</v>
      </c>
      <c r="M688" t="s">
        <v>12</v>
      </c>
      <c r="N688">
        <f t="shared" si="30"/>
        <v>55.489999999999995</v>
      </c>
      <c r="O688" t="str">
        <f t="shared" si="31"/>
        <v>November</v>
      </c>
      <c r="P688" t="str">
        <f t="shared" si="32"/>
        <v>Weekday</v>
      </c>
    </row>
    <row r="689" spans="1:16" x14ac:dyDescent="0.3">
      <c r="A689" s="1">
        <v>42328</v>
      </c>
      <c r="B689">
        <v>5.66</v>
      </c>
      <c r="C689">
        <v>1.66</v>
      </c>
      <c r="D689">
        <v>3.8</v>
      </c>
      <c r="E689">
        <v>25.6</v>
      </c>
      <c r="F689">
        <v>2</v>
      </c>
      <c r="G689">
        <v>2</v>
      </c>
      <c r="H689">
        <v>10</v>
      </c>
      <c r="I689">
        <v>3</v>
      </c>
      <c r="J689">
        <v>2015</v>
      </c>
      <c r="K689">
        <v>11</v>
      </c>
      <c r="L689">
        <v>276</v>
      </c>
      <c r="M689" t="s">
        <v>13</v>
      </c>
      <c r="N689">
        <f t="shared" si="30"/>
        <v>53.72</v>
      </c>
      <c r="O689" t="str">
        <f t="shared" si="31"/>
        <v>November</v>
      </c>
      <c r="P689" t="str">
        <f t="shared" si="32"/>
        <v>Weekday</v>
      </c>
    </row>
    <row r="690" spans="1:16" x14ac:dyDescent="0.3">
      <c r="A690" s="1">
        <v>42329</v>
      </c>
      <c r="B690">
        <v>4</v>
      </c>
      <c r="C690">
        <v>2.0099999999999998</v>
      </c>
      <c r="D690">
        <v>5.2</v>
      </c>
      <c r="E690">
        <v>45.5</v>
      </c>
      <c r="F690">
        <v>4</v>
      </c>
      <c r="G690">
        <v>0</v>
      </c>
      <c r="H690">
        <v>17</v>
      </c>
      <c r="I690">
        <v>3</v>
      </c>
      <c r="J690">
        <v>2015</v>
      </c>
      <c r="K690">
        <v>11</v>
      </c>
      <c r="L690">
        <v>276</v>
      </c>
      <c r="M690" t="s">
        <v>14</v>
      </c>
      <c r="N690">
        <f t="shared" si="30"/>
        <v>80.710000000000008</v>
      </c>
      <c r="O690" t="str">
        <f t="shared" si="31"/>
        <v>November</v>
      </c>
      <c r="P690" t="str">
        <f t="shared" si="32"/>
        <v>Weekend</v>
      </c>
    </row>
    <row r="691" spans="1:16" x14ac:dyDescent="0.3">
      <c r="A691" s="1">
        <v>42330</v>
      </c>
      <c r="B691">
        <v>2</v>
      </c>
      <c r="C691">
        <v>3.4390000000000001</v>
      </c>
      <c r="D691">
        <v>2.6</v>
      </c>
      <c r="E691">
        <v>41.2</v>
      </c>
      <c r="F691">
        <v>6</v>
      </c>
      <c r="G691">
        <v>2</v>
      </c>
      <c r="H691">
        <v>2</v>
      </c>
      <c r="I691">
        <v>1</v>
      </c>
      <c r="J691">
        <v>2015</v>
      </c>
      <c r="K691">
        <v>11</v>
      </c>
      <c r="L691">
        <v>276</v>
      </c>
      <c r="M691" t="s">
        <v>15</v>
      </c>
      <c r="N691">
        <f t="shared" si="30"/>
        <v>60.239000000000004</v>
      </c>
      <c r="O691" t="str">
        <f t="shared" si="31"/>
        <v>November</v>
      </c>
      <c r="P691" t="str">
        <f t="shared" si="32"/>
        <v>Weekend</v>
      </c>
    </row>
    <row r="692" spans="1:16" x14ac:dyDescent="0.3">
      <c r="A692" s="1">
        <v>42331</v>
      </c>
      <c r="B692">
        <v>3</v>
      </c>
      <c r="C692">
        <v>1</v>
      </c>
      <c r="D692">
        <v>4.7</v>
      </c>
      <c r="E692">
        <v>69</v>
      </c>
      <c r="F692">
        <v>3</v>
      </c>
      <c r="G692">
        <v>0</v>
      </c>
      <c r="H692">
        <v>1</v>
      </c>
      <c r="I692">
        <v>2</v>
      </c>
      <c r="J692">
        <v>2015</v>
      </c>
      <c r="K692">
        <v>11</v>
      </c>
      <c r="L692">
        <v>276</v>
      </c>
      <c r="M692" t="s">
        <v>16</v>
      </c>
      <c r="N692">
        <f t="shared" si="30"/>
        <v>83.7</v>
      </c>
      <c r="O692" t="str">
        <f t="shared" si="31"/>
        <v>November</v>
      </c>
      <c r="P692" t="str">
        <f t="shared" si="32"/>
        <v>Weekday</v>
      </c>
    </row>
    <row r="693" spans="1:16" x14ac:dyDescent="0.3">
      <c r="A693" s="1">
        <v>42332</v>
      </c>
      <c r="B693">
        <v>5</v>
      </c>
      <c r="C693">
        <v>6.33</v>
      </c>
      <c r="D693">
        <v>6.4</v>
      </c>
      <c r="E693">
        <v>19.8</v>
      </c>
      <c r="F693">
        <v>12</v>
      </c>
      <c r="G693">
        <v>3</v>
      </c>
      <c r="H693">
        <v>1</v>
      </c>
      <c r="I693">
        <v>5</v>
      </c>
      <c r="J693">
        <v>2015</v>
      </c>
      <c r="K693">
        <v>11</v>
      </c>
      <c r="L693">
        <v>276</v>
      </c>
      <c r="M693" t="s">
        <v>17</v>
      </c>
      <c r="N693">
        <f t="shared" si="30"/>
        <v>58.53</v>
      </c>
      <c r="O693" t="str">
        <f t="shared" si="31"/>
        <v>November</v>
      </c>
      <c r="P693" t="str">
        <f t="shared" si="32"/>
        <v>Weekday</v>
      </c>
    </row>
    <row r="694" spans="1:16" x14ac:dyDescent="0.3">
      <c r="A694" s="1">
        <v>42333</v>
      </c>
      <c r="B694">
        <v>5.66</v>
      </c>
      <c r="C694">
        <v>5.33</v>
      </c>
      <c r="D694">
        <v>3.2</v>
      </c>
      <c r="E694">
        <v>29</v>
      </c>
      <c r="F694">
        <v>11</v>
      </c>
      <c r="G694">
        <v>0</v>
      </c>
      <c r="H694">
        <v>3</v>
      </c>
      <c r="I694">
        <v>3</v>
      </c>
      <c r="J694">
        <v>2015</v>
      </c>
      <c r="K694">
        <v>11</v>
      </c>
      <c r="L694">
        <v>276</v>
      </c>
      <c r="M694" t="s">
        <v>18</v>
      </c>
      <c r="N694">
        <f t="shared" si="30"/>
        <v>60.19</v>
      </c>
      <c r="O694" t="str">
        <f t="shared" si="31"/>
        <v>November</v>
      </c>
      <c r="P694" t="str">
        <f t="shared" si="32"/>
        <v>Weekday</v>
      </c>
    </row>
    <row r="695" spans="1:16" x14ac:dyDescent="0.3">
      <c r="A695" s="1">
        <v>42334</v>
      </c>
      <c r="B695">
        <v>4.33</v>
      </c>
      <c r="C695">
        <v>4</v>
      </c>
      <c r="D695">
        <v>2</v>
      </c>
      <c r="E695">
        <v>25.975000000000001</v>
      </c>
      <c r="F695">
        <v>8</v>
      </c>
      <c r="G695">
        <v>0</v>
      </c>
      <c r="H695">
        <v>0</v>
      </c>
      <c r="I695">
        <v>0</v>
      </c>
      <c r="J695">
        <v>2015</v>
      </c>
      <c r="K695">
        <v>11</v>
      </c>
      <c r="L695">
        <v>276</v>
      </c>
      <c r="M695" t="s">
        <v>12</v>
      </c>
      <c r="N695">
        <f t="shared" si="30"/>
        <v>44.305</v>
      </c>
      <c r="O695" t="str">
        <f t="shared" si="31"/>
        <v>November</v>
      </c>
      <c r="P695" t="str">
        <f t="shared" si="32"/>
        <v>Weekday</v>
      </c>
    </row>
    <row r="696" spans="1:16" x14ac:dyDescent="0.3">
      <c r="A696" s="1">
        <v>42335</v>
      </c>
      <c r="B696">
        <v>0.67</v>
      </c>
      <c r="C696">
        <v>4.3730000000000002</v>
      </c>
      <c r="D696">
        <v>2</v>
      </c>
      <c r="E696">
        <v>20.8</v>
      </c>
      <c r="F696">
        <v>7</v>
      </c>
      <c r="G696">
        <v>0</v>
      </c>
      <c r="H696">
        <v>0</v>
      </c>
      <c r="I696">
        <v>0</v>
      </c>
      <c r="J696">
        <v>2015</v>
      </c>
      <c r="K696">
        <v>11</v>
      </c>
      <c r="L696">
        <v>276</v>
      </c>
      <c r="M696" t="s">
        <v>13</v>
      </c>
      <c r="N696">
        <f t="shared" si="30"/>
        <v>34.843000000000004</v>
      </c>
      <c r="O696" t="str">
        <f t="shared" si="31"/>
        <v>November</v>
      </c>
      <c r="P696" t="str">
        <f t="shared" si="32"/>
        <v>Weekday</v>
      </c>
    </row>
    <row r="697" spans="1:16" x14ac:dyDescent="0.3">
      <c r="A697" s="1">
        <v>42336</v>
      </c>
      <c r="B697">
        <v>6.33</v>
      </c>
      <c r="C697">
        <v>3.66</v>
      </c>
      <c r="D697">
        <v>4</v>
      </c>
      <c r="E697">
        <v>46.825000000000003</v>
      </c>
      <c r="F697">
        <v>3</v>
      </c>
      <c r="G697">
        <v>0</v>
      </c>
      <c r="H697">
        <v>10</v>
      </c>
      <c r="I697">
        <v>1</v>
      </c>
      <c r="J697">
        <v>2015</v>
      </c>
      <c r="K697">
        <v>11</v>
      </c>
      <c r="L697">
        <v>276</v>
      </c>
      <c r="M697" t="s">
        <v>14</v>
      </c>
      <c r="N697">
        <f t="shared" si="30"/>
        <v>74.814999999999998</v>
      </c>
      <c r="O697" t="str">
        <f t="shared" si="31"/>
        <v>November</v>
      </c>
      <c r="P697" t="str">
        <f t="shared" si="32"/>
        <v>Weekend</v>
      </c>
    </row>
    <row r="698" spans="1:16" x14ac:dyDescent="0.3">
      <c r="A698" s="1">
        <v>42337</v>
      </c>
      <c r="B698">
        <v>6.66</v>
      </c>
      <c r="C698">
        <v>3.726</v>
      </c>
      <c r="D698">
        <v>6</v>
      </c>
      <c r="E698">
        <v>42.2</v>
      </c>
      <c r="F698">
        <v>1</v>
      </c>
      <c r="G698">
        <v>0</v>
      </c>
      <c r="H698">
        <v>4</v>
      </c>
      <c r="I698">
        <v>0</v>
      </c>
      <c r="J698">
        <v>2015</v>
      </c>
      <c r="K698">
        <v>11</v>
      </c>
      <c r="L698">
        <v>276</v>
      </c>
      <c r="M698" t="s">
        <v>15</v>
      </c>
      <c r="N698">
        <f t="shared" si="30"/>
        <v>63.585999999999999</v>
      </c>
      <c r="O698" t="str">
        <f t="shared" si="31"/>
        <v>November</v>
      </c>
      <c r="P698" t="str">
        <f t="shared" si="32"/>
        <v>Weekend</v>
      </c>
    </row>
    <row r="699" spans="1:16" x14ac:dyDescent="0.3">
      <c r="A699" s="1">
        <v>42338</v>
      </c>
      <c r="B699">
        <v>7.33</v>
      </c>
      <c r="C699">
        <v>1.825</v>
      </c>
      <c r="D699">
        <v>5</v>
      </c>
      <c r="E699">
        <v>35.299999999999997</v>
      </c>
      <c r="F699">
        <v>5</v>
      </c>
      <c r="G699">
        <v>1</v>
      </c>
      <c r="H699">
        <v>6</v>
      </c>
      <c r="I699">
        <v>3</v>
      </c>
      <c r="J699">
        <v>2015</v>
      </c>
      <c r="K699">
        <v>11</v>
      </c>
      <c r="L699">
        <v>276</v>
      </c>
      <c r="M699" t="s">
        <v>16</v>
      </c>
      <c r="N699">
        <f t="shared" si="30"/>
        <v>64.454999999999998</v>
      </c>
      <c r="O699" t="str">
        <f t="shared" si="31"/>
        <v>November</v>
      </c>
      <c r="P699" t="str">
        <f t="shared" si="32"/>
        <v>Weekday</v>
      </c>
    </row>
    <row r="700" spans="1:16" x14ac:dyDescent="0.3">
      <c r="A700" s="1">
        <v>42339</v>
      </c>
      <c r="B700">
        <v>1.99</v>
      </c>
      <c r="C700">
        <v>2.0230000000000001</v>
      </c>
      <c r="D700">
        <v>6.3</v>
      </c>
      <c r="E700">
        <v>23.9</v>
      </c>
      <c r="F700">
        <v>4</v>
      </c>
      <c r="G700">
        <v>1</v>
      </c>
      <c r="H700">
        <v>5</v>
      </c>
      <c r="I700">
        <v>1</v>
      </c>
      <c r="J700">
        <v>2015</v>
      </c>
      <c r="K700">
        <v>12</v>
      </c>
      <c r="L700">
        <v>276</v>
      </c>
      <c r="M700" t="s">
        <v>17</v>
      </c>
      <c r="N700">
        <f t="shared" si="30"/>
        <v>45.212999999999994</v>
      </c>
      <c r="O700" t="str">
        <f t="shared" si="31"/>
        <v>December</v>
      </c>
      <c r="P700" t="str">
        <f t="shared" si="32"/>
        <v>Weekday</v>
      </c>
    </row>
    <row r="701" spans="1:16" x14ac:dyDescent="0.3">
      <c r="A701" s="1">
        <v>42340</v>
      </c>
      <c r="B701">
        <v>1</v>
      </c>
      <c r="C701">
        <v>3.33</v>
      </c>
      <c r="D701">
        <v>2.4</v>
      </c>
      <c r="E701">
        <v>42</v>
      </c>
      <c r="F701">
        <v>23</v>
      </c>
      <c r="G701">
        <v>4</v>
      </c>
      <c r="H701">
        <v>0</v>
      </c>
      <c r="I701">
        <v>0</v>
      </c>
      <c r="J701">
        <v>2015</v>
      </c>
      <c r="K701">
        <v>12</v>
      </c>
      <c r="L701">
        <v>276</v>
      </c>
      <c r="M701" t="s">
        <v>18</v>
      </c>
      <c r="N701">
        <f t="shared" si="30"/>
        <v>75.73</v>
      </c>
      <c r="O701" t="str">
        <f t="shared" si="31"/>
        <v>December</v>
      </c>
      <c r="P701" t="str">
        <f t="shared" si="32"/>
        <v>Weekday</v>
      </c>
    </row>
    <row r="702" spans="1:16" x14ac:dyDescent="0.3">
      <c r="A702" s="1">
        <v>42341</v>
      </c>
      <c r="B702">
        <v>4</v>
      </c>
      <c r="C702">
        <v>3</v>
      </c>
      <c r="D702">
        <v>5.6</v>
      </c>
      <c r="E702">
        <v>56</v>
      </c>
      <c r="F702">
        <v>6</v>
      </c>
      <c r="G702">
        <v>1</v>
      </c>
      <c r="H702">
        <v>1</v>
      </c>
      <c r="I702">
        <v>1</v>
      </c>
      <c r="J702">
        <v>2015</v>
      </c>
      <c r="K702">
        <v>12</v>
      </c>
      <c r="L702">
        <v>276</v>
      </c>
      <c r="M702" t="s">
        <v>12</v>
      </c>
      <c r="N702">
        <f t="shared" si="30"/>
        <v>77.599999999999994</v>
      </c>
      <c r="O702" t="str">
        <f t="shared" si="31"/>
        <v>December</v>
      </c>
      <c r="P702" t="str">
        <f t="shared" si="32"/>
        <v>Weekday</v>
      </c>
    </row>
    <row r="703" spans="1:16" x14ac:dyDescent="0.3">
      <c r="A703" s="1">
        <v>42342</v>
      </c>
      <c r="B703">
        <v>3.33</v>
      </c>
      <c r="C703">
        <v>4.7590000000000003</v>
      </c>
      <c r="D703">
        <v>4.7</v>
      </c>
      <c r="E703">
        <v>25.6</v>
      </c>
      <c r="F703">
        <v>9</v>
      </c>
      <c r="G703">
        <v>3</v>
      </c>
      <c r="H703">
        <v>3</v>
      </c>
      <c r="I703">
        <v>1</v>
      </c>
      <c r="J703">
        <v>2015</v>
      </c>
      <c r="K703">
        <v>12</v>
      </c>
      <c r="L703">
        <v>276</v>
      </c>
      <c r="M703" t="s">
        <v>13</v>
      </c>
      <c r="N703">
        <f t="shared" si="30"/>
        <v>54.389000000000003</v>
      </c>
      <c r="O703" t="str">
        <f t="shared" si="31"/>
        <v>December</v>
      </c>
      <c r="P703" t="str">
        <f t="shared" si="32"/>
        <v>Weekday</v>
      </c>
    </row>
    <row r="704" spans="1:16" x14ac:dyDescent="0.3">
      <c r="A704" s="1">
        <v>42343</v>
      </c>
      <c r="B704">
        <v>8</v>
      </c>
      <c r="C704">
        <v>3.0329999999999999</v>
      </c>
      <c r="D704">
        <v>2</v>
      </c>
      <c r="E704">
        <v>35.049999999999997</v>
      </c>
      <c r="F704">
        <v>2</v>
      </c>
      <c r="G704">
        <v>0</v>
      </c>
      <c r="H704">
        <v>7</v>
      </c>
      <c r="I704">
        <v>2.33</v>
      </c>
      <c r="J704">
        <v>2015</v>
      </c>
      <c r="K704">
        <v>12</v>
      </c>
      <c r="L704">
        <v>276</v>
      </c>
      <c r="M704" t="s">
        <v>14</v>
      </c>
      <c r="N704">
        <f t="shared" si="30"/>
        <v>59.412999999999997</v>
      </c>
      <c r="O704" t="str">
        <f t="shared" si="31"/>
        <v>December</v>
      </c>
      <c r="P704" t="str">
        <f t="shared" si="32"/>
        <v>Weekend</v>
      </c>
    </row>
    <row r="705" spans="1:16" x14ac:dyDescent="0.3">
      <c r="A705" s="1">
        <v>42344</v>
      </c>
      <c r="B705">
        <v>5.67</v>
      </c>
      <c r="C705">
        <v>7</v>
      </c>
      <c r="D705">
        <v>3.4</v>
      </c>
      <c r="E705">
        <v>60.4</v>
      </c>
      <c r="F705">
        <v>5</v>
      </c>
      <c r="G705">
        <v>2</v>
      </c>
      <c r="H705">
        <v>3</v>
      </c>
      <c r="I705">
        <v>1</v>
      </c>
      <c r="J705">
        <v>2015</v>
      </c>
      <c r="K705">
        <v>12</v>
      </c>
      <c r="L705">
        <v>276</v>
      </c>
      <c r="M705" t="s">
        <v>15</v>
      </c>
      <c r="N705">
        <f t="shared" si="30"/>
        <v>87.47</v>
      </c>
      <c r="O705" t="str">
        <f t="shared" si="31"/>
        <v>December</v>
      </c>
      <c r="P705" t="str">
        <f t="shared" si="32"/>
        <v>Weekend</v>
      </c>
    </row>
    <row r="706" spans="1:16" x14ac:dyDescent="0.3">
      <c r="A706" s="1">
        <v>42345</v>
      </c>
      <c r="B706">
        <v>3</v>
      </c>
      <c r="C706">
        <v>2.0990000000000002</v>
      </c>
      <c r="D706">
        <v>2.2000000000000002</v>
      </c>
      <c r="E706">
        <v>26.5</v>
      </c>
      <c r="F706">
        <v>6</v>
      </c>
      <c r="G706">
        <v>1</v>
      </c>
      <c r="H706">
        <v>11</v>
      </c>
      <c r="I706">
        <v>6</v>
      </c>
      <c r="J706">
        <v>2015</v>
      </c>
      <c r="K706">
        <v>12</v>
      </c>
      <c r="L706">
        <v>276</v>
      </c>
      <c r="M706" t="s">
        <v>16</v>
      </c>
      <c r="N706">
        <f t="shared" si="30"/>
        <v>57.798999999999999</v>
      </c>
      <c r="O706" t="str">
        <f t="shared" si="31"/>
        <v>December</v>
      </c>
      <c r="P706" t="str">
        <f t="shared" si="32"/>
        <v>Weekday</v>
      </c>
    </row>
    <row r="707" spans="1:16" x14ac:dyDescent="0.3">
      <c r="A707" s="1">
        <v>42346</v>
      </c>
      <c r="B707">
        <v>2</v>
      </c>
      <c r="C707">
        <v>6.34</v>
      </c>
      <c r="D707">
        <v>2</v>
      </c>
      <c r="E707">
        <v>41.325000000000003</v>
      </c>
      <c r="F707">
        <v>8</v>
      </c>
      <c r="G707">
        <v>0</v>
      </c>
      <c r="H707">
        <v>0</v>
      </c>
      <c r="I707">
        <v>0</v>
      </c>
      <c r="J707">
        <v>2015</v>
      </c>
      <c r="K707">
        <v>12</v>
      </c>
      <c r="L707">
        <v>276</v>
      </c>
      <c r="M707" t="s">
        <v>17</v>
      </c>
      <c r="N707">
        <f t="shared" ref="N707:N770" si="33">SUM(B707:I707)</f>
        <v>59.665000000000006</v>
      </c>
      <c r="O707" t="str">
        <f t="shared" ref="O707:O770" si="34">TEXT(A707,"mmmm")</f>
        <v>December</v>
      </c>
      <c r="P707" t="str">
        <f t="shared" ref="P707:P770" si="35">IF(OR(M707="Saturday",M707="Sunday"),"Weekend","Weekday")</f>
        <v>Weekday</v>
      </c>
    </row>
    <row r="708" spans="1:16" x14ac:dyDescent="0.3">
      <c r="A708" s="1">
        <v>42347</v>
      </c>
      <c r="B708">
        <v>3.34</v>
      </c>
      <c r="C708">
        <v>3.472</v>
      </c>
      <c r="D708">
        <v>7</v>
      </c>
      <c r="E708">
        <v>41.262</v>
      </c>
      <c r="F708">
        <v>16</v>
      </c>
      <c r="G708">
        <v>0</v>
      </c>
      <c r="H708">
        <v>3</v>
      </c>
      <c r="I708">
        <v>1</v>
      </c>
      <c r="J708">
        <v>2015</v>
      </c>
      <c r="K708">
        <v>12</v>
      </c>
      <c r="L708">
        <v>276</v>
      </c>
      <c r="M708" t="s">
        <v>18</v>
      </c>
      <c r="N708">
        <f t="shared" si="33"/>
        <v>75.073999999999998</v>
      </c>
      <c r="O708" t="str">
        <f t="shared" si="34"/>
        <v>December</v>
      </c>
      <c r="P708" t="str">
        <f t="shared" si="35"/>
        <v>Weekday</v>
      </c>
    </row>
    <row r="709" spans="1:16" x14ac:dyDescent="0.3">
      <c r="A709" s="1">
        <v>42348</v>
      </c>
      <c r="B709">
        <v>11.66</v>
      </c>
      <c r="C709">
        <v>10.69</v>
      </c>
      <c r="D709">
        <v>16</v>
      </c>
      <c r="E709">
        <v>31.9</v>
      </c>
      <c r="F709">
        <v>9</v>
      </c>
      <c r="G709">
        <v>0</v>
      </c>
      <c r="H709">
        <v>9</v>
      </c>
      <c r="I709">
        <v>2.1</v>
      </c>
      <c r="J709">
        <v>2015</v>
      </c>
      <c r="K709">
        <v>12</v>
      </c>
      <c r="L709">
        <v>276</v>
      </c>
      <c r="M709" t="s">
        <v>12</v>
      </c>
      <c r="N709">
        <f t="shared" si="33"/>
        <v>90.35</v>
      </c>
      <c r="O709" t="str">
        <f t="shared" si="34"/>
        <v>December</v>
      </c>
      <c r="P709" t="str">
        <f t="shared" si="35"/>
        <v>Weekday</v>
      </c>
    </row>
    <row r="710" spans="1:16" x14ac:dyDescent="0.3">
      <c r="A710" s="1">
        <v>42349</v>
      </c>
      <c r="B710">
        <v>5.84</v>
      </c>
      <c r="C710">
        <v>6.165</v>
      </c>
      <c r="D710">
        <v>3</v>
      </c>
      <c r="E710">
        <v>22.7</v>
      </c>
      <c r="F710">
        <v>9</v>
      </c>
      <c r="G710">
        <v>0</v>
      </c>
      <c r="H710">
        <v>16</v>
      </c>
      <c r="I710">
        <v>1</v>
      </c>
      <c r="J710">
        <v>2015</v>
      </c>
      <c r="K710">
        <v>12</v>
      </c>
      <c r="L710">
        <v>276</v>
      </c>
      <c r="M710" t="s">
        <v>13</v>
      </c>
      <c r="N710">
        <f t="shared" si="33"/>
        <v>63.704999999999998</v>
      </c>
      <c r="O710" t="str">
        <f t="shared" si="34"/>
        <v>December</v>
      </c>
      <c r="P710" t="str">
        <f t="shared" si="35"/>
        <v>Weekday</v>
      </c>
    </row>
    <row r="711" spans="1:16" x14ac:dyDescent="0.3">
      <c r="A711" s="1">
        <v>42350</v>
      </c>
      <c r="B711">
        <v>6.34</v>
      </c>
      <c r="C711">
        <v>3.2</v>
      </c>
      <c r="D711">
        <v>3</v>
      </c>
      <c r="E711">
        <v>42.2</v>
      </c>
      <c r="F711">
        <v>5</v>
      </c>
      <c r="G711">
        <v>2</v>
      </c>
      <c r="H711">
        <v>6</v>
      </c>
      <c r="I711">
        <v>1</v>
      </c>
      <c r="J711">
        <v>2015</v>
      </c>
      <c r="K711">
        <v>12</v>
      </c>
      <c r="L711">
        <v>276</v>
      </c>
      <c r="M711" t="s">
        <v>14</v>
      </c>
      <c r="N711">
        <f t="shared" si="33"/>
        <v>68.740000000000009</v>
      </c>
      <c r="O711" t="str">
        <f t="shared" si="34"/>
        <v>December</v>
      </c>
      <c r="P711" t="str">
        <f t="shared" si="35"/>
        <v>Weekend</v>
      </c>
    </row>
    <row r="712" spans="1:16" x14ac:dyDescent="0.3">
      <c r="A712" s="1">
        <v>42351</v>
      </c>
      <c r="B712">
        <v>9.33</v>
      </c>
      <c r="C712">
        <v>4.32</v>
      </c>
      <c r="D712">
        <v>7</v>
      </c>
      <c r="E712">
        <v>29</v>
      </c>
      <c r="F712">
        <v>5</v>
      </c>
      <c r="G712">
        <v>0</v>
      </c>
      <c r="H712">
        <v>27</v>
      </c>
      <c r="I712">
        <v>0</v>
      </c>
      <c r="J712">
        <v>2015</v>
      </c>
      <c r="K712">
        <v>12</v>
      </c>
      <c r="L712">
        <v>276</v>
      </c>
      <c r="M712" t="s">
        <v>15</v>
      </c>
      <c r="N712">
        <f t="shared" si="33"/>
        <v>81.650000000000006</v>
      </c>
      <c r="O712" t="str">
        <f t="shared" si="34"/>
        <v>December</v>
      </c>
      <c r="P712" t="str">
        <f t="shared" si="35"/>
        <v>Weekend</v>
      </c>
    </row>
    <row r="713" spans="1:16" x14ac:dyDescent="0.3">
      <c r="A713" s="1">
        <v>42352</v>
      </c>
      <c r="B713">
        <v>5</v>
      </c>
      <c r="C713">
        <v>3</v>
      </c>
      <c r="D713">
        <v>6.6</v>
      </c>
      <c r="E713">
        <v>37.4</v>
      </c>
      <c r="F713">
        <v>11</v>
      </c>
      <c r="G713">
        <v>0</v>
      </c>
      <c r="H713">
        <v>21</v>
      </c>
      <c r="I713">
        <v>1</v>
      </c>
      <c r="J713">
        <v>2015</v>
      </c>
      <c r="K713">
        <v>12</v>
      </c>
      <c r="L713">
        <v>276</v>
      </c>
      <c r="M713" t="s">
        <v>16</v>
      </c>
      <c r="N713">
        <f t="shared" si="33"/>
        <v>85</v>
      </c>
      <c r="O713" t="str">
        <f t="shared" si="34"/>
        <v>December</v>
      </c>
      <c r="P713" t="str">
        <f t="shared" si="35"/>
        <v>Weekday</v>
      </c>
    </row>
    <row r="714" spans="1:16" x14ac:dyDescent="0.3">
      <c r="A714" s="1">
        <v>42353</v>
      </c>
      <c r="B714">
        <v>4.99</v>
      </c>
      <c r="C714">
        <v>2</v>
      </c>
      <c r="D714">
        <v>5</v>
      </c>
      <c r="E714">
        <v>42</v>
      </c>
      <c r="F714">
        <v>3</v>
      </c>
      <c r="G714">
        <v>1</v>
      </c>
      <c r="H714">
        <v>2</v>
      </c>
      <c r="I714">
        <v>1</v>
      </c>
      <c r="J714">
        <v>2015</v>
      </c>
      <c r="K714">
        <v>12</v>
      </c>
      <c r="L714">
        <v>276</v>
      </c>
      <c r="M714" t="s">
        <v>17</v>
      </c>
      <c r="N714">
        <f t="shared" si="33"/>
        <v>60.99</v>
      </c>
      <c r="O714" t="str">
        <f t="shared" si="34"/>
        <v>December</v>
      </c>
      <c r="P714" t="str">
        <f t="shared" si="35"/>
        <v>Weekday</v>
      </c>
    </row>
    <row r="715" spans="1:16" x14ac:dyDescent="0.3">
      <c r="A715" s="1">
        <v>42354</v>
      </c>
      <c r="B715">
        <v>6.67</v>
      </c>
      <c r="C715">
        <v>4</v>
      </c>
      <c r="D715">
        <v>4</v>
      </c>
      <c r="E715">
        <v>42</v>
      </c>
      <c r="F715">
        <v>11</v>
      </c>
      <c r="G715">
        <v>1</v>
      </c>
      <c r="H715">
        <v>11</v>
      </c>
      <c r="I715">
        <v>0</v>
      </c>
      <c r="J715">
        <v>2015</v>
      </c>
      <c r="K715">
        <v>12</v>
      </c>
      <c r="L715">
        <v>276</v>
      </c>
      <c r="M715" t="s">
        <v>18</v>
      </c>
      <c r="N715">
        <f t="shared" si="33"/>
        <v>79.67</v>
      </c>
      <c r="O715" t="str">
        <f t="shared" si="34"/>
        <v>December</v>
      </c>
      <c r="P715" t="str">
        <f t="shared" si="35"/>
        <v>Weekday</v>
      </c>
    </row>
    <row r="716" spans="1:16" x14ac:dyDescent="0.3">
      <c r="A716" s="1">
        <v>42355</v>
      </c>
      <c r="B716">
        <v>9</v>
      </c>
      <c r="C716">
        <v>3.01</v>
      </c>
      <c r="D716">
        <v>3</v>
      </c>
      <c r="E716">
        <v>25</v>
      </c>
      <c r="F716">
        <v>7</v>
      </c>
      <c r="G716">
        <v>0</v>
      </c>
      <c r="H716">
        <v>0</v>
      </c>
      <c r="I716">
        <v>2</v>
      </c>
      <c r="J716">
        <v>2015</v>
      </c>
      <c r="K716">
        <v>12</v>
      </c>
      <c r="L716">
        <v>276</v>
      </c>
      <c r="M716" t="s">
        <v>12</v>
      </c>
      <c r="N716">
        <f t="shared" si="33"/>
        <v>49.01</v>
      </c>
      <c r="O716" t="str">
        <f t="shared" si="34"/>
        <v>December</v>
      </c>
      <c r="P716" t="str">
        <f t="shared" si="35"/>
        <v>Weekday</v>
      </c>
    </row>
    <row r="717" spans="1:16" x14ac:dyDescent="0.3">
      <c r="A717" s="1">
        <v>42356</v>
      </c>
      <c r="B717">
        <v>4.33</v>
      </c>
      <c r="C717">
        <v>8.9009999999999998</v>
      </c>
      <c r="D717">
        <v>4.3</v>
      </c>
      <c r="E717">
        <v>27.2</v>
      </c>
      <c r="F717">
        <v>12</v>
      </c>
      <c r="G717">
        <v>4</v>
      </c>
      <c r="H717">
        <v>2</v>
      </c>
      <c r="I717">
        <v>1</v>
      </c>
      <c r="J717">
        <v>2015</v>
      </c>
      <c r="K717">
        <v>12</v>
      </c>
      <c r="L717">
        <v>276</v>
      </c>
      <c r="M717" t="s">
        <v>13</v>
      </c>
      <c r="N717">
        <f t="shared" si="33"/>
        <v>63.730999999999995</v>
      </c>
      <c r="O717" t="str">
        <f t="shared" si="34"/>
        <v>December</v>
      </c>
      <c r="P717" t="str">
        <f t="shared" si="35"/>
        <v>Weekday</v>
      </c>
    </row>
    <row r="718" spans="1:16" x14ac:dyDescent="0.3">
      <c r="A718" s="1">
        <v>42357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2015</v>
      </c>
      <c r="K718">
        <v>12</v>
      </c>
      <c r="L718">
        <v>276</v>
      </c>
      <c r="M718" t="s">
        <v>14</v>
      </c>
      <c r="N718">
        <f t="shared" si="33"/>
        <v>0</v>
      </c>
      <c r="O718" t="str">
        <f t="shared" si="34"/>
        <v>December</v>
      </c>
      <c r="P718" t="str">
        <f t="shared" si="35"/>
        <v>Weekend</v>
      </c>
    </row>
    <row r="719" spans="1:16" x14ac:dyDescent="0.3">
      <c r="A719" s="1">
        <v>42358</v>
      </c>
      <c r="B719">
        <v>3</v>
      </c>
      <c r="C719">
        <v>3.4740000000000002</v>
      </c>
      <c r="D719">
        <v>2.2000000000000002</v>
      </c>
      <c r="E719">
        <v>43</v>
      </c>
      <c r="F719">
        <v>3</v>
      </c>
      <c r="G719">
        <v>0</v>
      </c>
      <c r="H719">
        <v>16</v>
      </c>
      <c r="I719">
        <v>1</v>
      </c>
      <c r="J719">
        <v>2015</v>
      </c>
      <c r="K719">
        <v>12</v>
      </c>
      <c r="L719">
        <v>276</v>
      </c>
      <c r="M719" t="s">
        <v>15</v>
      </c>
      <c r="N719">
        <f t="shared" si="33"/>
        <v>71.674000000000007</v>
      </c>
      <c r="O719" t="str">
        <f t="shared" si="34"/>
        <v>December</v>
      </c>
      <c r="P719" t="str">
        <f t="shared" si="35"/>
        <v>Weekend</v>
      </c>
    </row>
    <row r="720" spans="1:16" x14ac:dyDescent="0.3">
      <c r="A720" s="1">
        <v>42359</v>
      </c>
      <c r="B720">
        <v>5</v>
      </c>
      <c r="C720">
        <v>6.34</v>
      </c>
      <c r="D720">
        <v>2</v>
      </c>
      <c r="E720">
        <v>53.6</v>
      </c>
      <c r="F720">
        <v>14</v>
      </c>
      <c r="G720">
        <v>0</v>
      </c>
      <c r="H720">
        <v>6</v>
      </c>
      <c r="I720">
        <v>0.4</v>
      </c>
      <c r="J720">
        <v>2015</v>
      </c>
      <c r="K720">
        <v>12</v>
      </c>
      <c r="L720">
        <v>276</v>
      </c>
      <c r="M720" t="s">
        <v>16</v>
      </c>
      <c r="N720">
        <f t="shared" si="33"/>
        <v>87.34</v>
      </c>
      <c r="O720" t="str">
        <f t="shared" si="34"/>
        <v>December</v>
      </c>
      <c r="P720" t="str">
        <f t="shared" si="35"/>
        <v>Weekday</v>
      </c>
    </row>
    <row r="721" spans="1:16" x14ac:dyDescent="0.3">
      <c r="A721" s="1">
        <v>42360</v>
      </c>
      <c r="B721">
        <v>5.66</v>
      </c>
      <c r="C721">
        <v>0</v>
      </c>
      <c r="D721">
        <v>5</v>
      </c>
      <c r="E721">
        <v>48</v>
      </c>
      <c r="F721">
        <v>6</v>
      </c>
      <c r="G721">
        <v>0</v>
      </c>
      <c r="H721">
        <v>13</v>
      </c>
      <c r="I721">
        <v>1</v>
      </c>
      <c r="J721">
        <v>2015</v>
      </c>
      <c r="K721">
        <v>12</v>
      </c>
      <c r="L721">
        <v>276</v>
      </c>
      <c r="M721" t="s">
        <v>17</v>
      </c>
      <c r="N721">
        <f t="shared" si="33"/>
        <v>78.66</v>
      </c>
      <c r="O721" t="str">
        <f t="shared" si="34"/>
        <v>December</v>
      </c>
      <c r="P721" t="str">
        <f t="shared" si="35"/>
        <v>Weekday</v>
      </c>
    </row>
    <row r="722" spans="1:16" x14ac:dyDescent="0.3">
      <c r="A722" s="1">
        <v>42361</v>
      </c>
      <c r="B722">
        <v>3.33</v>
      </c>
      <c r="C722">
        <v>4.01</v>
      </c>
      <c r="D722">
        <v>2.2999999999999998</v>
      </c>
      <c r="E722">
        <v>28.8</v>
      </c>
      <c r="F722">
        <v>3</v>
      </c>
      <c r="G722">
        <v>0</v>
      </c>
      <c r="H722">
        <v>0</v>
      </c>
      <c r="I722">
        <v>0</v>
      </c>
      <c r="J722">
        <v>2015</v>
      </c>
      <c r="K722">
        <v>12</v>
      </c>
      <c r="L722">
        <v>276</v>
      </c>
      <c r="M722" t="s">
        <v>18</v>
      </c>
      <c r="N722">
        <f t="shared" si="33"/>
        <v>41.44</v>
      </c>
      <c r="O722" t="str">
        <f t="shared" si="34"/>
        <v>December</v>
      </c>
      <c r="P722" t="str">
        <f t="shared" si="35"/>
        <v>Weekday</v>
      </c>
    </row>
    <row r="723" spans="1:16" x14ac:dyDescent="0.3">
      <c r="A723" s="1">
        <v>42362</v>
      </c>
      <c r="B723">
        <v>7.33</v>
      </c>
      <c r="C723">
        <v>3.3959999999999999</v>
      </c>
      <c r="D723">
        <v>5</v>
      </c>
      <c r="E723">
        <v>28.3</v>
      </c>
      <c r="F723">
        <v>5</v>
      </c>
      <c r="G723">
        <v>0</v>
      </c>
      <c r="H723">
        <v>16</v>
      </c>
      <c r="I723">
        <v>0</v>
      </c>
      <c r="J723">
        <v>2015</v>
      </c>
      <c r="K723">
        <v>12</v>
      </c>
      <c r="L723">
        <v>276</v>
      </c>
      <c r="M723" t="s">
        <v>12</v>
      </c>
      <c r="N723">
        <f t="shared" si="33"/>
        <v>65.025999999999996</v>
      </c>
      <c r="O723" t="str">
        <f t="shared" si="34"/>
        <v>December</v>
      </c>
      <c r="P723" t="str">
        <f t="shared" si="35"/>
        <v>Weekday</v>
      </c>
    </row>
    <row r="724" spans="1:16" x14ac:dyDescent="0.3">
      <c r="A724" s="1">
        <v>42363</v>
      </c>
      <c r="B724">
        <v>0.66</v>
      </c>
      <c r="C724">
        <v>4.66</v>
      </c>
      <c r="D724">
        <v>2</v>
      </c>
      <c r="E724">
        <v>20.661999999999999</v>
      </c>
      <c r="F724">
        <v>28</v>
      </c>
      <c r="G724">
        <v>2</v>
      </c>
      <c r="H724">
        <v>1</v>
      </c>
      <c r="I724">
        <v>1</v>
      </c>
      <c r="J724">
        <v>2015</v>
      </c>
      <c r="K724">
        <v>12</v>
      </c>
      <c r="L724">
        <v>276</v>
      </c>
      <c r="M724" t="s">
        <v>13</v>
      </c>
      <c r="N724">
        <f t="shared" si="33"/>
        <v>59.981999999999999</v>
      </c>
      <c r="O724" t="str">
        <f t="shared" si="34"/>
        <v>December</v>
      </c>
      <c r="P724" t="str">
        <f t="shared" si="35"/>
        <v>Weekday</v>
      </c>
    </row>
    <row r="725" spans="1:16" x14ac:dyDescent="0.3">
      <c r="A725" s="1">
        <v>42364</v>
      </c>
      <c r="B725">
        <v>4.67</v>
      </c>
      <c r="C725">
        <v>1.66</v>
      </c>
      <c r="D725">
        <v>5</v>
      </c>
      <c r="E725">
        <v>87.2</v>
      </c>
      <c r="F725">
        <v>15</v>
      </c>
      <c r="G725">
        <v>3</v>
      </c>
      <c r="H725">
        <v>0</v>
      </c>
      <c r="I725">
        <v>4.3</v>
      </c>
      <c r="J725">
        <v>2015</v>
      </c>
      <c r="K725">
        <v>12</v>
      </c>
      <c r="L725">
        <v>276</v>
      </c>
      <c r="M725" t="s">
        <v>14</v>
      </c>
      <c r="N725">
        <f t="shared" si="33"/>
        <v>120.83</v>
      </c>
      <c r="O725" t="str">
        <f t="shared" si="34"/>
        <v>December</v>
      </c>
      <c r="P725" t="str">
        <f t="shared" si="35"/>
        <v>Weekend</v>
      </c>
    </row>
    <row r="726" spans="1:16" x14ac:dyDescent="0.3">
      <c r="A726" s="1">
        <v>42365</v>
      </c>
      <c r="B726">
        <v>5.33</v>
      </c>
      <c r="C726">
        <v>6.7919999999999998</v>
      </c>
      <c r="D726">
        <v>5.2</v>
      </c>
      <c r="E726">
        <v>63.5</v>
      </c>
      <c r="F726">
        <v>4</v>
      </c>
      <c r="G726">
        <v>0</v>
      </c>
      <c r="H726">
        <v>14</v>
      </c>
      <c r="I726">
        <v>4.5999999999999996</v>
      </c>
      <c r="J726">
        <v>2015</v>
      </c>
      <c r="K726">
        <v>12</v>
      </c>
      <c r="L726">
        <v>276</v>
      </c>
      <c r="M726" t="s">
        <v>15</v>
      </c>
      <c r="N726">
        <f t="shared" si="33"/>
        <v>103.422</v>
      </c>
      <c r="O726" t="str">
        <f t="shared" si="34"/>
        <v>December</v>
      </c>
      <c r="P726" t="str">
        <f t="shared" si="35"/>
        <v>Weekend</v>
      </c>
    </row>
    <row r="727" spans="1:16" x14ac:dyDescent="0.3">
      <c r="A727" s="1">
        <v>42366</v>
      </c>
      <c r="B727">
        <v>4</v>
      </c>
      <c r="C727">
        <v>5.0990000000000002</v>
      </c>
      <c r="D727">
        <v>9.1999999999999993</v>
      </c>
      <c r="E727">
        <v>61.5</v>
      </c>
      <c r="F727">
        <v>18</v>
      </c>
      <c r="G727">
        <v>3</v>
      </c>
      <c r="H727">
        <v>26</v>
      </c>
      <c r="I727">
        <v>1</v>
      </c>
      <c r="J727">
        <v>2015</v>
      </c>
      <c r="K727">
        <v>12</v>
      </c>
      <c r="L727">
        <v>276</v>
      </c>
      <c r="M727" t="s">
        <v>16</v>
      </c>
      <c r="N727">
        <f t="shared" si="33"/>
        <v>127.79900000000001</v>
      </c>
      <c r="O727" t="str">
        <f t="shared" si="34"/>
        <v>December</v>
      </c>
      <c r="P727" t="str">
        <f t="shared" si="35"/>
        <v>Weekday</v>
      </c>
    </row>
    <row r="728" spans="1:16" x14ac:dyDescent="0.3">
      <c r="A728" s="1">
        <v>42367</v>
      </c>
      <c r="B728">
        <v>10.67</v>
      </c>
      <c r="C728">
        <v>2.33</v>
      </c>
      <c r="D728">
        <v>2</v>
      </c>
      <c r="E728">
        <v>71.599999999999994</v>
      </c>
      <c r="F728">
        <v>9</v>
      </c>
      <c r="G728">
        <v>0</v>
      </c>
      <c r="H728">
        <v>2</v>
      </c>
      <c r="I728">
        <v>3</v>
      </c>
      <c r="J728">
        <v>2015</v>
      </c>
      <c r="K728">
        <v>12</v>
      </c>
      <c r="L728">
        <v>276</v>
      </c>
      <c r="M728" t="s">
        <v>17</v>
      </c>
      <c r="N728">
        <f t="shared" si="33"/>
        <v>100.6</v>
      </c>
      <c r="O728" t="str">
        <f t="shared" si="34"/>
        <v>December</v>
      </c>
      <c r="P728" t="str">
        <f t="shared" si="35"/>
        <v>Weekday</v>
      </c>
    </row>
    <row r="729" spans="1:16" x14ac:dyDescent="0.3">
      <c r="A729" s="1">
        <v>42368</v>
      </c>
      <c r="B729">
        <v>6.66</v>
      </c>
      <c r="C729">
        <v>7.0890000000000004</v>
      </c>
      <c r="D729">
        <v>2</v>
      </c>
      <c r="E729">
        <v>56.4</v>
      </c>
      <c r="F729">
        <v>12</v>
      </c>
      <c r="G729">
        <v>0</v>
      </c>
      <c r="H729">
        <v>4</v>
      </c>
      <c r="I729">
        <v>2</v>
      </c>
      <c r="J729">
        <v>2015</v>
      </c>
      <c r="K729">
        <v>12</v>
      </c>
      <c r="L729">
        <v>276</v>
      </c>
      <c r="M729" t="s">
        <v>18</v>
      </c>
      <c r="N729">
        <f t="shared" si="33"/>
        <v>90.149000000000001</v>
      </c>
      <c r="O729" t="str">
        <f t="shared" si="34"/>
        <v>December</v>
      </c>
      <c r="P729" t="str">
        <f t="shared" si="35"/>
        <v>Weekday</v>
      </c>
    </row>
    <row r="730" spans="1:16" x14ac:dyDescent="0.3">
      <c r="A730" s="1">
        <v>42369</v>
      </c>
      <c r="B730">
        <v>7.66</v>
      </c>
      <c r="C730">
        <v>6.0990000000000002</v>
      </c>
      <c r="D730">
        <v>7.6</v>
      </c>
      <c r="E730">
        <v>44.35</v>
      </c>
      <c r="F730">
        <v>18</v>
      </c>
      <c r="G730">
        <v>0</v>
      </c>
      <c r="H730">
        <v>6</v>
      </c>
      <c r="I730">
        <v>1</v>
      </c>
      <c r="J730">
        <v>2015</v>
      </c>
      <c r="K730">
        <v>12</v>
      </c>
      <c r="L730">
        <v>276</v>
      </c>
      <c r="M730" t="s">
        <v>12</v>
      </c>
      <c r="N730">
        <f t="shared" si="33"/>
        <v>90.709000000000003</v>
      </c>
      <c r="O730" t="str">
        <f t="shared" si="34"/>
        <v>December</v>
      </c>
      <c r="P730" t="str">
        <f t="shared" si="35"/>
        <v>Weekday</v>
      </c>
    </row>
    <row r="731" spans="1:16" x14ac:dyDescent="0.3">
      <c r="A731" s="1">
        <v>42370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2016</v>
      </c>
      <c r="K731">
        <v>1</v>
      </c>
      <c r="L731">
        <v>276</v>
      </c>
      <c r="M731" t="s">
        <v>13</v>
      </c>
      <c r="N731">
        <f t="shared" si="33"/>
        <v>0</v>
      </c>
      <c r="O731" t="str">
        <f t="shared" si="34"/>
        <v>January</v>
      </c>
      <c r="P731" t="str">
        <f t="shared" si="35"/>
        <v>Weekday</v>
      </c>
    </row>
    <row r="732" spans="1:16" x14ac:dyDescent="0.3">
      <c r="A732" s="1">
        <v>42371</v>
      </c>
      <c r="B732">
        <v>0.34</v>
      </c>
      <c r="C732">
        <v>1.02</v>
      </c>
      <c r="D732">
        <v>1</v>
      </c>
      <c r="E732">
        <v>51.2</v>
      </c>
      <c r="F732">
        <v>0</v>
      </c>
      <c r="G732">
        <v>1</v>
      </c>
      <c r="H732">
        <v>5</v>
      </c>
      <c r="I732">
        <v>5</v>
      </c>
      <c r="J732">
        <v>2016</v>
      </c>
      <c r="K732">
        <v>1</v>
      </c>
      <c r="L732">
        <v>276</v>
      </c>
      <c r="M732" t="s">
        <v>14</v>
      </c>
      <c r="N732">
        <f t="shared" si="33"/>
        <v>64.56</v>
      </c>
      <c r="O732" t="str">
        <f t="shared" si="34"/>
        <v>January</v>
      </c>
      <c r="P732" t="str">
        <f t="shared" si="35"/>
        <v>Weekend</v>
      </c>
    </row>
    <row r="733" spans="1:16" x14ac:dyDescent="0.3">
      <c r="A733" s="1">
        <v>42372</v>
      </c>
      <c r="B733">
        <v>4</v>
      </c>
      <c r="C733">
        <v>4</v>
      </c>
      <c r="D733">
        <v>2.5</v>
      </c>
      <c r="E733">
        <v>56.1</v>
      </c>
      <c r="F733">
        <v>1</v>
      </c>
      <c r="G733">
        <v>0</v>
      </c>
      <c r="H733">
        <v>5</v>
      </c>
      <c r="I733">
        <v>1</v>
      </c>
      <c r="J733">
        <v>2016</v>
      </c>
      <c r="K733">
        <v>1</v>
      </c>
      <c r="L733">
        <v>276</v>
      </c>
      <c r="M733" t="s">
        <v>15</v>
      </c>
      <c r="N733">
        <f t="shared" si="33"/>
        <v>73.599999999999994</v>
      </c>
      <c r="O733" t="str">
        <f t="shared" si="34"/>
        <v>January</v>
      </c>
      <c r="P733" t="str">
        <f t="shared" si="35"/>
        <v>Weekend</v>
      </c>
    </row>
    <row r="734" spans="1:16" x14ac:dyDescent="0.3">
      <c r="A734" s="1">
        <v>42373</v>
      </c>
      <c r="B734">
        <v>7.33</v>
      </c>
      <c r="C734">
        <v>5.99</v>
      </c>
      <c r="D734">
        <v>6</v>
      </c>
      <c r="E734">
        <v>46.6</v>
      </c>
      <c r="F734">
        <v>6</v>
      </c>
      <c r="G734">
        <v>0</v>
      </c>
      <c r="H734">
        <v>12</v>
      </c>
      <c r="I734">
        <v>1</v>
      </c>
      <c r="J734">
        <v>2016</v>
      </c>
      <c r="K734">
        <v>1</v>
      </c>
      <c r="L734">
        <v>276</v>
      </c>
      <c r="M734" t="s">
        <v>16</v>
      </c>
      <c r="N734">
        <f t="shared" si="33"/>
        <v>84.92</v>
      </c>
      <c r="O734" t="str">
        <f t="shared" si="34"/>
        <v>January</v>
      </c>
      <c r="P734" t="str">
        <f t="shared" si="35"/>
        <v>Weekday</v>
      </c>
    </row>
    <row r="735" spans="1:16" x14ac:dyDescent="0.3">
      <c r="A735" s="1">
        <v>42374</v>
      </c>
      <c r="B735">
        <v>5.33</v>
      </c>
      <c r="C735">
        <v>5.99</v>
      </c>
      <c r="D735">
        <v>4.5999999999999996</v>
      </c>
      <c r="E735">
        <v>38.6</v>
      </c>
      <c r="F735">
        <v>15</v>
      </c>
      <c r="G735">
        <v>0</v>
      </c>
      <c r="H735">
        <v>5</v>
      </c>
      <c r="I735">
        <v>1</v>
      </c>
      <c r="J735">
        <v>2016</v>
      </c>
      <c r="K735">
        <v>1</v>
      </c>
      <c r="L735">
        <v>276</v>
      </c>
      <c r="M735" t="s">
        <v>17</v>
      </c>
      <c r="N735">
        <f t="shared" si="33"/>
        <v>75.52000000000001</v>
      </c>
      <c r="O735" t="str">
        <f t="shared" si="34"/>
        <v>January</v>
      </c>
      <c r="P735" t="str">
        <f t="shared" si="35"/>
        <v>Weekday</v>
      </c>
    </row>
    <row r="736" spans="1:16" x14ac:dyDescent="0.3">
      <c r="A736" s="1">
        <v>42375</v>
      </c>
      <c r="B736">
        <v>6.66</v>
      </c>
      <c r="C736">
        <v>3</v>
      </c>
      <c r="D736">
        <v>6</v>
      </c>
      <c r="E736">
        <v>61.9</v>
      </c>
      <c r="F736">
        <v>2</v>
      </c>
      <c r="G736">
        <v>0</v>
      </c>
      <c r="H736">
        <v>12</v>
      </c>
      <c r="I736">
        <v>2</v>
      </c>
      <c r="J736">
        <v>2016</v>
      </c>
      <c r="K736">
        <v>1</v>
      </c>
      <c r="L736">
        <v>276</v>
      </c>
      <c r="M736" t="s">
        <v>18</v>
      </c>
      <c r="N736">
        <f t="shared" si="33"/>
        <v>93.56</v>
      </c>
      <c r="O736" t="str">
        <f t="shared" si="34"/>
        <v>January</v>
      </c>
      <c r="P736" t="str">
        <f t="shared" si="35"/>
        <v>Weekday</v>
      </c>
    </row>
    <row r="737" spans="1:16" x14ac:dyDescent="0.3">
      <c r="A737" s="1">
        <v>42376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2016</v>
      </c>
      <c r="K737">
        <v>1</v>
      </c>
      <c r="L737">
        <v>276</v>
      </c>
      <c r="M737" t="s">
        <v>12</v>
      </c>
      <c r="N737">
        <f t="shared" si="33"/>
        <v>0</v>
      </c>
      <c r="O737" t="str">
        <f t="shared" si="34"/>
        <v>January</v>
      </c>
      <c r="P737" t="str">
        <f t="shared" si="35"/>
        <v>Weekday</v>
      </c>
    </row>
    <row r="738" spans="1:16" x14ac:dyDescent="0.3">
      <c r="A738" s="1">
        <v>42377</v>
      </c>
      <c r="B738">
        <v>8</v>
      </c>
      <c r="C738">
        <v>3.4630000000000001</v>
      </c>
      <c r="D738">
        <v>7.7</v>
      </c>
      <c r="E738">
        <v>39.200000000000003</v>
      </c>
      <c r="F738">
        <v>8</v>
      </c>
      <c r="G738">
        <v>3</v>
      </c>
      <c r="H738">
        <v>2</v>
      </c>
      <c r="I738">
        <v>2</v>
      </c>
      <c r="J738">
        <v>2016</v>
      </c>
      <c r="K738">
        <v>1</v>
      </c>
      <c r="L738">
        <v>276</v>
      </c>
      <c r="M738" t="s">
        <v>13</v>
      </c>
      <c r="N738">
        <f t="shared" si="33"/>
        <v>73.363</v>
      </c>
      <c r="O738" t="str">
        <f t="shared" si="34"/>
        <v>January</v>
      </c>
      <c r="P738" t="str">
        <f t="shared" si="35"/>
        <v>Weekday</v>
      </c>
    </row>
    <row r="739" spans="1:16" x14ac:dyDescent="0.3">
      <c r="A739" s="1">
        <v>42378</v>
      </c>
      <c r="B739">
        <v>7.33</v>
      </c>
      <c r="C739">
        <v>2.66</v>
      </c>
      <c r="D739">
        <v>5</v>
      </c>
      <c r="E739">
        <v>88.3</v>
      </c>
      <c r="F739">
        <v>9</v>
      </c>
      <c r="G739">
        <v>0</v>
      </c>
      <c r="H739">
        <v>3</v>
      </c>
      <c r="I739">
        <v>3</v>
      </c>
      <c r="J739">
        <v>2016</v>
      </c>
      <c r="K739">
        <v>1</v>
      </c>
      <c r="L739">
        <v>276</v>
      </c>
      <c r="M739" t="s">
        <v>14</v>
      </c>
      <c r="N739">
        <f t="shared" si="33"/>
        <v>118.28999999999999</v>
      </c>
      <c r="O739" t="str">
        <f t="shared" si="34"/>
        <v>January</v>
      </c>
      <c r="P739" t="str">
        <f t="shared" si="35"/>
        <v>Weekend</v>
      </c>
    </row>
    <row r="740" spans="1:16" x14ac:dyDescent="0.3">
      <c r="A740" s="1">
        <v>42379</v>
      </c>
      <c r="B740">
        <v>7</v>
      </c>
      <c r="C740">
        <v>4.0330000000000004</v>
      </c>
      <c r="D740">
        <v>12</v>
      </c>
      <c r="E740">
        <v>67.599999999999994</v>
      </c>
      <c r="F740">
        <v>8</v>
      </c>
      <c r="G740">
        <v>1</v>
      </c>
      <c r="H740">
        <v>1</v>
      </c>
      <c r="I740">
        <v>0</v>
      </c>
      <c r="J740">
        <v>2016</v>
      </c>
      <c r="K740">
        <v>1</v>
      </c>
      <c r="L740">
        <v>276</v>
      </c>
      <c r="M740" t="s">
        <v>15</v>
      </c>
      <c r="N740">
        <f t="shared" si="33"/>
        <v>100.633</v>
      </c>
      <c r="O740" t="str">
        <f t="shared" si="34"/>
        <v>January</v>
      </c>
      <c r="P740" t="str">
        <f t="shared" si="35"/>
        <v>Weekend</v>
      </c>
    </row>
    <row r="741" spans="1:16" x14ac:dyDescent="0.3">
      <c r="A741" s="1">
        <v>42380</v>
      </c>
      <c r="B741">
        <v>9.34</v>
      </c>
      <c r="C741">
        <v>5.66</v>
      </c>
      <c r="D741">
        <v>7</v>
      </c>
      <c r="E741">
        <v>64.900000000000006</v>
      </c>
      <c r="F741">
        <v>18</v>
      </c>
      <c r="G741">
        <v>0</v>
      </c>
      <c r="H741">
        <v>0</v>
      </c>
      <c r="I741">
        <v>4</v>
      </c>
      <c r="J741">
        <v>2016</v>
      </c>
      <c r="K741">
        <v>1</v>
      </c>
      <c r="L741">
        <v>276</v>
      </c>
      <c r="M741" t="s">
        <v>16</v>
      </c>
      <c r="N741">
        <f t="shared" si="33"/>
        <v>108.9</v>
      </c>
      <c r="O741" t="str">
        <f t="shared" si="34"/>
        <v>January</v>
      </c>
      <c r="P741" t="str">
        <f t="shared" si="35"/>
        <v>Weekday</v>
      </c>
    </row>
    <row r="742" spans="1:16" x14ac:dyDescent="0.3">
      <c r="A742" s="1">
        <v>42381</v>
      </c>
      <c r="B742">
        <v>12</v>
      </c>
      <c r="C742">
        <v>3.1320000000000001</v>
      </c>
      <c r="D742">
        <v>12</v>
      </c>
      <c r="E742">
        <v>61.35</v>
      </c>
      <c r="F742">
        <v>8</v>
      </c>
      <c r="G742">
        <v>0</v>
      </c>
      <c r="H742">
        <v>0</v>
      </c>
      <c r="I742">
        <v>0</v>
      </c>
      <c r="J742">
        <v>2016</v>
      </c>
      <c r="K742">
        <v>1</v>
      </c>
      <c r="L742">
        <v>276</v>
      </c>
      <c r="M742" t="s">
        <v>17</v>
      </c>
      <c r="N742">
        <f t="shared" si="33"/>
        <v>96.481999999999999</v>
      </c>
      <c r="O742" t="str">
        <f t="shared" si="34"/>
        <v>January</v>
      </c>
      <c r="P742" t="str">
        <f t="shared" si="35"/>
        <v>Weekday</v>
      </c>
    </row>
    <row r="743" spans="1:16" x14ac:dyDescent="0.3">
      <c r="A743" s="1">
        <v>42382</v>
      </c>
      <c r="B743">
        <v>9</v>
      </c>
      <c r="C743">
        <v>1.66</v>
      </c>
      <c r="D743">
        <v>5</v>
      </c>
      <c r="E743">
        <v>41.7</v>
      </c>
      <c r="F743">
        <v>15</v>
      </c>
      <c r="G743">
        <v>0</v>
      </c>
      <c r="H743">
        <v>1</v>
      </c>
      <c r="I743">
        <v>2</v>
      </c>
      <c r="J743">
        <v>2016</v>
      </c>
      <c r="K743">
        <v>1</v>
      </c>
      <c r="L743">
        <v>276</v>
      </c>
      <c r="M743" t="s">
        <v>18</v>
      </c>
      <c r="N743">
        <f t="shared" si="33"/>
        <v>75.36</v>
      </c>
      <c r="O743" t="str">
        <f t="shared" si="34"/>
        <v>January</v>
      </c>
      <c r="P743" t="str">
        <f t="shared" si="35"/>
        <v>Weekday</v>
      </c>
    </row>
    <row r="744" spans="1:16" x14ac:dyDescent="0.3">
      <c r="A744" s="1">
        <v>42383</v>
      </c>
      <c r="B744">
        <v>2</v>
      </c>
      <c r="C744">
        <v>5.1550000000000002</v>
      </c>
      <c r="D744">
        <v>6</v>
      </c>
      <c r="E744">
        <v>69</v>
      </c>
      <c r="F744">
        <v>18</v>
      </c>
      <c r="G744">
        <v>0</v>
      </c>
      <c r="H744">
        <v>8</v>
      </c>
      <c r="I744">
        <v>2</v>
      </c>
      <c r="J744">
        <v>2016</v>
      </c>
      <c r="K744">
        <v>1</v>
      </c>
      <c r="L744">
        <v>276</v>
      </c>
      <c r="M744" t="s">
        <v>12</v>
      </c>
      <c r="N744">
        <f t="shared" si="33"/>
        <v>110.155</v>
      </c>
      <c r="O744" t="str">
        <f t="shared" si="34"/>
        <v>January</v>
      </c>
      <c r="P744" t="str">
        <f t="shared" si="35"/>
        <v>Weekday</v>
      </c>
    </row>
    <row r="745" spans="1:16" x14ac:dyDescent="0.3">
      <c r="A745" s="1">
        <v>42384</v>
      </c>
      <c r="B745">
        <v>8.98</v>
      </c>
      <c r="C745">
        <v>4.66</v>
      </c>
      <c r="D745">
        <v>10.6</v>
      </c>
      <c r="E745">
        <v>18.100000000000001</v>
      </c>
      <c r="F745">
        <v>8</v>
      </c>
      <c r="G745">
        <v>0</v>
      </c>
      <c r="H745">
        <v>10</v>
      </c>
      <c r="I745">
        <v>2</v>
      </c>
      <c r="J745">
        <v>2016</v>
      </c>
      <c r="K745">
        <v>1</v>
      </c>
      <c r="L745">
        <v>276</v>
      </c>
      <c r="M745" t="s">
        <v>13</v>
      </c>
      <c r="N745">
        <f t="shared" si="33"/>
        <v>62.34</v>
      </c>
      <c r="O745" t="str">
        <f t="shared" si="34"/>
        <v>January</v>
      </c>
      <c r="P745" t="str">
        <f t="shared" si="35"/>
        <v>Weekday</v>
      </c>
    </row>
    <row r="746" spans="1:16" x14ac:dyDescent="0.3">
      <c r="A746" s="1">
        <v>42385</v>
      </c>
      <c r="B746">
        <v>3.34</v>
      </c>
      <c r="C746">
        <v>5.34</v>
      </c>
      <c r="D746">
        <v>6</v>
      </c>
      <c r="E746">
        <v>63.6</v>
      </c>
      <c r="F746">
        <v>11</v>
      </c>
      <c r="G746">
        <v>0</v>
      </c>
      <c r="H746">
        <v>2</v>
      </c>
      <c r="I746">
        <v>1</v>
      </c>
      <c r="J746">
        <v>2016</v>
      </c>
      <c r="K746">
        <v>1</v>
      </c>
      <c r="L746">
        <v>276</v>
      </c>
      <c r="M746" t="s">
        <v>14</v>
      </c>
      <c r="N746">
        <f t="shared" si="33"/>
        <v>92.28</v>
      </c>
      <c r="O746" t="str">
        <f t="shared" si="34"/>
        <v>January</v>
      </c>
      <c r="P746" t="str">
        <f t="shared" si="35"/>
        <v>Weekend</v>
      </c>
    </row>
    <row r="747" spans="1:16" x14ac:dyDescent="0.3">
      <c r="A747" s="1">
        <v>42386</v>
      </c>
      <c r="B747">
        <v>7.01</v>
      </c>
      <c r="C747">
        <v>1.6040000000000001</v>
      </c>
      <c r="D747">
        <v>3.9</v>
      </c>
      <c r="E747">
        <v>46.6</v>
      </c>
      <c r="F747">
        <v>4</v>
      </c>
      <c r="G747">
        <v>0</v>
      </c>
      <c r="H747">
        <v>0</v>
      </c>
      <c r="I747">
        <v>1</v>
      </c>
      <c r="J747">
        <v>2016</v>
      </c>
      <c r="K747">
        <v>1</v>
      </c>
      <c r="L747">
        <v>276</v>
      </c>
      <c r="M747" t="s">
        <v>15</v>
      </c>
      <c r="N747">
        <f t="shared" si="33"/>
        <v>64.114000000000004</v>
      </c>
      <c r="O747" t="str">
        <f t="shared" si="34"/>
        <v>January</v>
      </c>
      <c r="P747" t="str">
        <f t="shared" si="35"/>
        <v>Weekend</v>
      </c>
    </row>
    <row r="748" spans="1:16" x14ac:dyDescent="0.3">
      <c r="A748" s="1">
        <v>42387</v>
      </c>
      <c r="B748">
        <v>3.5</v>
      </c>
      <c r="C748">
        <v>2.99</v>
      </c>
      <c r="D748">
        <v>4.3</v>
      </c>
      <c r="E748">
        <v>62.8</v>
      </c>
      <c r="F748">
        <v>3</v>
      </c>
      <c r="G748">
        <v>2</v>
      </c>
      <c r="H748">
        <v>9</v>
      </c>
      <c r="I748">
        <v>2</v>
      </c>
      <c r="J748">
        <v>2016</v>
      </c>
      <c r="K748">
        <v>1</v>
      </c>
      <c r="L748">
        <v>276</v>
      </c>
      <c r="M748" t="s">
        <v>16</v>
      </c>
      <c r="N748">
        <f t="shared" si="33"/>
        <v>89.59</v>
      </c>
      <c r="O748" t="str">
        <f t="shared" si="34"/>
        <v>January</v>
      </c>
      <c r="P748" t="str">
        <f t="shared" si="35"/>
        <v>Weekday</v>
      </c>
    </row>
    <row r="749" spans="1:16" x14ac:dyDescent="0.3">
      <c r="A749" s="1">
        <v>42388</v>
      </c>
      <c r="B749">
        <v>6</v>
      </c>
      <c r="C749">
        <v>5.66</v>
      </c>
      <c r="D749">
        <v>6</v>
      </c>
      <c r="E749">
        <v>49.8</v>
      </c>
      <c r="F749">
        <v>7</v>
      </c>
      <c r="G749">
        <v>0</v>
      </c>
      <c r="H749">
        <v>0</v>
      </c>
      <c r="I749">
        <v>3</v>
      </c>
      <c r="J749">
        <v>2016</v>
      </c>
      <c r="K749">
        <v>1</v>
      </c>
      <c r="L749">
        <v>276</v>
      </c>
      <c r="M749" t="s">
        <v>17</v>
      </c>
      <c r="N749">
        <f t="shared" si="33"/>
        <v>77.459999999999994</v>
      </c>
      <c r="O749" t="str">
        <f t="shared" si="34"/>
        <v>January</v>
      </c>
      <c r="P749" t="str">
        <f t="shared" si="35"/>
        <v>Weekday</v>
      </c>
    </row>
    <row r="750" spans="1:16" x14ac:dyDescent="0.3">
      <c r="A750" s="1">
        <v>42389</v>
      </c>
      <c r="B750">
        <v>2.3199999999999998</v>
      </c>
      <c r="C750">
        <v>3.363</v>
      </c>
      <c r="D750">
        <v>3</v>
      </c>
      <c r="E750">
        <v>15.1</v>
      </c>
      <c r="F750">
        <v>29</v>
      </c>
      <c r="G750">
        <v>3</v>
      </c>
      <c r="H750">
        <v>3</v>
      </c>
      <c r="I750">
        <v>2</v>
      </c>
      <c r="J750">
        <v>2016</v>
      </c>
      <c r="K750">
        <v>1</v>
      </c>
      <c r="L750">
        <v>276</v>
      </c>
      <c r="M750" t="s">
        <v>18</v>
      </c>
      <c r="N750">
        <f t="shared" si="33"/>
        <v>60.783000000000001</v>
      </c>
      <c r="O750" t="str">
        <f t="shared" si="34"/>
        <v>January</v>
      </c>
      <c r="P750" t="str">
        <f t="shared" si="35"/>
        <v>Weekday</v>
      </c>
    </row>
    <row r="751" spans="1:16" x14ac:dyDescent="0.3">
      <c r="A751" s="1">
        <v>42390</v>
      </c>
      <c r="B751">
        <v>5</v>
      </c>
      <c r="C751">
        <v>1.43</v>
      </c>
      <c r="D751">
        <v>1</v>
      </c>
      <c r="E751">
        <v>68.400000000000006</v>
      </c>
      <c r="F751">
        <v>8</v>
      </c>
      <c r="G751">
        <v>4</v>
      </c>
      <c r="H751">
        <v>6</v>
      </c>
      <c r="I751">
        <v>5</v>
      </c>
      <c r="J751">
        <v>2016</v>
      </c>
      <c r="K751">
        <v>1</v>
      </c>
      <c r="L751">
        <v>276</v>
      </c>
      <c r="M751" t="s">
        <v>12</v>
      </c>
      <c r="N751">
        <f t="shared" si="33"/>
        <v>98.830000000000013</v>
      </c>
      <c r="O751" t="str">
        <f t="shared" si="34"/>
        <v>January</v>
      </c>
      <c r="P751" t="str">
        <f t="shared" si="35"/>
        <v>Weekday</v>
      </c>
    </row>
    <row r="752" spans="1:16" x14ac:dyDescent="0.3">
      <c r="A752" s="1">
        <v>42391</v>
      </c>
      <c r="B752">
        <v>0.83</v>
      </c>
      <c r="C752">
        <v>7.6779999999999999</v>
      </c>
      <c r="D752">
        <v>7</v>
      </c>
      <c r="E752">
        <v>39.5</v>
      </c>
      <c r="F752">
        <v>11</v>
      </c>
      <c r="G752">
        <v>0</v>
      </c>
      <c r="H752">
        <v>10</v>
      </c>
      <c r="I752">
        <v>0</v>
      </c>
      <c r="J752">
        <v>2016</v>
      </c>
      <c r="K752">
        <v>1</v>
      </c>
      <c r="L752">
        <v>276</v>
      </c>
      <c r="M752" t="s">
        <v>13</v>
      </c>
      <c r="N752">
        <f t="shared" si="33"/>
        <v>76.007999999999996</v>
      </c>
      <c r="O752" t="str">
        <f t="shared" si="34"/>
        <v>January</v>
      </c>
      <c r="P752" t="str">
        <f t="shared" si="35"/>
        <v>Weekday</v>
      </c>
    </row>
    <row r="753" spans="1:16" x14ac:dyDescent="0.3">
      <c r="A753" s="1">
        <v>42392</v>
      </c>
      <c r="B753">
        <v>6.33</v>
      </c>
      <c r="C753">
        <v>6.1319999999999997</v>
      </c>
      <c r="D753">
        <v>7.1</v>
      </c>
      <c r="E753">
        <v>36.799999999999997</v>
      </c>
      <c r="F753">
        <v>4</v>
      </c>
      <c r="G753">
        <v>0</v>
      </c>
      <c r="H753">
        <v>6</v>
      </c>
      <c r="I753">
        <v>2</v>
      </c>
      <c r="J753">
        <v>2016</v>
      </c>
      <c r="K753">
        <v>1</v>
      </c>
      <c r="L753">
        <v>276</v>
      </c>
      <c r="M753" t="s">
        <v>14</v>
      </c>
      <c r="N753">
        <f t="shared" si="33"/>
        <v>68.361999999999995</v>
      </c>
      <c r="O753" t="str">
        <f t="shared" si="34"/>
        <v>January</v>
      </c>
      <c r="P753" t="str">
        <f t="shared" si="35"/>
        <v>Weekend</v>
      </c>
    </row>
    <row r="754" spans="1:16" x14ac:dyDescent="0.3">
      <c r="A754" s="1">
        <v>42393</v>
      </c>
      <c r="B754">
        <v>4</v>
      </c>
      <c r="C754">
        <v>6.1219999999999999</v>
      </c>
      <c r="D754">
        <v>11.3</v>
      </c>
      <c r="E754">
        <v>48.1</v>
      </c>
      <c r="F754">
        <v>3</v>
      </c>
      <c r="G754">
        <v>0</v>
      </c>
      <c r="H754">
        <v>12</v>
      </c>
      <c r="I754">
        <v>3</v>
      </c>
      <c r="J754">
        <v>2016</v>
      </c>
      <c r="K754">
        <v>1</v>
      </c>
      <c r="L754">
        <v>276</v>
      </c>
      <c r="M754" t="s">
        <v>15</v>
      </c>
      <c r="N754">
        <f t="shared" si="33"/>
        <v>87.522000000000006</v>
      </c>
      <c r="O754" t="str">
        <f t="shared" si="34"/>
        <v>January</v>
      </c>
      <c r="P754" t="str">
        <f t="shared" si="35"/>
        <v>Weekend</v>
      </c>
    </row>
    <row r="755" spans="1:16" x14ac:dyDescent="0.3">
      <c r="A755" s="1">
        <v>42394</v>
      </c>
      <c r="B755">
        <v>10.33</v>
      </c>
      <c r="C755">
        <v>4.26</v>
      </c>
      <c r="D755">
        <v>4</v>
      </c>
      <c r="E755">
        <v>46.95</v>
      </c>
      <c r="F755">
        <v>12</v>
      </c>
      <c r="G755">
        <v>2</v>
      </c>
      <c r="H755">
        <v>10</v>
      </c>
      <c r="I755">
        <v>1.5</v>
      </c>
      <c r="J755">
        <v>2016</v>
      </c>
      <c r="K755">
        <v>1</v>
      </c>
      <c r="L755">
        <v>276</v>
      </c>
      <c r="M755" t="s">
        <v>16</v>
      </c>
      <c r="N755">
        <f t="shared" si="33"/>
        <v>91.04</v>
      </c>
      <c r="O755" t="str">
        <f t="shared" si="34"/>
        <v>January</v>
      </c>
      <c r="P755" t="str">
        <f t="shared" si="35"/>
        <v>Weekday</v>
      </c>
    </row>
    <row r="756" spans="1:16" x14ac:dyDescent="0.3">
      <c r="A756" s="1">
        <v>42395</v>
      </c>
      <c r="B756">
        <v>5.68</v>
      </c>
      <c r="C756">
        <v>4.069</v>
      </c>
      <c r="D756">
        <v>8</v>
      </c>
      <c r="E756">
        <v>30.3</v>
      </c>
      <c r="F756">
        <v>9</v>
      </c>
      <c r="G756">
        <v>0</v>
      </c>
      <c r="H756">
        <v>15</v>
      </c>
      <c r="I756">
        <v>0</v>
      </c>
      <c r="J756">
        <v>2016</v>
      </c>
      <c r="K756">
        <v>1</v>
      </c>
      <c r="L756">
        <v>276</v>
      </c>
      <c r="M756" t="s">
        <v>17</v>
      </c>
      <c r="N756">
        <f t="shared" si="33"/>
        <v>72.049000000000007</v>
      </c>
      <c r="O756" t="str">
        <f t="shared" si="34"/>
        <v>January</v>
      </c>
      <c r="P756" t="str">
        <f t="shared" si="35"/>
        <v>Weekday</v>
      </c>
    </row>
    <row r="757" spans="1:16" x14ac:dyDescent="0.3">
      <c r="A757" s="1">
        <v>42396</v>
      </c>
      <c r="B757">
        <v>4.34</v>
      </c>
      <c r="C757">
        <v>4.4290000000000003</v>
      </c>
      <c r="D757">
        <v>3.4</v>
      </c>
      <c r="E757">
        <v>30.062000000000001</v>
      </c>
      <c r="F757">
        <v>18</v>
      </c>
      <c r="G757">
        <v>5</v>
      </c>
      <c r="H757">
        <v>5</v>
      </c>
      <c r="I757">
        <v>2</v>
      </c>
      <c r="J757">
        <v>2016</v>
      </c>
      <c r="K757">
        <v>1</v>
      </c>
      <c r="L757">
        <v>276</v>
      </c>
      <c r="M757" t="s">
        <v>18</v>
      </c>
      <c r="N757">
        <f t="shared" si="33"/>
        <v>72.230999999999995</v>
      </c>
      <c r="O757" t="str">
        <f t="shared" si="34"/>
        <v>January</v>
      </c>
      <c r="P757" t="str">
        <f t="shared" si="35"/>
        <v>Weekday</v>
      </c>
    </row>
    <row r="758" spans="1:16" x14ac:dyDescent="0.3">
      <c r="A758" s="1">
        <v>42397</v>
      </c>
      <c r="B758">
        <v>7.33</v>
      </c>
      <c r="C758">
        <v>6.66</v>
      </c>
      <c r="D758">
        <v>4.4000000000000004</v>
      </c>
      <c r="E758">
        <v>33</v>
      </c>
      <c r="F758">
        <v>4</v>
      </c>
      <c r="G758">
        <v>0</v>
      </c>
      <c r="H758">
        <v>4</v>
      </c>
      <c r="I758">
        <v>3</v>
      </c>
      <c r="J758">
        <v>2016</v>
      </c>
      <c r="K758">
        <v>1</v>
      </c>
      <c r="L758">
        <v>276</v>
      </c>
      <c r="M758" t="s">
        <v>12</v>
      </c>
      <c r="N758">
        <f t="shared" si="33"/>
        <v>62.39</v>
      </c>
      <c r="O758" t="str">
        <f t="shared" si="34"/>
        <v>January</v>
      </c>
      <c r="P758" t="str">
        <f t="shared" si="35"/>
        <v>Weekday</v>
      </c>
    </row>
    <row r="759" spans="1:16" x14ac:dyDescent="0.3">
      <c r="A759" s="1">
        <v>42398</v>
      </c>
      <c r="B759">
        <v>5</v>
      </c>
      <c r="C759">
        <v>8.67</v>
      </c>
      <c r="D759">
        <v>8.6</v>
      </c>
      <c r="E759">
        <v>74.400000000000006</v>
      </c>
      <c r="F759">
        <v>3</v>
      </c>
      <c r="G759">
        <v>1</v>
      </c>
      <c r="H759">
        <v>17</v>
      </c>
      <c r="I759">
        <v>2</v>
      </c>
      <c r="J759">
        <v>2016</v>
      </c>
      <c r="K759">
        <v>1</v>
      </c>
      <c r="L759">
        <v>276</v>
      </c>
      <c r="M759" t="s">
        <v>13</v>
      </c>
      <c r="N759">
        <f t="shared" si="33"/>
        <v>119.67</v>
      </c>
      <c r="O759" t="str">
        <f t="shared" si="34"/>
        <v>January</v>
      </c>
      <c r="P759" t="str">
        <f t="shared" si="35"/>
        <v>Weekday</v>
      </c>
    </row>
    <row r="760" spans="1:16" x14ac:dyDescent="0.3">
      <c r="A760" s="1">
        <v>42399</v>
      </c>
      <c r="B760">
        <v>9</v>
      </c>
      <c r="C760">
        <v>4.4290000000000003</v>
      </c>
      <c r="D760">
        <v>5.3</v>
      </c>
      <c r="E760">
        <v>47.462000000000003</v>
      </c>
      <c r="F760">
        <v>3</v>
      </c>
      <c r="G760">
        <v>2</v>
      </c>
      <c r="H760">
        <v>5</v>
      </c>
      <c r="I760">
        <v>2</v>
      </c>
      <c r="J760">
        <v>2016</v>
      </c>
      <c r="K760">
        <v>1</v>
      </c>
      <c r="L760">
        <v>276</v>
      </c>
      <c r="M760" t="s">
        <v>14</v>
      </c>
      <c r="N760">
        <f t="shared" si="33"/>
        <v>78.191000000000003</v>
      </c>
      <c r="O760" t="str">
        <f t="shared" si="34"/>
        <v>January</v>
      </c>
      <c r="P760" t="str">
        <f t="shared" si="35"/>
        <v>Weekend</v>
      </c>
    </row>
    <row r="761" spans="1:16" x14ac:dyDescent="0.3">
      <c r="A761" s="1">
        <v>42400</v>
      </c>
      <c r="B761">
        <v>4.33</v>
      </c>
      <c r="C761">
        <v>5.1429999999999998</v>
      </c>
      <c r="D761">
        <v>3.8</v>
      </c>
      <c r="E761">
        <v>78.900000000000006</v>
      </c>
      <c r="F761">
        <v>3</v>
      </c>
      <c r="G761">
        <v>0</v>
      </c>
      <c r="H761">
        <v>6</v>
      </c>
      <c r="I761">
        <v>2</v>
      </c>
      <c r="J761">
        <v>2016</v>
      </c>
      <c r="K761">
        <v>1</v>
      </c>
      <c r="L761">
        <v>276</v>
      </c>
      <c r="M761" t="s">
        <v>15</v>
      </c>
      <c r="N761">
        <f t="shared" si="33"/>
        <v>103.173</v>
      </c>
      <c r="O761" t="str">
        <f t="shared" si="34"/>
        <v>January</v>
      </c>
      <c r="P761" t="str">
        <f t="shared" si="35"/>
        <v>Weekend</v>
      </c>
    </row>
    <row r="762" spans="1:16" x14ac:dyDescent="0.3">
      <c r="A762" s="1">
        <v>42401</v>
      </c>
      <c r="B762">
        <v>6.34</v>
      </c>
      <c r="C762">
        <v>5</v>
      </c>
      <c r="D762">
        <v>7.1</v>
      </c>
      <c r="E762">
        <v>18</v>
      </c>
      <c r="F762">
        <v>7</v>
      </c>
      <c r="G762">
        <v>0</v>
      </c>
      <c r="H762">
        <v>6</v>
      </c>
      <c r="I762">
        <v>1</v>
      </c>
      <c r="J762">
        <v>2016</v>
      </c>
      <c r="K762">
        <v>2</v>
      </c>
      <c r="L762">
        <v>276</v>
      </c>
      <c r="M762" t="s">
        <v>16</v>
      </c>
      <c r="N762">
        <f t="shared" si="33"/>
        <v>50.44</v>
      </c>
      <c r="O762" t="str">
        <f t="shared" si="34"/>
        <v>February</v>
      </c>
      <c r="P762" t="str">
        <f t="shared" si="35"/>
        <v>Weekday</v>
      </c>
    </row>
    <row r="763" spans="1:16" x14ac:dyDescent="0.3">
      <c r="A763" s="1">
        <v>42402</v>
      </c>
      <c r="B763">
        <v>14.33</v>
      </c>
      <c r="C763">
        <v>4.8780000000000001</v>
      </c>
      <c r="D763">
        <v>1.3</v>
      </c>
      <c r="E763">
        <v>39</v>
      </c>
      <c r="F763">
        <v>6</v>
      </c>
      <c r="G763">
        <v>0</v>
      </c>
      <c r="H763">
        <v>0</v>
      </c>
      <c r="I763">
        <v>1</v>
      </c>
      <c r="J763">
        <v>2016</v>
      </c>
      <c r="K763">
        <v>2</v>
      </c>
      <c r="L763">
        <v>276</v>
      </c>
      <c r="M763" t="s">
        <v>17</v>
      </c>
      <c r="N763">
        <f t="shared" si="33"/>
        <v>66.507999999999996</v>
      </c>
      <c r="O763" t="str">
        <f t="shared" si="34"/>
        <v>February</v>
      </c>
      <c r="P763" t="str">
        <f t="shared" si="35"/>
        <v>Weekday</v>
      </c>
    </row>
    <row r="764" spans="1:16" x14ac:dyDescent="0.3">
      <c r="A764" s="1">
        <v>42403</v>
      </c>
      <c r="B764">
        <v>8</v>
      </c>
      <c r="C764">
        <v>6.6929999999999996</v>
      </c>
      <c r="D764">
        <v>11.5</v>
      </c>
      <c r="E764">
        <v>39.061999999999998</v>
      </c>
      <c r="F764">
        <v>11</v>
      </c>
      <c r="G764">
        <v>5</v>
      </c>
      <c r="H764">
        <v>0</v>
      </c>
      <c r="I764">
        <v>0</v>
      </c>
      <c r="J764">
        <v>2016</v>
      </c>
      <c r="K764">
        <v>2</v>
      </c>
      <c r="L764">
        <v>276</v>
      </c>
      <c r="M764" t="s">
        <v>18</v>
      </c>
      <c r="N764">
        <f t="shared" si="33"/>
        <v>81.254999999999995</v>
      </c>
      <c r="O764" t="str">
        <f t="shared" si="34"/>
        <v>February</v>
      </c>
      <c r="P764" t="str">
        <f t="shared" si="35"/>
        <v>Weekday</v>
      </c>
    </row>
    <row r="765" spans="1:16" x14ac:dyDescent="0.3">
      <c r="A765" s="1">
        <v>42404</v>
      </c>
      <c r="B765">
        <v>8.34</v>
      </c>
      <c r="C765">
        <v>4</v>
      </c>
      <c r="D765">
        <v>4.2</v>
      </c>
      <c r="E765">
        <v>28.8</v>
      </c>
      <c r="F765">
        <v>5</v>
      </c>
      <c r="G765">
        <v>0</v>
      </c>
      <c r="H765">
        <v>4</v>
      </c>
      <c r="I765">
        <v>4</v>
      </c>
      <c r="J765">
        <v>2016</v>
      </c>
      <c r="K765">
        <v>2</v>
      </c>
      <c r="L765">
        <v>276</v>
      </c>
      <c r="M765" t="s">
        <v>12</v>
      </c>
      <c r="N765">
        <f t="shared" si="33"/>
        <v>58.34</v>
      </c>
      <c r="O765" t="str">
        <f t="shared" si="34"/>
        <v>February</v>
      </c>
      <c r="P765" t="str">
        <f t="shared" si="35"/>
        <v>Weekday</v>
      </c>
    </row>
    <row r="766" spans="1:16" x14ac:dyDescent="0.3">
      <c r="A766" s="1">
        <v>42405</v>
      </c>
      <c r="B766">
        <v>5.66</v>
      </c>
      <c r="C766">
        <v>2</v>
      </c>
      <c r="D766">
        <v>3</v>
      </c>
      <c r="E766">
        <v>51.6</v>
      </c>
      <c r="F766">
        <v>7</v>
      </c>
      <c r="G766">
        <v>0</v>
      </c>
      <c r="H766">
        <v>3</v>
      </c>
      <c r="I766">
        <v>1</v>
      </c>
      <c r="J766">
        <v>2016</v>
      </c>
      <c r="K766">
        <v>2</v>
      </c>
      <c r="L766">
        <v>276</v>
      </c>
      <c r="M766" t="s">
        <v>13</v>
      </c>
      <c r="N766">
        <f t="shared" si="33"/>
        <v>73.260000000000005</v>
      </c>
      <c r="O766" t="str">
        <f t="shared" si="34"/>
        <v>February</v>
      </c>
      <c r="P766" t="str">
        <f t="shared" si="35"/>
        <v>Weekday</v>
      </c>
    </row>
    <row r="767" spans="1:16" x14ac:dyDescent="0.3">
      <c r="A767" s="1">
        <v>42406</v>
      </c>
      <c r="B767">
        <v>5.33</v>
      </c>
      <c r="C767">
        <v>10.33</v>
      </c>
      <c r="D767">
        <v>3</v>
      </c>
      <c r="E767">
        <v>57.161999999999999</v>
      </c>
      <c r="F767">
        <v>1</v>
      </c>
      <c r="G767">
        <v>0</v>
      </c>
      <c r="H767">
        <v>11</v>
      </c>
      <c r="I767">
        <v>2</v>
      </c>
      <c r="J767">
        <v>2016</v>
      </c>
      <c r="K767">
        <v>2</v>
      </c>
      <c r="L767">
        <v>276</v>
      </c>
      <c r="M767" t="s">
        <v>14</v>
      </c>
      <c r="N767">
        <f t="shared" si="33"/>
        <v>89.822000000000003</v>
      </c>
      <c r="O767" t="str">
        <f t="shared" si="34"/>
        <v>February</v>
      </c>
      <c r="P767" t="str">
        <f t="shared" si="35"/>
        <v>Weekend</v>
      </c>
    </row>
    <row r="768" spans="1:16" x14ac:dyDescent="0.3">
      <c r="A768" s="1">
        <v>42407</v>
      </c>
      <c r="B768">
        <v>3.66</v>
      </c>
      <c r="C768">
        <v>6.056</v>
      </c>
      <c r="D768">
        <v>4.5</v>
      </c>
      <c r="E768">
        <v>88.2</v>
      </c>
      <c r="F768">
        <v>2</v>
      </c>
      <c r="G768">
        <v>0</v>
      </c>
      <c r="H768">
        <v>13</v>
      </c>
      <c r="I768">
        <v>1</v>
      </c>
      <c r="J768">
        <v>2016</v>
      </c>
      <c r="K768">
        <v>2</v>
      </c>
      <c r="L768">
        <v>276</v>
      </c>
      <c r="M768" t="s">
        <v>15</v>
      </c>
      <c r="N768">
        <f t="shared" si="33"/>
        <v>118.416</v>
      </c>
      <c r="O768" t="str">
        <f t="shared" si="34"/>
        <v>February</v>
      </c>
      <c r="P768" t="str">
        <f t="shared" si="35"/>
        <v>Weekend</v>
      </c>
    </row>
    <row r="769" spans="1:16" x14ac:dyDescent="0.3">
      <c r="A769" s="1">
        <v>42408</v>
      </c>
      <c r="B769">
        <v>6.33</v>
      </c>
      <c r="C769">
        <v>6.99</v>
      </c>
      <c r="D769">
        <v>5.5</v>
      </c>
      <c r="E769">
        <v>28.038</v>
      </c>
      <c r="F769">
        <v>5</v>
      </c>
      <c r="G769">
        <v>0</v>
      </c>
      <c r="H769">
        <v>23</v>
      </c>
      <c r="I769">
        <v>1</v>
      </c>
      <c r="J769">
        <v>2016</v>
      </c>
      <c r="K769">
        <v>2</v>
      </c>
      <c r="L769">
        <v>276</v>
      </c>
      <c r="M769" t="s">
        <v>16</v>
      </c>
      <c r="N769">
        <f t="shared" si="33"/>
        <v>75.858000000000004</v>
      </c>
      <c r="O769" t="str">
        <f t="shared" si="34"/>
        <v>February</v>
      </c>
      <c r="P769" t="str">
        <f t="shared" si="35"/>
        <v>Weekday</v>
      </c>
    </row>
    <row r="770" spans="1:16" x14ac:dyDescent="0.3">
      <c r="A770" s="1">
        <v>42409</v>
      </c>
      <c r="B770">
        <v>7</v>
      </c>
      <c r="C770">
        <v>3.33</v>
      </c>
      <c r="D770">
        <v>4.4000000000000004</v>
      </c>
      <c r="E770">
        <v>47.7</v>
      </c>
      <c r="F770">
        <v>16</v>
      </c>
      <c r="G770">
        <v>2</v>
      </c>
      <c r="H770">
        <v>1</v>
      </c>
      <c r="I770">
        <v>2</v>
      </c>
      <c r="J770">
        <v>2016</v>
      </c>
      <c r="K770">
        <v>2</v>
      </c>
      <c r="L770">
        <v>276</v>
      </c>
      <c r="M770" t="s">
        <v>17</v>
      </c>
      <c r="N770">
        <f t="shared" si="33"/>
        <v>83.43</v>
      </c>
      <c r="O770" t="str">
        <f t="shared" si="34"/>
        <v>February</v>
      </c>
      <c r="P770" t="str">
        <f t="shared" si="35"/>
        <v>Weekday</v>
      </c>
    </row>
    <row r="771" spans="1:16" x14ac:dyDescent="0.3">
      <c r="A771" s="1">
        <v>42410</v>
      </c>
      <c r="B771">
        <v>4.34</v>
      </c>
      <c r="C771">
        <v>4.7030000000000003</v>
      </c>
      <c r="D771">
        <v>7.2</v>
      </c>
      <c r="E771">
        <v>34.1</v>
      </c>
      <c r="F771">
        <v>29</v>
      </c>
      <c r="G771">
        <v>0</v>
      </c>
      <c r="H771">
        <v>4</v>
      </c>
      <c r="I771">
        <v>2</v>
      </c>
      <c r="J771">
        <v>2016</v>
      </c>
      <c r="K771">
        <v>2</v>
      </c>
      <c r="L771">
        <v>276</v>
      </c>
      <c r="M771" t="s">
        <v>18</v>
      </c>
      <c r="N771">
        <f t="shared" ref="N771:N834" si="36">SUM(B771:I771)</f>
        <v>85.343000000000004</v>
      </c>
      <c r="O771" t="str">
        <f t="shared" ref="O771:O834" si="37">TEXT(A771,"mmmm")</f>
        <v>February</v>
      </c>
      <c r="P771" t="str">
        <f t="shared" ref="P771:P834" si="38">IF(OR(M771="Saturday",M771="Sunday"),"Weekend","Weekday")</f>
        <v>Weekday</v>
      </c>
    </row>
    <row r="772" spans="1:16" x14ac:dyDescent="0.3">
      <c r="A772" s="1">
        <v>42411</v>
      </c>
      <c r="B772">
        <v>1.66</v>
      </c>
      <c r="C772">
        <v>4.1559999999999997</v>
      </c>
      <c r="D772">
        <v>2.7</v>
      </c>
      <c r="E772">
        <v>38.1</v>
      </c>
      <c r="F772">
        <v>10</v>
      </c>
      <c r="G772">
        <v>1</v>
      </c>
      <c r="H772">
        <v>13</v>
      </c>
      <c r="I772">
        <v>4</v>
      </c>
      <c r="J772">
        <v>2016</v>
      </c>
      <c r="K772">
        <v>2</v>
      </c>
      <c r="L772">
        <v>276</v>
      </c>
      <c r="M772" t="s">
        <v>12</v>
      </c>
      <c r="N772">
        <f t="shared" si="36"/>
        <v>74.616</v>
      </c>
      <c r="O772" t="str">
        <f t="shared" si="37"/>
        <v>February</v>
      </c>
      <c r="P772" t="str">
        <f t="shared" si="38"/>
        <v>Weekday</v>
      </c>
    </row>
    <row r="773" spans="1:16" x14ac:dyDescent="0.3">
      <c r="A773" s="1">
        <v>42412</v>
      </c>
      <c r="B773">
        <v>5.99</v>
      </c>
      <c r="C773">
        <v>6.4290000000000003</v>
      </c>
      <c r="D773">
        <v>8.5</v>
      </c>
      <c r="E773">
        <v>60.674999999999997</v>
      </c>
      <c r="F773">
        <v>4</v>
      </c>
      <c r="G773">
        <v>0</v>
      </c>
      <c r="H773">
        <v>20</v>
      </c>
      <c r="I773">
        <v>1</v>
      </c>
      <c r="J773">
        <v>2016</v>
      </c>
      <c r="K773">
        <v>2</v>
      </c>
      <c r="L773">
        <v>276</v>
      </c>
      <c r="M773" t="s">
        <v>13</v>
      </c>
      <c r="N773">
        <f t="shared" si="36"/>
        <v>106.59399999999999</v>
      </c>
      <c r="O773" t="str">
        <f t="shared" si="37"/>
        <v>February</v>
      </c>
      <c r="P773" t="str">
        <f t="shared" si="38"/>
        <v>Weekday</v>
      </c>
    </row>
    <row r="774" spans="1:16" x14ac:dyDescent="0.3">
      <c r="A774" s="1">
        <v>42413</v>
      </c>
      <c r="B774">
        <v>2.67</v>
      </c>
      <c r="C774">
        <v>3.67</v>
      </c>
      <c r="D774">
        <v>5</v>
      </c>
      <c r="E774">
        <v>42.4</v>
      </c>
      <c r="F774">
        <v>2</v>
      </c>
      <c r="G774">
        <v>0</v>
      </c>
      <c r="H774">
        <v>10</v>
      </c>
      <c r="I774">
        <v>2</v>
      </c>
      <c r="J774">
        <v>2016</v>
      </c>
      <c r="K774">
        <v>2</v>
      </c>
      <c r="L774">
        <v>276</v>
      </c>
      <c r="M774" t="s">
        <v>14</v>
      </c>
      <c r="N774">
        <f t="shared" si="36"/>
        <v>67.739999999999995</v>
      </c>
      <c r="O774" t="str">
        <f t="shared" si="37"/>
        <v>February</v>
      </c>
      <c r="P774" t="str">
        <f t="shared" si="38"/>
        <v>Weekend</v>
      </c>
    </row>
    <row r="775" spans="1:16" x14ac:dyDescent="0.3">
      <c r="A775" s="1">
        <v>42414</v>
      </c>
      <c r="B775">
        <v>5.84</v>
      </c>
      <c r="C775">
        <v>7.34</v>
      </c>
      <c r="D775">
        <v>3.8</v>
      </c>
      <c r="E775">
        <v>43.6</v>
      </c>
      <c r="F775">
        <v>5</v>
      </c>
      <c r="G775">
        <v>0</v>
      </c>
      <c r="H775">
        <v>7</v>
      </c>
      <c r="I775">
        <v>4</v>
      </c>
      <c r="J775">
        <v>2016</v>
      </c>
      <c r="K775">
        <v>2</v>
      </c>
      <c r="L775">
        <v>276</v>
      </c>
      <c r="M775" t="s">
        <v>15</v>
      </c>
      <c r="N775">
        <f t="shared" si="36"/>
        <v>76.58</v>
      </c>
      <c r="O775" t="str">
        <f t="shared" si="37"/>
        <v>February</v>
      </c>
      <c r="P775" t="str">
        <f t="shared" si="38"/>
        <v>Weekend</v>
      </c>
    </row>
    <row r="776" spans="1:16" x14ac:dyDescent="0.3">
      <c r="A776" s="1">
        <v>42415</v>
      </c>
      <c r="B776">
        <v>5.33</v>
      </c>
      <c r="C776">
        <v>5.33</v>
      </c>
      <c r="D776">
        <v>5.3</v>
      </c>
      <c r="E776">
        <v>52.2</v>
      </c>
      <c r="F776">
        <v>6</v>
      </c>
      <c r="G776">
        <v>0</v>
      </c>
      <c r="H776">
        <v>0</v>
      </c>
      <c r="I776">
        <v>0</v>
      </c>
      <c r="J776">
        <v>2016</v>
      </c>
      <c r="K776">
        <v>2</v>
      </c>
      <c r="L776">
        <v>276</v>
      </c>
      <c r="M776" t="s">
        <v>16</v>
      </c>
      <c r="N776">
        <f t="shared" si="36"/>
        <v>74.16</v>
      </c>
      <c r="O776" t="str">
        <f t="shared" si="37"/>
        <v>February</v>
      </c>
      <c r="P776" t="str">
        <f t="shared" si="38"/>
        <v>Weekday</v>
      </c>
    </row>
    <row r="777" spans="1:16" x14ac:dyDescent="0.3">
      <c r="A777" s="1">
        <v>42416</v>
      </c>
      <c r="B777">
        <v>7.33</v>
      </c>
      <c r="C777">
        <v>2.3199999999999998</v>
      </c>
      <c r="D777">
        <v>3</v>
      </c>
      <c r="E777">
        <v>29</v>
      </c>
      <c r="F777">
        <v>3</v>
      </c>
      <c r="G777">
        <v>2</v>
      </c>
      <c r="H777">
        <v>9</v>
      </c>
      <c r="I777">
        <v>3</v>
      </c>
      <c r="J777">
        <v>2016</v>
      </c>
      <c r="K777">
        <v>2</v>
      </c>
      <c r="L777">
        <v>276</v>
      </c>
      <c r="M777" t="s">
        <v>17</v>
      </c>
      <c r="N777">
        <f t="shared" si="36"/>
        <v>58.65</v>
      </c>
      <c r="O777" t="str">
        <f t="shared" si="37"/>
        <v>February</v>
      </c>
      <c r="P777" t="str">
        <f t="shared" si="38"/>
        <v>Weekday</v>
      </c>
    </row>
    <row r="778" spans="1:16" x14ac:dyDescent="0.3">
      <c r="A778" s="1">
        <v>42417</v>
      </c>
      <c r="B778">
        <v>3</v>
      </c>
      <c r="C778">
        <v>5</v>
      </c>
      <c r="D778">
        <v>4</v>
      </c>
      <c r="E778">
        <v>26.6</v>
      </c>
      <c r="F778">
        <v>12</v>
      </c>
      <c r="G778">
        <v>1</v>
      </c>
      <c r="H778">
        <v>1</v>
      </c>
      <c r="I778">
        <v>0</v>
      </c>
      <c r="J778">
        <v>2016</v>
      </c>
      <c r="K778">
        <v>2</v>
      </c>
      <c r="L778">
        <v>276</v>
      </c>
      <c r="M778" t="s">
        <v>18</v>
      </c>
      <c r="N778">
        <f t="shared" si="36"/>
        <v>52.6</v>
      </c>
      <c r="O778" t="str">
        <f t="shared" si="37"/>
        <v>February</v>
      </c>
      <c r="P778" t="str">
        <f t="shared" si="38"/>
        <v>Weekday</v>
      </c>
    </row>
    <row r="779" spans="1:16" x14ac:dyDescent="0.3">
      <c r="A779" s="1">
        <v>42418</v>
      </c>
      <c r="B779">
        <v>2.34</v>
      </c>
      <c r="C779">
        <v>1</v>
      </c>
      <c r="D779">
        <v>4.3</v>
      </c>
      <c r="E779">
        <v>43.85</v>
      </c>
      <c r="F779">
        <v>3</v>
      </c>
      <c r="G779">
        <v>0</v>
      </c>
      <c r="H779">
        <v>9</v>
      </c>
      <c r="I779">
        <v>1</v>
      </c>
      <c r="J779">
        <v>2016</v>
      </c>
      <c r="K779">
        <v>2</v>
      </c>
      <c r="L779">
        <v>276</v>
      </c>
      <c r="M779" t="s">
        <v>12</v>
      </c>
      <c r="N779">
        <f t="shared" si="36"/>
        <v>64.490000000000009</v>
      </c>
      <c r="O779" t="str">
        <f t="shared" si="37"/>
        <v>February</v>
      </c>
      <c r="P779" t="str">
        <f t="shared" si="38"/>
        <v>Weekday</v>
      </c>
    </row>
    <row r="780" spans="1:16" x14ac:dyDescent="0.3">
      <c r="A780" s="1">
        <v>42419</v>
      </c>
      <c r="B780">
        <v>4</v>
      </c>
      <c r="C780">
        <v>1.67</v>
      </c>
      <c r="D780">
        <v>4</v>
      </c>
      <c r="E780">
        <v>28.7</v>
      </c>
      <c r="F780">
        <v>18</v>
      </c>
      <c r="G780">
        <v>2</v>
      </c>
      <c r="H780">
        <v>26</v>
      </c>
      <c r="I780">
        <v>1</v>
      </c>
      <c r="J780">
        <v>2016</v>
      </c>
      <c r="K780">
        <v>2</v>
      </c>
      <c r="L780">
        <v>276</v>
      </c>
      <c r="M780" t="s">
        <v>13</v>
      </c>
      <c r="N780">
        <f t="shared" si="36"/>
        <v>85.37</v>
      </c>
      <c r="O780" t="str">
        <f t="shared" si="37"/>
        <v>February</v>
      </c>
      <c r="P780" t="str">
        <f t="shared" si="38"/>
        <v>Weekday</v>
      </c>
    </row>
    <row r="781" spans="1:16" x14ac:dyDescent="0.3">
      <c r="A781" s="1">
        <v>42420</v>
      </c>
      <c r="B781">
        <v>10.33</v>
      </c>
      <c r="C781">
        <v>4.1219999999999999</v>
      </c>
      <c r="D781">
        <v>4</v>
      </c>
      <c r="E781">
        <v>36.9</v>
      </c>
      <c r="F781">
        <v>5</v>
      </c>
      <c r="G781">
        <v>0</v>
      </c>
      <c r="H781">
        <v>8</v>
      </c>
      <c r="I781">
        <v>3</v>
      </c>
      <c r="J781">
        <v>2016</v>
      </c>
      <c r="K781">
        <v>2</v>
      </c>
      <c r="L781">
        <v>276</v>
      </c>
      <c r="M781" t="s">
        <v>14</v>
      </c>
      <c r="N781">
        <f t="shared" si="36"/>
        <v>71.352000000000004</v>
      </c>
      <c r="O781" t="str">
        <f t="shared" si="37"/>
        <v>February</v>
      </c>
      <c r="P781" t="str">
        <f t="shared" si="38"/>
        <v>Weekend</v>
      </c>
    </row>
    <row r="782" spans="1:16" x14ac:dyDescent="0.3">
      <c r="A782" s="1">
        <v>42421</v>
      </c>
      <c r="B782">
        <v>6.34</v>
      </c>
      <c r="C782">
        <v>4</v>
      </c>
      <c r="D782">
        <v>0</v>
      </c>
      <c r="E782">
        <v>55.7</v>
      </c>
      <c r="F782">
        <v>5</v>
      </c>
      <c r="G782">
        <v>2</v>
      </c>
      <c r="H782">
        <v>7</v>
      </c>
      <c r="I782">
        <v>4</v>
      </c>
      <c r="J782">
        <v>2016</v>
      </c>
      <c r="K782">
        <v>2</v>
      </c>
      <c r="L782">
        <v>276</v>
      </c>
      <c r="M782" t="s">
        <v>15</v>
      </c>
      <c r="N782">
        <f t="shared" si="36"/>
        <v>84.04</v>
      </c>
      <c r="O782" t="str">
        <f t="shared" si="37"/>
        <v>February</v>
      </c>
      <c r="P782" t="str">
        <f t="shared" si="38"/>
        <v>Weekend</v>
      </c>
    </row>
    <row r="783" spans="1:16" x14ac:dyDescent="0.3">
      <c r="A783" s="1">
        <v>42422</v>
      </c>
      <c r="B783">
        <v>3</v>
      </c>
      <c r="C783">
        <v>5.32</v>
      </c>
      <c r="D783">
        <v>3</v>
      </c>
      <c r="E783">
        <v>51.125</v>
      </c>
      <c r="F783">
        <v>10</v>
      </c>
      <c r="G783">
        <v>0</v>
      </c>
      <c r="H783">
        <v>12</v>
      </c>
      <c r="I783">
        <v>4</v>
      </c>
      <c r="J783">
        <v>2016</v>
      </c>
      <c r="K783">
        <v>2</v>
      </c>
      <c r="L783">
        <v>276</v>
      </c>
      <c r="M783" t="s">
        <v>16</v>
      </c>
      <c r="N783">
        <f t="shared" si="36"/>
        <v>88.444999999999993</v>
      </c>
      <c r="O783" t="str">
        <f t="shared" si="37"/>
        <v>February</v>
      </c>
      <c r="P783" t="str">
        <f t="shared" si="38"/>
        <v>Weekday</v>
      </c>
    </row>
    <row r="784" spans="1:16" x14ac:dyDescent="0.3">
      <c r="A784" s="1">
        <v>42423</v>
      </c>
      <c r="B784">
        <v>3</v>
      </c>
      <c r="C784">
        <v>2.33</v>
      </c>
      <c r="D784">
        <v>2.6</v>
      </c>
      <c r="E784">
        <v>41.3</v>
      </c>
      <c r="F784">
        <v>11</v>
      </c>
      <c r="G784">
        <v>0</v>
      </c>
      <c r="H784">
        <v>15</v>
      </c>
      <c r="I784">
        <v>3</v>
      </c>
      <c r="J784">
        <v>2016</v>
      </c>
      <c r="K784">
        <v>2</v>
      </c>
      <c r="L784">
        <v>276</v>
      </c>
      <c r="M784" t="s">
        <v>17</v>
      </c>
      <c r="N784">
        <f t="shared" si="36"/>
        <v>78.22999999999999</v>
      </c>
      <c r="O784" t="str">
        <f t="shared" si="37"/>
        <v>February</v>
      </c>
      <c r="P784" t="str">
        <f t="shared" si="38"/>
        <v>Weekday</v>
      </c>
    </row>
    <row r="785" spans="1:16" x14ac:dyDescent="0.3">
      <c r="A785" s="1">
        <v>42424</v>
      </c>
      <c r="B785">
        <v>7.66</v>
      </c>
      <c r="C785">
        <v>2.33</v>
      </c>
      <c r="D785">
        <v>2.1</v>
      </c>
      <c r="E785">
        <v>35</v>
      </c>
      <c r="F785">
        <v>6</v>
      </c>
      <c r="G785">
        <v>2</v>
      </c>
      <c r="H785">
        <v>5</v>
      </c>
      <c r="I785">
        <v>1</v>
      </c>
      <c r="J785">
        <v>2016</v>
      </c>
      <c r="K785">
        <v>2</v>
      </c>
      <c r="L785">
        <v>276</v>
      </c>
      <c r="M785" t="s">
        <v>18</v>
      </c>
      <c r="N785">
        <f t="shared" si="36"/>
        <v>61.09</v>
      </c>
      <c r="O785" t="str">
        <f t="shared" si="37"/>
        <v>February</v>
      </c>
      <c r="P785" t="str">
        <f t="shared" si="38"/>
        <v>Weekday</v>
      </c>
    </row>
    <row r="786" spans="1:16" x14ac:dyDescent="0.3">
      <c r="A786" s="1">
        <v>42425</v>
      </c>
      <c r="B786">
        <v>7.99</v>
      </c>
      <c r="C786">
        <v>3.99</v>
      </c>
      <c r="D786">
        <v>5</v>
      </c>
      <c r="E786">
        <v>41</v>
      </c>
      <c r="F786">
        <v>22</v>
      </c>
      <c r="G786">
        <v>1</v>
      </c>
      <c r="H786">
        <v>4</v>
      </c>
      <c r="I786">
        <v>3</v>
      </c>
      <c r="J786">
        <v>2016</v>
      </c>
      <c r="K786">
        <v>2</v>
      </c>
      <c r="L786">
        <v>276</v>
      </c>
      <c r="M786" t="s">
        <v>12</v>
      </c>
      <c r="N786">
        <f t="shared" si="36"/>
        <v>87.98</v>
      </c>
      <c r="O786" t="str">
        <f t="shared" si="37"/>
        <v>February</v>
      </c>
      <c r="P786" t="str">
        <f t="shared" si="38"/>
        <v>Weekday</v>
      </c>
    </row>
    <row r="787" spans="1:16" x14ac:dyDescent="0.3">
      <c r="A787" s="1">
        <v>42426</v>
      </c>
      <c r="B787">
        <v>5</v>
      </c>
      <c r="C787">
        <v>5.8479999999999999</v>
      </c>
      <c r="D787">
        <v>4.5</v>
      </c>
      <c r="E787">
        <v>28.55</v>
      </c>
      <c r="F787">
        <v>6</v>
      </c>
      <c r="G787">
        <v>2</v>
      </c>
      <c r="H787">
        <v>0</v>
      </c>
      <c r="I787">
        <v>1</v>
      </c>
      <c r="J787">
        <v>2016</v>
      </c>
      <c r="K787">
        <v>2</v>
      </c>
      <c r="L787">
        <v>276</v>
      </c>
      <c r="M787" t="s">
        <v>13</v>
      </c>
      <c r="N787">
        <f t="shared" si="36"/>
        <v>52.897999999999996</v>
      </c>
      <c r="O787" t="str">
        <f t="shared" si="37"/>
        <v>February</v>
      </c>
      <c r="P787" t="str">
        <f t="shared" si="38"/>
        <v>Weekday</v>
      </c>
    </row>
    <row r="788" spans="1:16" x14ac:dyDescent="0.3">
      <c r="A788" s="1">
        <v>42427</v>
      </c>
      <c r="B788">
        <v>8</v>
      </c>
      <c r="C788">
        <v>7</v>
      </c>
      <c r="D788">
        <v>6.6</v>
      </c>
      <c r="E788">
        <v>25.8</v>
      </c>
      <c r="F788">
        <v>3</v>
      </c>
      <c r="G788">
        <v>0</v>
      </c>
      <c r="H788">
        <v>5</v>
      </c>
      <c r="I788">
        <v>2</v>
      </c>
      <c r="J788">
        <v>2016</v>
      </c>
      <c r="K788">
        <v>2</v>
      </c>
      <c r="L788">
        <v>276</v>
      </c>
      <c r="M788" t="s">
        <v>14</v>
      </c>
      <c r="N788">
        <f t="shared" si="36"/>
        <v>57.400000000000006</v>
      </c>
      <c r="O788" t="str">
        <f t="shared" si="37"/>
        <v>February</v>
      </c>
      <c r="P788" t="str">
        <f t="shared" si="38"/>
        <v>Weekend</v>
      </c>
    </row>
    <row r="789" spans="1:16" x14ac:dyDescent="0.3">
      <c r="A789" s="1">
        <v>42428</v>
      </c>
      <c r="B789">
        <v>8</v>
      </c>
      <c r="C789">
        <v>4.0330000000000004</v>
      </c>
      <c r="D789">
        <v>10.1</v>
      </c>
      <c r="E789">
        <v>66.5</v>
      </c>
      <c r="F789">
        <v>6</v>
      </c>
      <c r="G789">
        <v>0</v>
      </c>
      <c r="H789">
        <v>26</v>
      </c>
      <c r="I789">
        <v>5</v>
      </c>
      <c r="J789">
        <v>2016</v>
      </c>
      <c r="K789">
        <v>2</v>
      </c>
      <c r="L789">
        <v>276</v>
      </c>
      <c r="M789" t="s">
        <v>15</v>
      </c>
      <c r="N789">
        <f t="shared" si="36"/>
        <v>125.63300000000001</v>
      </c>
      <c r="O789" t="str">
        <f t="shared" si="37"/>
        <v>February</v>
      </c>
      <c r="P789" t="str">
        <f t="shared" si="38"/>
        <v>Weekend</v>
      </c>
    </row>
    <row r="790" spans="1:16" x14ac:dyDescent="0.3">
      <c r="A790" s="1">
        <v>42429</v>
      </c>
      <c r="B790">
        <v>7</v>
      </c>
      <c r="C790">
        <v>7.66</v>
      </c>
      <c r="D790">
        <v>4</v>
      </c>
      <c r="E790">
        <v>46.2</v>
      </c>
      <c r="F790">
        <v>13</v>
      </c>
      <c r="G790">
        <v>0</v>
      </c>
      <c r="H790">
        <v>3</v>
      </c>
      <c r="I790">
        <v>1</v>
      </c>
      <c r="J790">
        <v>2016</v>
      </c>
      <c r="K790">
        <v>2</v>
      </c>
      <c r="L790">
        <v>276</v>
      </c>
      <c r="M790" t="s">
        <v>16</v>
      </c>
      <c r="N790">
        <f t="shared" si="36"/>
        <v>81.86</v>
      </c>
      <c r="O790" t="str">
        <f t="shared" si="37"/>
        <v>February</v>
      </c>
      <c r="P790" t="str">
        <f t="shared" si="38"/>
        <v>Weekday</v>
      </c>
    </row>
    <row r="791" spans="1:16" x14ac:dyDescent="0.3">
      <c r="A791" s="1">
        <v>42430</v>
      </c>
      <c r="B791">
        <v>10</v>
      </c>
      <c r="C791">
        <v>4</v>
      </c>
      <c r="D791">
        <v>2.2000000000000002</v>
      </c>
      <c r="E791">
        <v>31</v>
      </c>
      <c r="F791">
        <v>11</v>
      </c>
      <c r="G791">
        <v>2</v>
      </c>
      <c r="H791">
        <v>0</v>
      </c>
      <c r="I791">
        <v>2</v>
      </c>
      <c r="J791">
        <v>2016</v>
      </c>
      <c r="K791">
        <v>3</v>
      </c>
      <c r="L791">
        <v>276</v>
      </c>
      <c r="M791" t="s">
        <v>17</v>
      </c>
      <c r="N791">
        <f t="shared" si="36"/>
        <v>62.2</v>
      </c>
      <c r="O791" t="str">
        <f t="shared" si="37"/>
        <v>March</v>
      </c>
      <c r="P791" t="str">
        <f t="shared" si="38"/>
        <v>Weekday</v>
      </c>
    </row>
    <row r="792" spans="1:16" x14ac:dyDescent="0.3">
      <c r="A792" s="1">
        <v>42431</v>
      </c>
      <c r="B792">
        <v>3.33</v>
      </c>
      <c r="C792">
        <v>10.396000000000001</v>
      </c>
      <c r="D792">
        <v>5.3</v>
      </c>
      <c r="E792">
        <v>21.3</v>
      </c>
      <c r="F792">
        <v>15</v>
      </c>
      <c r="G792">
        <v>2</v>
      </c>
      <c r="H792">
        <v>1</v>
      </c>
      <c r="I792">
        <v>0</v>
      </c>
      <c r="J792">
        <v>2016</v>
      </c>
      <c r="K792">
        <v>3</v>
      </c>
      <c r="L792">
        <v>276</v>
      </c>
      <c r="M792" t="s">
        <v>18</v>
      </c>
      <c r="N792">
        <f t="shared" si="36"/>
        <v>58.326000000000001</v>
      </c>
      <c r="O792" t="str">
        <f t="shared" si="37"/>
        <v>March</v>
      </c>
      <c r="P792" t="str">
        <f t="shared" si="38"/>
        <v>Weekday</v>
      </c>
    </row>
    <row r="793" spans="1:16" x14ac:dyDescent="0.3">
      <c r="A793" s="1">
        <v>42432</v>
      </c>
      <c r="B793">
        <v>2.83</v>
      </c>
      <c r="C793">
        <v>2</v>
      </c>
      <c r="D793">
        <v>5</v>
      </c>
      <c r="E793">
        <v>55.8</v>
      </c>
      <c r="F793">
        <v>2</v>
      </c>
      <c r="G793">
        <v>0</v>
      </c>
      <c r="H793">
        <v>9</v>
      </c>
      <c r="I793">
        <v>4</v>
      </c>
      <c r="J793">
        <v>2016</v>
      </c>
      <c r="K793">
        <v>3</v>
      </c>
      <c r="L793">
        <v>276</v>
      </c>
      <c r="M793" t="s">
        <v>12</v>
      </c>
      <c r="N793">
        <f t="shared" si="36"/>
        <v>80.63</v>
      </c>
      <c r="O793" t="str">
        <f t="shared" si="37"/>
        <v>March</v>
      </c>
      <c r="P793" t="str">
        <f t="shared" si="38"/>
        <v>Weekday</v>
      </c>
    </row>
    <row r="794" spans="1:16" x14ac:dyDescent="0.3">
      <c r="A794" s="1">
        <v>42433</v>
      </c>
      <c r="B794">
        <v>5</v>
      </c>
      <c r="C794">
        <v>0.99</v>
      </c>
      <c r="D794">
        <v>4.4000000000000004</v>
      </c>
      <c r="E794">
        <v>26.6</v>
      </c>
      <c r="F794">
        <v>3</v>
      </c>
      <c r="G794">
        <v>0</v>
      </c>
      <c r="H794">
        <v>0</v>
      </c>
      <c r="I794">
        <v>0</v>
      </c>
      <c r="J794">
        <v>2016</v>
      </c>
      <c r="K794">
        <v>3</v>
      </c>
      <c r="L794">
        <v>276</v>
      </c>
      <c r="M794" t="s">
        <v>13</v>
      </c>
      <c r="N794">
        <f t="shared" si="36"/>
        <v>39.99</v>
      </c>
      <c r="O794" t="str">
        <f t="shared" si="37"/>
        <v>March</v>
      </c>
      <c r="P794" t="str">
        <f t="shared" si="38"/>
        <v>Weekday</v>
      </c>
    </row>
    <row r="795" spans="1:16" x14ac:dyDescent="0.3">
      <c r="A795" s="1">
        <v>42434</v>
      </c>
      <c r="B795">
        <v>5</v>
      </c>
      <c r="C795">
        <v>4.891</v>
      </c>
      <c r="D795">
        <v>8</v>
      </c>
      <c r="E795">
        <v>38</v>
      </c>
      <c r="F795">
        <v>9</v>
      </c>
      <c r="G795">
        <v>0</v>
      </c>
      <c r="H795">
        <v>10</v>
      </c>
      <c r="I795">
        <v>5</v>
      </c>
      <c r="J795">
        <v>2016</v>
      </c>
      <c r="K795">
        <v>3</v>
      </c>
      <c r="L795">
        <v>276</v>
      </c>
      <c r="M795" t="s">
        <v>14</v>
      </c>
      <c r="N795">
        <f t="shared" si="36"/>
        <v>79.890999999999991</v>
      </c>
      <c r="O795" t="str">
        <f t="shared" si="37"/>
        <v>March</v>
      </c>
      <c r="P795" t="str">
        <f t="shared" si="38"/>
        <v>Weekend</v>
      </c>
    </row>
    <row r="796" spans="1:16" x14ac:dyDescent="0.3">
      <c r="A796" s="1">
        <v>42435</v>
      </c>
      <c r="B796">
        <v>5</v>
      </c>
      <c r="C796">
        <v>8.1449999999999996</v>
      </c>
      <c r="D796">
        <v>4.9000000000000004</v>
      </c>
      <c r="E796">
        <v>79.900000000000006</v>
      </c>
      <c r="F796">
        <v>2</v>
      </c>
      <c r="G796">
        <v>0</v>
      </c>
      <c r="H796">
        <v>5</v>
      </c>
      <c r="I796">
        <v>7</v>
      </c>
      <c r="J796">
        <v>2016</v>
      </c>
      <c r="K796">
        <v>3</v>
      </c>
      <c r="L796">
        <v>276</v>
      </c>
      <c r="M796" t="s">
        <v>15</v>
      </c>
      <c r="N796">
        <f t="shared" si="36"/>
        <v>111.94500000000001</v>
      </c>
      <c r="O796" t="str">
        <f t="shared" si="37"/>
        <v>March</v>
      </c>
      <c r="P796" t="str">
        <f t="shared" si="38"/>
        <v>Weekend</v>
      </c>
    </row>
    <row r="797" spans="1:16" x14ac:dyDescent="0.3">
      <c r="A797" s="1">
        <v>42436</v>
      </c>
      <c r="B797">
        <v>5.33</v>
      </c>
      <c r="C797">
        <v>7.34</v>
      </c>
      <c r="D797">
        <v>4</v>
      </c>
      <c r="E797">
        <v>43.5</v>
      </c>
      <c r="F797">
        <v>3</v>
      </c>
      <c r="G797">
        <v>1</v>
      </c>
      <c r="H797">
        <v>6</v>
      </c>
      <c r="I797">
        <v>1</v>
      </c>
      <c r="J797">
        <v>2016</v>
      </c>
      <c r="K797">
        <v>3</v>
      </c>
      <c r="L797">
        <v>276</v>
      </c>
      <c r="M797" t="s">
        <v>16</v>
      </c>
      <c r="N797">
        <f t="shared" si="36"/>
        <v>71.17</v>
      </c>
      <c r="O797" t="str">
        <f t="shared" si="37"/>
        <v>March</v>
      </c>
      <c r="P797" t="str">
        <f t="shared" si="38"/>
        <v>Weekday</v>
      </c>
    </row>
    <row r="798" spans="1:16" x14ac:dyDescent="0.3">
      <c r="A798" s="1">
        <v>42437</v>
      </c>
      <c r="B798">
        <v>4</v>
      </c>
      <c r="C798">
        <v>6.66</v>
      </c>
      <c r="D798">
        <v>3</v>
      </c>
      <c r="E798">
        <v>44</v>
      </c>
      <c r="F798">
        <v>7</v>
      </c>
      <c r="G798">
        <v>0</v>
      </c>
      <c r="H798">
        <v>3</v>
      </c>
      <c r="I798">
        <v>3</v>
      </c>
      <c r="J798">
        <v>2016</v>
      </c>
      <c r="K798">
        <v>3</v>
      </c>
      <c r="L798">
        <v>276</v>
      </c>
      <c r="M798" t="s">
        <v>17</v>
      </c>
      <c r="N798">
        <f t="shared" si="36"/>
        <v>70.66</v>
      </c>
      <c r="O798" t="str">
        <f t="shared" si="37"/>
        <v>March</v>
      </c>
      <c r="P798" t="str">
        <f t="shared" si="38"/>
        <v>Weekday</v>
      </c>
    </row>
    <row r="799" spans="1:16" x14ac:dyDescent="0.3">
      <c r="A799" s="1">
        <v>42438</v>
      </c>
      <c r="B799">
        <v>4.34</v>
      </c>
      <c r="C799">
        <v>5.67</v>
      </c>
      <c r="D799">
        <v>7</v>
      </c>
      <c r="E799">
        <v>21.8</v>
      </c>
      <c r="F799">
        <v>7</v>
      </c>
      <c r="G799">
        <v>1</v>
      </c>
      <c r="H799">
        <v>6</v>
      </c>
      <c r="I799">
        <v>4</v>
      </c>
      <c r="J799">
        <v>2016</v>
      </c>
      <c r="K799">
        <v>3</v>
      </c>
      <c r="L799">
        <v>276</v>
      </c>
      <c r="M799" t="s">
        <v>18</v>
      </c>
      <c r="N799">
        <f t="shared" si="36"/>
        <v>56.81</v>
      </c>
      <c r="O799" t="str">
        <f t="shared" si="37"/>
        <v>March</v>
      </c>
      <c r="P799" t="str">
        <f t="shared" si="38"/>
        <v>Weekday</v>
      </c>
    </row>
    <row r="800" spans="1:16" x14ac:dyDescent="0.3">
      <c r="A800" s="1">
        <v>42439</v>
      </c>
      <c r="B800">
        <v>6.33</v>
      </c>
      <c r="C800">
        <v>10.33</v>
      </c>
      <c r="D800">
        <v>2</v>
      </c>
      <c r="E800">
        <v>23.4</v>
      </c>
      <c r="F800">
        <v>8</v>
      </c>
      <c r="G800">
        <v>0</v>
      </c>
      <c r="H800">
        <v>2</v>
      </c>
      <c r="I800">
        <v>2</v>
      </c>
      <c r="J800">
        <v>2016</v>
      </c>
      <c r="K800">
        <v>3</v>
      </c>
      <c r="L800">
        <v>276</v>
      </c>
      <c r="M800" t="s">
        <v>12</v>
      </c>
      <c r="N800">
        <f t="shared" si="36"/>
        <v>54.06</v>
      </c>
      <c r="O800" t="str">
        <f t="shared" si="37"/>
        <v>March</v>
      </c>
      <c r="P800" t="str">
        <f t="shared" si="38"/>
        <v>Weekday</v>
      </c>
    </row>
    <row r="801" spans="1:16" x14ac:dyDescent="0.3">
      <c r="A801" s="1">
        <v>42440</v>
      </c>
      <c r="B801">
        <v>3.33</v>
      </c>
      <c r="C801">
        <v>4.3630000000000004</v>
      </c>
      <c r="D801">
        <v>6.2</v>
      </c>
      <c r="E801">
        <v>22</v>
      </c>
      <c r="F801">
        <v>8</v>
      </c>
      <c r="G801">
        <v>0</v>
      </c>
      <c r="H801">
        <v>18</v>
      </c>
      <c r="I801">
        <v>1</v>
      </c>
      <c r="J801">
        <v>2016</v>
      </c>
      <c r="K801">
        <v>3</v>
      </c>
      <c r="L801">
        <v>276</v>
      </c>
      <c r="M801" t="s">
        <v>13</v>
      </c>
      <c r="N801">
        <f t="shared" si="36"/>
        <v>62.893000000000001</v>
      </c>
      <c r="O801" t="str">
        <f t="shared" si="37"/>
        <v>March</v>
      </c>
      <c r="P801" t="str">
        <f t="shared" si="38"/>
        <v>Weekday</v>
      </c>
    </row>
    <row r="802" spans="1:16" x14ac:dyDescent="0.3">
      <c r="A802" s="1">
        <v>42441</v>
      </c>
      <c r="B802">
        <v>3</v>
      </c>
      <c r="C802">
        <v>6.3730000000000002</v>
      </c>
      <c r="D802">
        <v>1.4</v>
      </c>
      <c r="E802">
        <v>41.8</v>
      </c>
      <c r="F802">
        <v>4</v>
      </c>
      <c r="G802">
        <v>0</v>
      </c>
      <c r="H802">
        <v>23</v>
      </c>
      <c r="I802">
        <v>1</v>
      </c>
      <c r="J802">
        <v>2016</v>
      </c>
      <c r="K802">
        <v>3</v>
      </c>
      <c r="L802">
        <v>276</v>
      </c>
      <c r="M802" t="s">
        <v>14</v>
      </c>
      <c r="N802">
        <f t="shared" si="36"/>
        <v>80.573000000000008</v>
      </c>
      <c r="O802" t="str">
        <f t="shared" si="37"/>
        <v>March</v>
      </c>
      <c r="P802" t="str">
        <f t="shared" si="38"/>
        <v>Weekend</v>
      </c>
    </row>
    <row r="803" spans="1:16" x14ac:dyDescent="0.3">
      <c r="A803" s="1">
        <v>42442</v>
      </c>
      <c r="B803">
        <v>2.5</v>
      </c>
      <c r="C803">
        <v>4.1340000000000003</v>
      </c>
      <c r="D803">
        <v>1.5</v>
      </c>
      <c r="E803">
        <v>59.2</v>
      </c>
      <c r="F803">
        <v>4</v>
      </c>
      <c r="G803">
        <v>0</v>
      </c>
      <c r="H803">
        <v>4</v>
      </c>
      <c r="I803">
        <v>0.34</v>
      </c>
      <c r="J803">
        <v>2016</v>
      </c>
      <c r="K803">
        <v>3</v>
      </c>
      <c r="L803">
        <v>276</v>
      </c>
      <c r="M803" t="s">
        <v>15</v>
      </c>
      <c r="N803">
        <f t="shared" si="36"/>
        <v>75.674000000000007</v>
      </c>
      <c r="O803" t="str">
        <f t="shared" si="37"/>
        <v>March</v>
      </c>
      <c r="P803" t="str">
        <f t="shared" si="38"/>
        <v>Weekend</v>
      </c>
    </row>
    <row r="804" spans="1:16" x14ac:dyDescent="0.3">
      <c r="A804" s="1">
        <v>42443</v>
      </c>
      <c r="B804">
        <v>4.33</v>
      </c>
      <c r="C804">
        <v>3.32</v>
      </c>
      <c r="D804">
        <v>10</v>
      </c>
      <c r="E804">
        <v>35.9</v>
      </c>
      <c r="F804">
        <v>12</v>
      </c>
      <c r="G804">
        <v>0</v>
      </c>
      <c r="H804">
        <v>23</v>
      </c>
      <c r="I804">
        <v>1</v>
      </c>
      <c r="J804">
        <v>2016</v>
      </c>
      <c r="K804">
        <v>3</v>
      </c>
      <c r="L804">
        <v>276</v>
      </c>
      <c r="M804" t="s">
        <v>16</v>
      </c>
      <c r="N804">
        <f t="shared" si="36"/>
        <v>89.55</v>
      </c>
      <c r="O804" t="str">
        <f t="shared" si="37"/>
        <v>March</v>
      </c>
      <c r="P804" t="str">
        <f t="shared" si="38"/>
        <v>Weekday</v>
      </c>
    </row>
    <row r="805" spans="1:16" x14ac:dyDescent="0.3">
      <c r="A805" s="1">
        <v>42444</v>
      </c>
      <c r="B805">
        <v>5.33</v>
      </c>
      <c r="C805">
        <v>3.32</v>
      </c>
      <c r="D805">
        <v>2</v>
      </c>
      <c r="E805">
        <v>24</v>
      </c>
      <c r="F805">
        <v>7</v>
      </c>
      <c r="G805">
        <v>0</v>
      </c>
      <c r="H805">
        <v>18</v>
      </c>
      <c r="I805">
        <v>3</v>
      </c>
      <c r="J805">
        <v>2016</v>
      </c>
      <c r="K805">
        <v>3</v>
      </c>
      <c r="L805">
        <v>276</v>
      </c>
      <c r="M805" t="s">
        <v>17</v>
      </c>
      <c r="N805">
        <f t="shared" si="36"/>
        <v>62.65</v>
      </c>
      <c r="O805" t="str">
        <f t="shared" si="37"/>
        <v>March</v>
      </c>
      <c r="P805" t="str">
        <f t="shared" si="38"/>
        <v>Weekday</v>
      </c>
    </row>
    <row r="806" spans="1:16" x14ac:dyDescent="0.3">
      <c r="A806" s="1">
        <v>42445</v>
      </c>
      <c r="B806">
        <v>5.33</v>
      </c>
      <c r="C806">
        <v>13.34</v>
      </c>
      <c r="D806">
        <v>5.7</v>
      </c>
      <c r="E806">
        <v>37.4</v>
      </c>
      <c r="F806">
        <v>16</v>
      </c>
      <c r="G806">
        <v>0</v>
      </c>
      <c r="H806">
        <v>4</v>
      </c>
      <c r="I806">
        <v>4</v>
      </c>
      <c r="J806">
        <v>2016</v>
      </c>
      <c r="K806">
        <v>3</v>
      </c>
      <c r="L806">
        <v>276</v>
      </c>
      <c r="M806" t="s">
        <v>18</v>
      </c>
      <c r="N806">
        <f t="shared" si="36"/>
        <v>85.77</v>
      </c>
      <c r="O806" t="str">
        <f t="shared" si="37"/>
        <v>March</v>
      </c>
      <c r="P806" t="str">
        <f t="shared" si="38"/>
        <v>Weekday</v>
      </c>
    </row>
    <row r="807" spans="1:16" x14ac:dyDescent="0.3">
      <c r="A807" s="1">
        <v>42446</v>
      </c>
      <c r="B807">
        <v>5.66</v>
      </c>
      <c r="C807">
        <v>5.3959999999999999</v>
      </c>
      <c r="D807">
        <v>5</v>
      </c>
      <c r="E807">
        <v>60.2</v>
      </c>
      <c r="F807">
        <v>10</v>
      </c>
      <c r="G807">
        <v>0</v>
      </c>
      <c r="H807">
        <v>8</v>
      </c>
      <c r="I807">
        <v>5</v>
      </c>
      <c r="J807">
        <v>2016</v>
      </c>
      <c r="K807">
        <v>3</v>
      </c>
      <c r="L807">
        <v>276</v>
      </c>
      <c r="M807" t="s">
        <v>12</v>
      </c>
      <c r="N807">
        <f t="shared" si="36"/>
        <v>99.256</v>
      </c>
      <c r="O807" t="str">
        <f t="shared" si="37"/>
        <v>March</v>
      </c>
      <c r="P807" t="str">
        <f t="shared" si="38"/>
        <v>Weekday</v>
      </c>
    </row>
    <row r="808" spans="1:16" x14ac:dyDescent="0.3">
      <c r="A808" s="1">
        <v>42447</v>
      </c>
      <c r="B808">
        <v>3.34</v>
      </c>
      <c r="C808">
        <v>5.3529999999999998</v>
      </c>
      <c r="D808">
        <v>5.2</v>
      </c>
      <c r="E808">
        <v>25.462</v>
      </c>
      <c r="F808">
        <v>15</v>
      </c>
      <c r="G808">
        <v>2</v>
      </c>
      <c r="H808">
        <v>8</v>
      </c>
      <c r="I808">
        <v>3</v>
      </c>
      <c r="J808">
        <v>2016</v>
      </c>
      <c r="K808">
        <v>3</v>
      </c>
      <c r="L808">
        <v>276</v>
      </c>
      <c r="M808" t="s">
        <v>13</v>
      </c>
      <c r="N808">
        <f t="shared" si="36"/>
        <v>67.355000000000004</v>
      </c>
      <c r="O808" t="str">
        <f t="shared" si="37"/>
        <v>March</v>
      </c>
      <c r="P808" t="str">
        <f t="shared" si="38"/>
        <v>Weekday</v>
      </c>
    </row>
    <row r="809" spans="1:16" x14ac:dyDescent="0.3">
      <c r="A809" s="1">
        <v>42448</v>
      </c>
      <c r="B809">
        <v>10.66</v>
      </c>
      <c r="C809">
        <v>8.33</v>
      </c>
      <c r="D809">
        <v>2.8</v>
      </c>
      <c r="E809">
        <v>19.5</v>
      </c>
      <c r="F809">
        <v>6</v>
      </c>
      <c r="G809">
        <v>1</v>
      </c>
      <c r="H809">
        <v>5</v>
      </c>
      <c r="I809">
        <v>5</v>
      </c>
      <c r="J809">
        <v>2016</v>
      </c>
      <c r="K809">
        <v>3</v>
      </c>
      <c r="L809">
        <v>276</v>
      </c>
      <c r="M809" t="s">
        <v>14</v>
      </c>
      <c r="N809">
        <f t="shared" si="36"/>
        <v>58.290000000000006</v>
      </c>
      <c r="O809" t="str">
        <f t="shared" si="37"/>
        <v>March</v>
      </c>
      <c r="P809" t="str">
        <f t="shared" si="38"/>
        <v>Weekend</v>
      </c>
    </row>
    <row r="810" spans="1:16" x14ac:dyDescent="0.3">
      <c r="A810" s="1">
        <v>42449</v>
      </c>
      <c r="B810">
        <v>7.99</v>
      </c>
      <c r="C810">
        <v>9.6929999999999996</v>
      </c>
      <c r="D810">
        <v>2.2000000000000002</v>
      </c>
      <c r="E810">
        <v>42.2</v>
      </c>
      <c r="F810">
        <v>1</v>
      </c>
      <c r="G810">
        <v>0</v>
      </c>
      <c r="H810">
        <v>15</v>
      </c>
      <c r="I810">
        <v>5</v>
      </c>
      <c r="J810">
        <v>2016</v>
      </c>
      <c r="K810">
        <v>3</v>
      </c>
      <c r="L810">
        <v>276</v>
      </c>
      <c r="M810" t="s">
        <v>15</v>
      </c>
      <c r="N810">
        <f t="shared" si="36"/>
        <v>83.082999999999998</v>
      </c>
      <c r="O810" t="str">
        <f t="shared" si="37"/>
        <v>March</v>
      </c>
      <c r="P810" t="str">
        <f t="shared" si="38"/>
        <v>Weekend</v>
      </c>
    </row>
    <row r="811" spans="1:16" x14ac:dyDescent="0.3">
      <c r="A811" s="1">
        <v>42450</v>
      </c>
      <c r="B811">
        <v>5</v>
      </c>
      <c r="C811">
        <v>8.0559999999999992</v>
      </c>
      <c r="D811">
        <v>6</v>
      </c>
      <c r="E811">
        <v>45.7</v>
      </c>
      <c r="F811">
        <v>11</v>
      </c>
      <c r="G811">
        <v>0</v>
      </c>
      <c r="H811">
        <v>36</v>
      </c>
      <c r="I811">
        <v>7</v>
      </c>
      <c r="J811">
        <v>2016</v>
      </c>
      <c r="K811">
        <v>3</v>
      </c>
      <c r="L811">
        <v>276</v>
      </c>
      <c r="M811" t="s">
        <v>16</v>
      </c>
      <c r="N811">
        <f t="shared" si="36"/>
        <v>118.756</v>
      </c>
      <c r="O811" t="str">
        <f t="shared" si="37"/>
        <v>March</v>
      </c>
      <c r="P811" t="str">
        <f t="shared" si="38"/>
        <v>Weekday</v>
      </c>
    </row>
    <row r="812" spans="1:16" x14ac:dyDescent="0.3">
      <c r="A812" s="1">
        <v>42451</v>
      </c>
      <c r="B812">
        <v>2.33</v>
      </c>
      <c r="C812">
        <v>0</v>
      </c>
      <c r="D812">
        <v>5</v>
      </c>
      <c r="E812">
        <v>42.188000000000002</v>
      </c>
      <c r="F812">
        <v>12</v>
      </c>
      <c r="G812">
        <v>2</v>
      </c>
      <c r="H812">
        <v>4</v>
      </c>
      <c r="I812">
        <v>2</v>
      </c>
      <c r="J812">
        <v>2016</v>
      </c>
      <c r="K812">
        <v>3</v>
      </c>
      <c r="L812">
        <v>276</v>
      </c>
      <c r="M812" t="s">
        <v>17</v>
      </c>
      <c r="N812">
        <f t="shared" si="36"/>
        <v>69.518000000000001</v>
      </c>
      <c r="O812" t="str">
        <f t="shared" si="37"/>
        <v>March</v>
      </c>
      <c r="P812" t="str">
        <f t="shared" si="38"/>
        <v>Weekday</v>
      </c>
    </row>
    <row r="813" spans="1:16" x14ac:dyDescent="0.3">
      <c r="A813" s="1">
        <v>42452</v>
      </c>
      <c r="B813">
        <v>4</v>
      </c>
      <c r="C813">
        <v>3</v>
      </c>
      <c r="D813">
        <v>6</v>
      </c>
      <c r="E813">
        <v>24.25</v>
      </c>
      <c r="F813">
        <v>22</v>
      </c>
      <c r="G813">
        <v>1</v>
      </c>
      <c r="H813">
        <v>0</v>
      </c>
      <c r="I813">
        <v>3</v>
      </c>
      <c r="J813">
        <v>2016</v>
      </c>
      <c r="K813">
        <v>3</v>
      </c>
      <c r="L813">
        <v>276</v>
      </c>
      <c r="M813" t="s">
        <v>18</v>
      </c>
      <c r="N813">
        <f t="shared" si="36"/>
        <v>63.25</v>
      </c>
      <c r="O813" t="str">
        <f t="shared" si="37"/>
        <v>March</v>
      </c>
      <c r="P813" t="str">
        <f t="shared" si="38"/>
        <v>Weekday</v>
      </c>
    </row>
    <row r="814" spans="1:16" x14ac:dyDescent="0.3">
      <c r="A814" s="1">
        <v>42453</v>
      </c>
      <c r="B814">
        <v>6.84</v>
      </c>
      <c r="C814">
        <v>2</v>
      </c>
      <c r="D814">
        <v>3</v>
      </c>
      <c r="E814">
        <v>32</v>
      </c>
      <c r="F814">
        <v>4</v>
      </c>
      <c r="G814">
        <v>0</v>
      </c>
      <c r="H814">
        <v>8</v>
      </c>
      <c r="I814">
        <v>2</v>
      </c>
      <c r="J814">
        <v>2016</v>
      </c>
      <c r="K814">
        <v>3</v>
      </c>
      <c r="L814">
        <v>276</v>
      </c>
      <c r="M814" t="s">
        <v>12</v>
      </c>
      <c r="N814">
        <f t="shared" si="36"/>
        <v>57.84</v>
      </c>
      <c r="O814" t="str">
        <f t="shared" si="37"/>
        <v>March</v>
      </c>
      <c r="P814" t="str">
        <f t="shared" si="38"/>
        <v>Weekday</v>
      </c>
    </row>
    <row r="815" spans="1:16" x14ac:dyDescent="0.3">
      <c r="A815" s="1">
        <v>42454</v>
      </c>
      <c r="B815">
        <v>7</v>
      </c>
      <c r="C815">
        <v>7.35</v>
      </c>
      <c r="D815">
        <v>4.2</v>
      </c>
      <c r="E815">
        <v>42.8</v>
      </c>
      <c r="F815">
        <v>8</v>
      </c>
      <c r="G815">
        <v>0</v>
      </c>
      <c r="H815">
        <v>3</v>
      </c>
      <c r="I815">
        <v>3</v>
      </c>
      <c r="J815">
        <v>2016</v>
      </c>
      <c r="K815">
        <v>3</v>
      </c>
      <c r="L815">
        <v>276</v>
      </c>
      <c r="M815" t="s">
        <v>13</v>
      </c>
      <c r="N815">
        <f t="shared" si="36"/>
        <v>75.349999999999994</v>
      </c>
      <c r="O815" t="str">
        <f t="shared" si="37"/>
        <v>March</v>
      </c>
      <c r="P815" t="str">
        <f t="shared" si="38"/>
        <v>Weekday</v>
      </c>
    </row>
    <row r="816" spans="1:16" x14ac:dyDescent="0.3">
      <c r="A816" s="1">
        <v>42455</v>
      </c>
      <c r="B816">
        <v>2.5</v>
      </c>
      <c r="C816">
        <v>0.66</v>
      </c>
      <c r="D816">
        <v>7.5</v>
      </c>
      <c r="E816">
        <v>33.25</v>
      </c>
      <c r="F816">
        <v>4</v>
      </c>
      <c r="G816">
        <v>0</v>
      </c>
      <c r="H816">
        <v>0</v>
      </c>
      <c r="I816">
        <v>5</v>
      </c>
      <c r="J816">
        <v>2016</v>
      </c>
      <c r="K816">
        <v>3</v>
      </c>
      <c r="L816">
        <v>276</v>
      </c>
      <c r="M816" t="s">
        <v>14</v>
      </c>
      <c r="N816">
        <f t="shared" si="36"/>
        <v>52.91</v>
      </c>
      <c r="O816" t="str">
        <f t="shared" si="37"/>
        <v>March</v>
      </c>
      <c r="P816" t="str">
        <f t="shared" si="38"/>
        <v>Weekend</v>
      </c>
    </row>
    <row r="817" spans="1:16" x14ac:dyDescent="0.3">
      <c r="A817" s="1">
        <v>42456</v>
      </c>
      <c r="B817">
        <v>7.83</v>
      </c>
      <c r="C817">
        <v>5.4489999999999998</v>
      </c>
      <c r="D817">
        <v>13.7</v>
      </c>
      <c r="E817">
        <v>63.3</v>
      </c>
      <c r="F817">
        <v>11</v>
      </c>
      <c r="G817">
        <v>1</v>
      </c>
      <c r="H817">
        <v>1</v>
      </c>
      <c r="I817">
        <v>4</v>
      </c>
      <c r="J817">
        <v>2016</v>
      </c>
      <c r="K817">
        <v>3</v>
      </c>
      <c r="L817">
        <v>276</v>
      </c>
      <c r="M817" t="s">
        <v>15</v>
      </c>
      <c r="N817">
        <f t="shared" si="36"/>
        <v>107.279</v>
      </c>
      <c r="O817" t="str">
        <f t="shared" si="37"/>
        <v>March</v>
      </c>
      <c r="P817" t="str">
        <f t="shared" si="38"/>
        <v>Weekend</v>
      </c>
    </row>
    <row r="818" spans="1:16" x14ac:dyDescent="0.3">
      <c r="A818" s="1">
        <v>42457</v>
      </c>
      <c r="B818">
        <v>3.34</v>
      </c>
      <c r="C818">
        <v>2.34</v>
      </c>
      <c r="D818">
        <v>1.7</v>
      </c>
      <c r="E818">
        <v>24.6</v>
      </c>
      <c r="F818">
        <v>20</v>
      </c>
      <c r="G818">
        <v>0</v>
      </c>
      <c r="H818">
        <v>4</v>
      </c>
      <c r="I818">
        <v>4.5</v>
      </c>
      <c r="J818">
        <v>2016</v>
      </c>
      <c r="K818">
        <v>3</v>
      </c>
      <c r="L818">
        <v>276</v>
      </c>
      <c r="M818" t="s">
        <v>16</v>
      </c>
      <c r="N818">
        <f t="shared" si="36"/>
        <v>60.480000000000004</v>
      </c>
      <c r="O818" t="str">
        <f t="shared" si="37"/>
        <v>March</v>
      </c>
      <c r="P818" t="str">
        <f t="shared" si="38"/>
        <v>Weekday</v>
      </c>
    </row>
    <row r="819" spans="1:16" x14ac:dyDescent="0.3">
      <c r="A819" s="1">
        <v>42458</v>
      </c>
      <c r="B819">
        <v>5.68</v>
      </c>
      <c r="C819">
        <v>1.33</v>
      </c>
      <c r="D819">
        <v>3.2</v>
      </c>
      <c r="E819">
        <v>36.200000000000003</v>
      </c>
      <c r="F819">
        <v>4</v>
      </c>
      <c r="G819">
        <v>0</v>
      </c>
      <c r="H819">
        <v>12</v>
      </c>
      <c r="I819">
        <v>1</v>
      </c>
      <c r="J819">
        <v>2016</v>
      </c>
      <c r="K819">
        <v>3</v>
      </c>
      <c r="L819">
        <v>276</v>
      </c>
      <c r="M819" t="s">
        <v>17</v>
      </c>
      <c r="N819">
        <f t="shared" si="36"/>
        <v>63.410000000000004</v>
      </c>
      <c r="O819" t="str">
        <f t="shared" si="37"/>
        <v>March</v>
      </c>
      <c r="P819" t="str">
        <f t="shared" si="38"/>
        <v>Weekday</v>
      </c>
    </row>
    <row r="820" spans="1:16" x14ac:dyDescent="0.3">
      <c r="A820" s="1">
        <v>42459</v>
      </c>
      <c r="B820">
        <v>7.16</v>
      </c>
      <c r="C820">
        <v>2.68</v>
      </c>
      <c r="D820">
        <v>7.4</v>
      </c>
      <c r="E820">
        <v>22.2</v>
      </c>
      <c r="F820">
        <v>3</v>
      </c>
      <c r="G820">
        <v>0</v>
      </c>
      <c r="H820">
        <v>12</v>
      </c>
      <c r="I820">
        <v>5</v>
      </c>
      <c r="J820">
        <v>2016</v>
      </c>
      <c r="K820">
        <v>3</v>
      </c>
      <c r="L820">
        <v>276</v>
      </c>
      <c r="M820" t="s">
        <v>18</v>
      </c>
      <c r="N820">
        <f t="shared" si="36"/>
        <v>59.44</v>
      </c>
      <c r="O820" t="str">
        <f t="shared" si="37"/>
        <v>March</v>
      </c>
      <c r="P820" t="str">
        <f t="shared" si="38"/>
        <v>Weekday</v>
      </c>
    </row>
    <row r="821" spans="1:16" x14ac:dyDescent="0.3">
      <c r="A821" s="1">
        <v>42460</v>
      </c>
      <c r="B821">
        <v>2.33</v>
      </c>
      <c r="C821">
        <v>8.68</v>
      </c>
      <c r="D821">
        <v>2.9</v>
      </c>
      <c r="E821">
        <v>31.25</v>
      </c>
      <c r="F821">
        <v>1</v>
      </c>
      <c r="G821">
        <v>0</v>
      </c>
      <c r="H821">
        <v>5</v>
      </c>
      <c r="I821">
        <v>5</v>
      </c>
      <c r="J821">
        <v>2016</v>
      </c>
      <c r="K821">
        <v>3</v>
      </c>
      <c r="L821">
        <v>276</v>
      </c>
      <c r="M821" t="s">
        <v>12</v>
      </c>
      <c r="N821">
        <f t="shared" si="36"/>
        <v>56.16</v>
      </c>
      <c r="O821" t="str">
        <f t="shared" si="37"/>
        <v>March</v>
      </c>
      <c r="P821" t="str">
        <f t="shared" si="38"/>
        <v>Weekday</v>
      </c>
    </row>
    <row r="822" spans="1:16" x14ac:dyDescent="0.3">
      <c r="A822" s="1">
        <v>42461</v>
      </c>
      <c r="B822">
        <v>6.33</v>
      </c>
      <c r="C822">
        <v>3.01</v>
      </c>
      <c r="D822">
        <v>2.7</v>
      </c>
      <c r="E822">
        <v>50.4</v>
      </c>
      <c r="F822">
        <v>4</v>
      </c>
      <c r="G822">
        <v>0</v>
      </c>
      <c r="H822">
        <v>16</v>
      </c>
      <c r="I822">
        <v>10.5</v>
      </c>
      <c r="J822">
        <v>2016</v>
      </c>
      <c r="K822">
        <v>4</v>
      </c>
      <c r="L822">
        <v>276</v>
      </c>
      <c r="M822" t="s">
        <v>13</v>
      </c>
      <c r="N822">
        <f t="shared" si="36"/>
        <v>92.94</v>
      </c>
      <c r="O822" t="str">
        <f t="shared" si="37"/>
        <v>April</v>
      </c>
      <c r="P822" t="str">
        <f t="shared" si="38"/>
        <v>Weekday</v>
      </c>
    </row>
    <row r="823" spans="1:16" x14ac:dyDescent="0.3">
      <c r="A823" s="1">
        <v>42462</v>
      </c>
      <c r="B823">
        <v>3.67</v>
      </c>
      <c r="C823">
        <v>2</v>
      </c>
      <c r="D823">
        <v>7</v>
      </c>
      <c r="E823">
        <v>32.299999999999997</v>
      </c>
      <c r="F823">
        <v>4</v>
      </c>
      <c r="G823">
        <v>0</v>
      </c>
      <c r="H823">
        <v>19</v>
      </c>
      <c r="I823">
        <v>7.4</v>
      </c>
      <c r="J823">
        <v>2016</v>
      </c>
      <c r="K823">
        <v>4</v>
      </c>
      <c r="L823">
        <v>276</v>
      </c>
      <c r="M823" t="s">
        <v>14</v>
      </c>
      <c r="N823">
        <f t="shared" si="36"/>
        <v>75.37</v>
      </c>
      <c r="O823" t="str">
        <f t="shared" si="37"/>
        <v>April</v>
      </c>
      <c r="P823" t="str">
        <f t="shared" si="38"/>
        <v>Weekend</v>
      </c>
    </row>
    <row r="824" spans="1:16" x14ac:dyDescent="0.3">
      <c r="A824" s="1">
        <v>42463</v>
      </c>
      <c r="B824">
        <v>9.67</v>
      </c>
      <c r="C824">
        <v>7.3959999999999999</v>
      </c>
      <c r="D824">
        <v>5.3</v>
      </c>
      <c r="E824">
        <v>73.5</v>
      </c>
      <c r="F824">
        <v>5</v>
      </c>
      <c r="G824">
        <v>0</v>
      </c>
      <c r="H824">
        <v>6</v>
      </c>
      <c r="I824">
        <v>11</v>
      </c>
      <c r="J824">
        <v>2016</v>
      </c>
      <c r="K824">
        <v>4</v>
      </c>
      <c r="L824">
        <v>276</v>
      </c>
      <c r="M824" t="s">
        <v>15</v>
      </c>
      <c r="N824">
        <f t="shared" si="36"/>
        <v>117.866</v>
      </c>
      <c r="O824" t="str">
        <f t="shared" si="37"/>
        <v>April</v>
      </c>
      <c r="P824" t="str">
        <f t="shared" si="38"/>
        <v>Weekend</v>
      </c>
    </row>
    <row r="825" spans="1:16" x14ac:dyDescent="0.3">
      <c r="A825" s="1">
        <v>42464</v>
      </c>
      <c r="B825">
        <v>7</v>
      </c>
      <c r="C825">
        <v>5.2309999999999999</v>
      </c>
      <c r="D825">
        <v>5</v>
      </c>
      <c r="E825">
        <v>21.6</v>
      </c>
      <c r="F825">
        <v>3</v>
      </c>
      <c r="G825">
        <v>1</v>
      </c>
      <c r="H825">
        <v>11</v>
      </c>
      <c r="I825">
        <v>2</v>
      </c>
      <c r="J825">
        <v>2016</v>
      </c>
      <c r="K825">
        <v>4</v>
      </c>
      <c r="L825">
        <v>276</v>
      </c>
      <c r="M825" t="s">
        <v>16</v>
      </c>
      <c r="N825">
        <f t="shared" si="36"/>
        <v>55.831000000000003</v>
      </c>
      <c r="O825" t="str">
        <f t="shared" si="37"/>
        <v>April</v>
      </c>
      <c r="P825" t="str">
        <f t="shared" si="38"/>
        <v>Weekday</v>
      </c>
    </row>
    <row r="826" spans="1:16" x14ac:dyDescent="0.3">
      <c r="A826" s="1">
        <v>42465</v>
      </c>
      <c r="B826">
        <v>6</v>
      </c>
      <c r="C826">
        <v>5.33</v>
      </c>
      <c r="D826">
        <v>4</v>
      </c>
      <c r="E826">
        <v>40.299999999999997</v>
      </c>
      <c r="F826">
        <v>5</v>
      </c>
      <c r="G826">
        <v>1</v>
      </c>
      <c r="H826">
        <v>11</v>
      </c>
      <c r="I826">
        <v>12</v>
      </c>
      <c r="J826">
        <v>2016</v>
      </c>
      <c r="K826">
        <v>4</v>
      </c>
      <c r="L826">
        <v>276</v>
      </c>
      <c r="M826" t="s">
        <v>17</v>
      </c>
      <c r="N826">
        <f t="shared" si="36"/>
        <v>84.63</v>
      </c>
      <c r="O826" t="str">
        <f t="shared" si="37"/>
        <v>April</v>
      </c>
      <c r="P826" t="str">
        <f t="shared" si="38"/>
        <v>Weekday</v>
      </c>
    </row>
    <row r="827" spans="1:16" x14ac:dyDescent="0.3">
      <c r="A827" s="1">
        <v>42466</v>
      </c>
      <c r="B827">
        <v>6.66</v>
      </c>
      <c r="C827">
        <v>5.3630000000000004</v>
      </c>
      <c r="D827">
        <v>2</v>
      </c>
      <c r="E827">
        <v>15.25</v>
      </c>
      <c r="F827">
        <v>7</v>
      </c>
      <c r="G827">
        <v>0</v>
      </c>
      <c r="H827">
        <v>6</v>
      </c>
      <c r="I827">
        <v>3</v>
      </c>
      <c r="J827">
        <v>2016</v>
      </c>
      <c r="K827">
        <v>4</v>
      </c>
      <c r="L827">
        <v>276</v>
      </c>
      <c r="M827" t="s">
        <v>18</v>
      </c>
      <c r="N827">
        <f t="shared" si="36"/>
        <v>45.272999999999996</v>
      </c>
      <c r="O827" t="str">
        <f t="shared" si="37"/>
        <v>April</v>
      </c>
      <c r="P827" t="str">
        <f t="shared" si="38"/>
        <v>Weekday</v>
      </c>
    </row>
    <row r="828" spans="1:16" x14ac:dyDescent="0.3">
      <c r="A828" s="1">
        <v>42467</v>
      </c>
      <c r="B828">
        <v>6.33</v>
      </c>
      <c r="C828">
        <v>5.98</v>
      </c>
      <c r="D828">
        <v>4</v>
      </c>
      <c r="E828">
        <v>21</v>
      </c>
      <c r="F828">
        <v>7</v>
      </c>
      <c r="G828">
        <v>2</v>
      </c>
      <c r="H828">
        <v>4</v>
      </c>
      <c r="I828">
        <v>8.1999999999999993</v>
      </c>
      <c r="J828">
        <v>2016</v>
      </c>
      <c r="K828">
        <v>4</v>
      </c>
      <c r="L828">
        <v>276</v>
      </c>
      <c r="M828" t="s">
        <v>12</v>
      </c>
      <c r="N828">
        <f t="shared" si="36"/>
        <v>58.510000000000005</v>
      </c>
      <c r="O828" t="str">
        <f t="shared" si="37"/>
        <v>April</v>
      </c>
      <c r="P828" t="str">
        <f t="shared" si="38"/>
        <v>Weekday</v>
      </c>
    </row>
    <row r="829" spans="1:16" x14ac:dyDescent="0.3">
      <c r="A829" s="1">
        <v>42468</v>
      </c>
      <c r="B829">
        <v>7.67</v>
      </c>
      <c r="C829">
        <v>3.66</v>
      </c>
      <c r="D829">
        <v>5</v>
      </c>
      <c r="E829">
        <v>42.3</v>
      </c>
      <c r="F829">
        <v>2</v>
      </c>
      <c r="G829">
        <v>1</v>
      </c>
      <c r="H829">
        <v>3</v>
      </c>
      <c r="I829">
        <v>4.4000000000000004</v>
      </c>
      <c r="J829">
        <v>2016</v>
      </c>
      <c r="K829">
        <v>4</v>
      </c>
      <c r="L829">
        <v>276</v>
      </c>
      <c r="M829" t="s">
        <v>13</v>
      </c>
      <c r="N829">
        <f t="shared" si="36"/>
        <v>69.03</v>
      </c>
      <c r="O829" t="str">
        <f t="shared" si="37"/>
        <v>April</v>
      </c>
      <c r="P829" t="str">
        <f t="shared" si="38"/>
        <v>Weekday</v>
      </c>
    </row>
    <row r="830" spans="1:16" x14ac:dyDescent="0.3">
      <c r="A830" s="1">
        <v>42469</v>
      </c>
      <c r="B830">
        <v>9</v>
      </c>
      <c r="C830">
        <v>9.01</v>
      </c>
      <c r="D830">
        <v>3.1</v>
      </c>
      <c r="E830">
        <v>38.799999999999997</v>
      </c>
      <c r="F830">
        <v>7</v>
      </c>
      <c r="G830">
        <v>0</v>
      </c>
      <c r="H830">
        <v>14</v>
      </c>
      <c r="I830">
        <v>3</v>
      </c>
      <c r="J830">
        <v>2016</v>
      </c>
      <c r="K830">
        <v>4</v>
      </c>
      <c r="L830">
        <v>276</v>
      </c>
      <c r="M830" t="s">
        <v>14</v>
      </c>
      <c r="N830">
        <f t="shared" si="36"/>
        <v>83.91</v>
      </c>
      <c r="O830" t="str">
        <f t="shared" si="37"/>
        <v>April</v>
      </c>
      <c r="P830" t="str">
        <f t="shared" si="38"/>
        <v>Weekend</v>
      </c>
    </row>
    <row r="831" spans="1:16" x14ac:dyDescent="0.3">
      <c r="A831" s="1">
        <v>42470</v>
      </c>
      <c r="B831">
        <v>5</v>
      </c>
      <c r="C831">
        <v>6.67</v>
      </c>
      <c r="D831">
        <v>5.15</v>
      </c>
      <c r="E831">
        <v>21.4</v>
      </c>
      <c r="F831">
        <v>4</v>
      </c>
      <c r="G831">
        <v>1</v>
      </c>
      <c r="H831">
        <v>11</v>
      </c>
      <c r="I831">
        <v>8</v>
      </c>
      <c r="J831">
        <v>2016</v>
      </c>
      <c r="K831">
        <v>4</v>
      </c>
      <c r="L831">
        <v>276</v>
      </c>
      <c r="M831" t="s">
        <v>15</v>
      </c>
      <c r="N831">
        <f t="shared" si="36"/>
        <v>62.22</v>
      </c>
      <c r="O831" t="str">
        <f t="shared" si="37"/>
        <v>April</v>
      </c>
      <c r="P831" t="str">
        <f t="shared" si="38"/>
        <v>Weekend</v>
      </c>
    </row>
    <row r="832" spans="1:16" x14ac:dyDescent="0.3">
      <c r="A832" s="1">
        <v>42471</v>
      </c>
      <c r="B832">
        <v>0.33</v>
      </c>
      <c r="C832">
        <v>4.99</v>
      </c>
      <c r="D832">
        <v>3</v>
      </c>
      <c r="E832">
        <v>26</v>
      </c>
      <c r="F832">
        <v>11</v>
      </c>
      <c r="G832">
        <v>2</v>
      </c>
      <c r="H832">
        <v>17</v>
      </c>
      <c r="I832">
        <v>6</v>
      </c>
      <c r="J832">
        <v>2016</v>
      </c>
      <c r="K832">
        <v>4</v>
      </c>
      <c r="L832">
        <v>276</v>
      </c>
      <c r="M832" t="s">
        <v>16</v>
      </c>
      <c r="N832">
        <f t="shared" si="36"/>
        <v>70.319999999999993</v>
      </c>
      <c r="O832" t="str">
        <f t="shared" si="37"/>
        <v>April</v>
      </c>
      <c r="P832" t="str">
        <f t="shared" si="38"/>
        <v>Weekday</v>
      </c>
    </row>
    <row r="833" spans="1:16" x14ac:dyDescent="0.3">
      <c r="A833" s="1">
        <v>42472</v>
      </c>
      <c r="B833">
        <v>4.34</v>
      </c>
      <c r="C833">
        <v>4.6500000000000004</v>
      </c>
      <c r="D833">
        <v>6</v>
      </c>
      <c r="E833">
        <v>41.6</v>
      </c>
      <c r="F833">
        <v>19</v>
      </c>
      <c r="G833">
        <v>1</v>
      </c>
      <c r="H833">
        <v>2</v>
      </c>
      <c r="I833">
        <v>5</v>
      </c>
      <c r="J833">
        <v>2016</v>
      </c>
      <c r="K833">
        <v>4</v>
      </c>
      <c r="L833">
        <v>276</v>
      </c>
      <c r="M833" t="s">
        <v>17</v>
      </c>
      <c r="N833">
        <f t="shared" si="36"/>
        <v>83.59</v>
      </c>
      <c r="O833" t="str">
        <f t="shared" si="37"/>
        <v>April</v>
      </c>
      <c r="P833" t="str">
        <f t="shared" si="38"/>
        <v>Weekday</v>
      </c>
    </row>
    <row r="834" spans="1:16" x14ac:dyDescent="0.3">
      <c r="A834" s="1">
        <v>42473</v>
      </c>
      <c r="B834">
        <v>6.33</v>
      </c>
      <c r="C834">
        <v>3.0659999999999998</v>
      </c>
      <c r="D834">
        <v>3</v>
      </c>
      <c r="E834">
        <v>34</v>
      </c>
      <c r="F834">
        <v>22.333333329999999</v>
      </c>
      <c r="G834">
        <v>0</v>
      </c>
      <c r="H834">
        <v>2</v>
      </c>
      <c r="I834">
        <v>3</v>
      </c>
      <c r="J834">
        <v>2016</v>
      </c>
      <c r="K834">
        <v>4</v>
      </c>
      <c r="L834">
        <v>276</v>
      </c>
      <c r="M834" t="s">
        <v>18</v>
      </c>
      <c r="N834">
        <f t="shared" si="36"/>
        <v>73.729333330000003</v>
      </c>
      <c r="O834" t="str">
        <f t="shared" si="37"/>
        <v>April</v>
      </c>
      <c r="P834" t="str">
        <f t="shared" si="38"/>
        <v>Weekday</v>
      </c>
    </row>
    <row r="835" spans="1:16" x14ac:dyDescent="0.3">
      <c r="A835" s="1">
        <v>42474</v>
      </c>
      <c r="B835">
        <v>2.66</v>
      </c>
      <c r="C835">
        <v>2.3199999999999998</v>
      </c>
      <c r="D835">
        <v>8.5</v>
      </c>
      <c r="E835">
        <v>44.225000000000001</v>
      </c>
      <c r="F835">
        <v>9</v>
      </c>
      <c r="G835">
        <v>0</v>
      </c>
      <c r="H835">
        <v>4</v>
      </c>
      <c r="I835">
        <v>6</v>
      </c>
      <c r="J835">
        <v>2016</v>
      </c>
      <c r="K835">
        <v>4</v>
      </c>
      <c r="L835">
        <v>276</v>
      </c>
      <c r="M835" t="s">
        <v>12</v>
      </c>
      <c r="N835">
        <f t="shared" ref="N835:N898" si="39">SUM(B835:I835)</f>
        <v>76.704999999999998</v>
      </c>
      <c r="O835" t="str">
        <f t="shared" ref="O835:O898" si="40">TEXT(A835,"mmmm")</f>
        <v>April</v>
      </c>
      <c r="P835" t="str">
        <f t="shared" ref="P835:P898" si="41">IF(OR(M835="Saturday",M835="Sunday"),"Weekend","Weekday")</f>
        <v>Weekday</v>
      </c>
    </row>
    <row r="836" spans="1:16" x14ac:dyDescent="0.3">
      <c r="A836" s="1">
        <v>42475</v>
      </c>
      <c r="B836">
        <v>4.33</v>
      </c>
      <c r="C836">
        <v>3.056</v>
      </c>
      <c r="D836">
        <v>2.7</v>
      </c>
      <c r="E836">
        <v>23.6</v>
      </c>
      <c r="F836">
        <v>6</v>
      </c>
      <c r="G836">
        <v>0</v>
      </c>
      <c r="H836">
        <v>10</v>
      </c>
      <c r="I836">
        <v>4.2</v>
      </c>
      <c r="J836">
        <v>2016</v>
      </c>
      <c r="K836">
        <v>4</v>
      </c>
      <c r="L836">
        <v>276</v>
      </c>
      <c r="M836" t="s">
        <v>13</v>
      </c>
      <c r="N836">
        <f t="shared" si="39"/>
        <v>53.886000000000003</v>
      </c>
      <c r="O836" t="str">
        <f t="shared" si="40"/>
        <v>April</v>
      </c>
      <c r="P836" t="str">
        <f t="shared" si="41"/>
        <v>Weekday</v>
      </c>
    </row>
    <row r="837" spans="1:16" x14ac:dyDescent="0.3">
      <c r="A837" s="1">
        <v>42476</v>
      </c>
      <c r="B837">
        <v>5.34</v>
      </c>
      <c r="C837">
        <v>6.66</v>
      </c>
      <c r="D837">
        <v>5.3</v>
      </c>
      <c r="E837">
        <v>33</v>
      </c>
      <c r="F837">
        <v>11</v>
      </c>
      <c r="G837">
        <v>0</v>
      </c>
      <c r="H837">
        <v>8</v>
      </c>
      <c r="I837">
        <v>8.5</v>
      </c>
      <c r="J837">
        <v>2016</v>
      </c>
      <c r="K837">
        <v>4</v>
      </c>
      <c r="L837">
        <v>276</v>
      </c>
      <c r="M837" t="s">
        <v>14</v>
      </c>
      <c r="N837">
        <f t="shared" si="39"/>
        <v>77.8</v>
      </c>
      <c r="O837" t="str">
        <f t="shared" si="40"/>
        <v>April</v>
      </c>
      <c r="P837" t="str">
        <f t="shared" si="41"/>
        <v>Weekend</v>
      </c>
    </row>
    <row r="838" spans="1:16" x14ac:dyDescent="0.3">
      <c r="A838" s="1">
        <v>42477</v>
      </c>
      <c r="B838">
        <v>4.33</v>
      </c>
      <c r="C838">
        <v>8.1750000000000007</v>
      </c>
      <c r="D838">
        <v>3</v>
      </c>
      <c r="E838">
        <v>52.8</v>
      </c>
      <c r="F838">
        <v>2</v>
      </c>
      <c r="G838">
        <v>0</v>
      </c>
      <c r="H838">
        <v>7</v>
      </c>
      <c r="I838">
        <v>7.2</v>
      </c>
      <c r="J838">
        <v>2016</v>
      </c>
      <c r="K838">
        <v>4</v>
      </c>
      <c r="L838">
        <v>276</v>
      </c>
      <c r="M838" t="s">
        <v>15</v>
      </c>
      <c r="N838">
        <f t="shared" si="39"/>
        <v>84.504999999999995</v>
      </c>
      <c r="O838" t="str">
        <f t="shared" si="40"/>
        <v>April</v>
      </c>
      <c r="P838" t="str">
        <f t="shared" si="41"/>
        <v>Weekend</v>
      </c>
    </row>
    <row r="839" spans="1:16" x14ac:dyDescent="0.3">
      <c r="A839" s="1">
        <v>42478</v>
      </c>
      <c r="B839">
        <v>3.66</v>
      </c>
      <c r="C839">
        <v>2</v>
      </c>
      <c r="D839">
        <v>5</v>
      </c>
      <c r="E839">
        <v>22.1</v>
      </c>
      <c r="F839">
        <v>15</v>
      </c>
      <c r="G839">
        <v>3</v>
      </c>
      <c r="H839">
        <v>7</v>
      </c>
      <c r="I839">
        <v>7</v>
      </c>
      <c r="J839">
        <v>2016</v>
      </c>
      <c r="K839">
        <v>4</v>
      </c>
      <c r="L839">
        <v>276</v>
      </c>
      <c r="M839" t="s">
        <v>16</v>
      </c>
      <c r="N839">
        <f t="shared" si="39"/>
        <v>64.760000000000005</v>
      </c>
      <c r="O839" t="str">
        <f t="shared" si="40"/>
        <v>April</v>
      </c>
      <c r="P839" t="str">
        <f t="shared" si="41"/>
        <v>Weekday</v>
      </c>
    </row>
    <row r="840" spans="1:16" x14ac:dyDescent="0.3">
      <c r="A840" s="1">
        <v>42479</v>
      </c>
      <c r="B840">
        <v>3</v>
      </c>
      <c r="C840">
        <v>1.34</v>
      </c>
      <c r="D840">
        <v>8.3000000000000007</v>
      </c>
      <c r="E840">
        <v>24.3</v>
      </c>
      <c r="F840">
        <v>7</v>
      </c>
      <c r="G840">
        <v>0</v>
      </c>
      <c r="H840">
        <v>6</v>
      </c>
      <c r="I840">
        <v>4</v>
      </c>
      <c r="J840">
        <v>2016</v>
      </c>
      <c r="K840">
        <v>4</v>
      </c>
      <c r="L840">
        <v>276</v>
      </c>
      <c r="M840" t="s">
        <v>17</v>
      </c>
      <c r="N840">
        <f t="shared" si="39"/>
        <v>53.94</v>
      </c>
      <c r="O840" t="str">
        <f t="shared" si="40"/>
        <v>April</v>
      </c>
      <c r="P840" t="str">
        <f t="shared" si="41"/>
        <v>Weekday</v>
      </c>
    </row>
    <row r="841" spans="1:16" x14ac:dyDescent="0.3">
      <c r="A841" s="1">
        <v>42480</v>
      </c>
      <c r="B841">
        <v>2.66</v>
      </c>
      <c r="C841">
        <v>3.33</v>
      </c>
      <c r="D841">
        <v>2.4</v>
      </c>
      <c r="E841">
        <v>17.100000000000001</v>
      </c>
      <c r="F841">
        <v>11</v>
      </c>
      <c r="G841">
        <v>5</v>
      </c>
      <c r="H841">
        <v>15</v>
      </c>
      <c r="I841">
        <v>3</v>
      </c>
      <c r="J841">
        <v>2016</v>
      </c>
      <c r="K841">
        <v>4</v>
      </c>
      <c r="L841">
        <v>276</v>
      </c>
      <c r="M841" t="s">
        <v>18</v>
      </c>
      <c r="N841">
        <f t="shared" si="39"/>
        <v>59.49</v>
      </c>
      <c r="O841" t="str">
        <f t="shared" si="40"/>
        <v>April</v>
      </c>
      <c r="P841" t="str">
        <f t="shared" si="41"/>
        <v>Weekday</v>
      </c>
    </row>
    <row r="842" spans="1:16" x14ac:dyDescent="0.3">
      <c r="A842" s="1">
        <v>42481</v>
      </c>
      <c r="B842">
        <v>3</v>
      </c>
      <c r="C842">
        <v>3.464</v>
      </c>
      <c r="D842">
        <v>3</v>
      </c>
      <c r="E842">
        <v>21.6</v>
      </c>
      <c r="F842">
        <v>6</v>
      </c>
      <c r="G842">
        <v>0</v>
      </c>
      <c r="H842">
        <v>0</v>
      </c>
      <c r="I842">
        <v>2.2999999999999998</v>
      </c>
      <c r="J842">
        <v>2016</v>
      </c>
      <c r="K842">
        <v>4</v>
      </c>
      <c r="L842">
        <v>276</v>
      </c>
      <c r="M842" t="s">
        <v>12</v>
      </c>
      <c r="N842">
        <f t="shared" si="39"/>
        <v>39.363999999999997</v>
      </c>
      <c r="O842" t="str">
        <f t="shared" si="40"/>
        <v>April</v>
      </c>
      <c r="P842" t="str">
        <f t="shared" si="41"/>
        <v>Weekday</v>
      </c>
    </row>
    <row r="843" spans="1:16" x14ac:dyDescent="0.3">
      <c r="A843" s="1">
        <v>42482</v>
      </c>
      <c r="B843">
        <v>6</v>
      </c>
      <c r="C843">
        <v>5.67</v>
      </c>
      <c r="D843">
        <v>4</v>
      </c>
      <c r="E843">
        <v>21.9</v>
      </c>
      <c r="F843">
        <v>4</v>
      </c>
      <c r="G843">
        <v>0</v>
      </c>
      <c r="H843">
        <v>6</v>
      </c>
      <c r="I843">
        <v>1</v>
      </c>
      <c r="J843">
        <v>2016</v>
      </c>
      <c r="K843">
        <v>4</v>
      </c>
      <c r="L843">
        <v>276</v>
      </c>
      <c r="M843" t="s">
        <v>13</v>
      </c>
      <c r="N843">
        <f t="shared" si="39"/>
        <v>48.57</v>
      </c>
      <c r="O843" t="str">
        <f t="shared" si="40"/>
        <v>April</v>
      </c>
      <c r="P843" t="str">
        <f t="shared" si="41"/>
        <v>Weekday</v>
      </c>
    </row>
    <row r="844" spans="1:16" x14ac:dyDescent="0.3">
      <c r="A844" s="1">
        <v>42483</v>
      </c>
      <c r="B844">
        <v>13.66</v>
      </c>
      <c r="C844">
        <v>3.69</v>
      </c>
      <c r="D844">
        <v>8</v>
      </c>
      <c r="E844">
        <v>33.200000000000003</v>
      </c>
      <c r="F844">
        <v>8</v>
      </c>
      <c r="G844">
        <v>0</v>
      </c>
      <c r="H844">
        <v>0</v>
      </c>
      <c r="I844">
        <v>4.5</v>
      </c>
      <c r="J844">
        <v>2016</v>
      </c>
      <c r="K844">
        <v>4</v>
      </c>
      <c r="L844">
        <v>276</v>
      </c>
      <c r="M844" t="s">
        <v>14</v>
      </c>
      <c r="N844">
        <f t="shared" si="39"/>
        <v>71.050000000000011</v>
      </c>
      <c r="O844" t="str">
        <f t="shared" si="40"/>
        <v>April</v>
      </c>
      <c r="P844" t="str">
        <f t="shared" si="41"/>
        <v>Weekend</v>
      </c>
    </row>
    <row r="845" spans="1:16" x14ac:dyDescent="0.3">
      <c r="A845" s="1">
        <v>42484</v>
      </c>
      <c r="B845">
        <v>1</v>
      </c>
      <c r="C845">
        <v>6.66</v>
      </c>
      <c r="D845">
        <v>5.5</v>
      </c>
      <c r="E845">
        <v>36.950000000000003</v>
      </c>
      <c r="F845">
        <v>3</v>
      </c>
      <c r="G845">
        <v>0</v>
      </c>
      <c r="H845">
        <v>6</v>
      </c>
      <c r="I845">
        <v>5</v>
      </c>
      <c r="J845">
        <v>2016</v>
      </c>
      <c r="K845">
        <v>4</v>
      </c>
      <c r="L845">
        <v>276</v>
      </c>
      <c r="M845" t="s">
        <v>15</v>
      </c>
      <c r="N845">
        <f t="shared" si="39"/>
        <v>64.11</v>
      </c>
      <c r="O845" t="str">
        <f t="shared" si="40"/>
        <v>April</v>
      </c>
      <c r="P845" t="str">
        <f t="shared" si="41"/>
        <v>Weekend</v>
      </c>
    </row>
    <row r="846" spans="1:16" x14ac:dyDescent="0.3">
      <c r="A846" s="1">
        <v>42485</v>
      </c>
      <c r="B846">
        <v>6.67</v>
      </c>
      <c r="C846">
        <v>1.66</v>
      </c>
      <c r="D846">
        <v>7.25</v>
      </c>
      <c r="E846">
        <v>21.7</v>
      </c>
      <c r="F846">
        <v>20</v>
      </c>
      <c r="G846">
        <v>1</v>
      </c>
      <c r="H846">
        <v>3</v>
      </c>
      <c r="I846">
        <v>2.5</v>
      </c>
      <c r="J846">
        <v>2016</v>
      </c>
      <c r="K846">
        <v>4</v>
      </c>
      <c r="L846">
        <v>276</v>
      </c>
      <c r="M846" t="s">
        <v>16</v>
      </c>
      <c r="N846">
        <f t="shared" si="39"/>
        <v>63.78</v>
      </c>
      <c r="O846" t="str">
        <f t="shared" si="40"/>
        <v>April</v>
      </c>
      <c r="P846" t="str">
        <f t="shared" si="41"/>
        <v>Weekday</v>
      </c>
    </row>
    <row r="847" spans="1:16" x14ac:dyDescent="0.3">
      <c r="A847" s="1">
        <v>42486</v>
      </c>
      <c r="B847">
        <v>5.33</v>
      </c>
      <c r="C847">
        <v>4.99</v>
      </c>
      <c r="D847">
        <v>7</v>
      </c>
      <c r="E847">
        <v>27.2</v>
      </c>
      <c r="F847">
        <v>19</v>
      </c>
      <c r="G847">
        <v>0</v>
      </c>
      <c r="H847">
        <v>7</v>
      </c>
      <c r="I847">
        <v>2</v>
      </c>
      <c r="J847">
        <v>2016</v>
      </c>
      <c r="K847">
        <v>4</v>
      </c>
      <c r="L847">
        <v>276</v>
      </c>
      <c r="M847" t="s">
        <v>17</v>
      </c>
      <c r="N847">
        <f t="shared" si="39"/>
        <v>72.52</v>
      </c>
      <c r="O847" t="str">
        <f t="shared" si="40"/>
        <v>April</v>
      </c>
      <c r="P847" t="str">
        <f t="shared" si="41"/>
        <v>Weekday</v>
      </c>
    </row>
    <row r="848" spans="1:16" x14ac:dyDescent="0.3">
      <c r="A848" s="1">
        <v>42487</v>
      </c>
      <c r="B848">
        <v>5.66</v>
      </c>
      <c r="C848">
        <v>7.4950000000000001</v>
      </c>
      <c r="D848">
        <v>7</v>
      </c>
      <c r="E848">
        <v>47.4</v>
      </c>
      <c r="F848">
        <v>27</v>
      </c>
      <c r="G848">
        <v>0</v>
      </c>
      <c r="H848">
        <v>1</v>
      </c>
      <c r="I848">
        <v>2</v>
      </c>
      <c r="J848">
        <v>2016</v>
      </c>
      <c r="K848">
        <v>4</v>
      </c>
      <c r="L848">
        <v>276</v>
      </c>
      <c r="M848" t="s">
        <v>18</v>
      </c>
      <c r="N848">
        <f t="shared" si="39"/>
        <v>97.555000000000007</v>
      </c>
      <c r="O848" t="str">
        <f t="shared" si="40"/>
        <v>April</v>
      </c>
      <c r="P848" t="str">
        <f t="shared" si="41"/>
        <v>Weekday</v>
      </c>
    </row>
    <row r="849" spans="1:16" x14ac:dyDescent="0.3">
      <c r="A849" s="1">
        <v>42488</v>
      </c>
      <c r="B849">
        <v>4.66</v>
      </c>
      <c r="C849">
        <v>6.34</v>
      </c>
      <c r="D849">
        <v>6</v>
      </c>
      <c r="E849">
        <v>28</v>
      </c>
      <c r="F849">
        <v>17.666666670000001</v>
      </c>
      <c r="G849">
        <v>0</v>
      </c>
      <c r="H849">
        <v>12</v>
      </c>
      <c r="I849">
        <v>12</v>
      </c>
      <c r="J849">
        <v>2016</v>
      </c>
      <c r="K849">
        <v>4</v>
      </c>
      <c r="L849">
        <v>276</v>
      </c>
      <c r="M849" t="s">
        <v>12</v>
      </c>
      <c r="N849">
        <f t="shared" si="39"/>
        <v>86.666666669999998</v>
      </c>
      <c r="O849" t="str">
        <f t="shared" si="40"/>
        <v>April</v>
      </c>
      <c r="P849" t="str">
        <f t="shared" si="41"/>
        <v>Weekday</v>
      </c>
    </row>
    <row r="850" spans="1:16" x14ac:dyDescent="0.3">
      <c r="A850" s="1">
        <v>42489</v>
      </c>
      <c r="B850">
        <v>6.66</v>
      </c>
      <c r="C850">
        <v>3</v>
      </c>
      <c r="D850">
        <v>2.5</v>
      </c>
      <c r="E850">
        <v>37</v>
      </c>
      <c r="F850">
        <v>15</v>
      </c>
      <c r="G850">
        <v>0</v>
      </c>
      <c r="H850">
        <v>1</v>
      </c>
      <c r="I850">
        <v>3.2</v>
      </c>
      <c r="J850">
        <v>2016</v>
      </c>
      <c r="K850">
        <v>4</v>
      </c>
      <c r="L850">
        <v>276</v>
      </c>
      <c r="M850" t="s">
        <v>13</v>
      </c>
      <c r="N850">
        <f t="shared" si="39"/>
        <v>68.36</v>
      </c>
      <c r="O850" t="str">
        <f t="shared" si="40"/>
        <v>April</v>
      </c>
      <c r="P850" t="str">
        <f t="shared" si="41"/>
        <v>Weekday</v>
      </c>
    </row>
    <row r="851" spans="1:16" x14ac:dyDescent="0.3">
      <c r="A851" s="1">
        <v>42490</v>
      </c>
      <c r="B851">
        <v>9.66</v>
      </c>
      <c r="C851">
        <v>10.32</v>
      </c>
      <c r="D851">
        <v>7</v>
      </c>
      <c r="E851">
        <v>47.811999999999998</v>
      </c>
      <c r="F851">
        <v>11</v>
      </c>
      <c r="G851">
        <v>0</v>
      </c>
      <c r="H851">
        <v>1</v>
      </c>
      <c r="I851">
        <v>4.5</v>
      </c>
      <c r="J851">
        <v>2016</v>
      </c>
      <c r="K851">
        <v>4</v>
      </c>
      <c r="L851">
        <v>276</v>
      </c>
      <c r="M851" t="s">
        <v>14</v>
      </c>
      <c r="N851">
        <f t="shared" si="39"/>
        <v>91.292000000000002</v>
      </c>
      <c r="O851" t="str">
        <f t="shared" si="40"/>
        <v>April</v>
      </c>
      <c r="P851" t="str">
        <f t="shared" si="41"/>
        <v>Weekend</v>
      </c>
    </row>
    <row r="852" spans="1:16" x14ac:dyDescent="0.3">
      <c r="A852" s="1">
        <v>42491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2016</v>
      </c>
      <c r="K852">
        <v>5</v>
      </c>
      <c r="L852">
        <v>276</v>
      </c>
      <c r="M852" t="s">
        <v>15</v>
      </c>
      <c r="N852">
        <f t="shared" si="39"/>
        <v>0</v>
      </c>
      <c r="O852" t="str">
        <f t="shared" si="40"/>
        <v>May</v>
      </c>
      <c r="P852" t="str">
        <f t="shared" si="41"/>
        <v>Weekend</v>
      </c>
    </row>
    <row r="853" spans="1:16" x14ac:dyDescent="0.3">
      <c r="A853" s="1">
        <v>42492</v>
      </c>
      <c r="B853">
        <v>4</v>
      </c>
      <c r="C853">
        <v>1.02</v>
      </c>
      <c r="D853">
        <v>1</v>
      </c>
      <c r="E853">
        <v>39.200000000000003</v>
      </c>
      <c r="F853">
        <v>7</v>
      </c>
      <c r="G853">
        <v>0</v>
      </c>
      <c r="H853">
        <v>5</v>
      </c>
      <c r="I853">
        <v>2</v>
      </c>
      <c r="J853">
        <v>2016</v>
      </c>
      <c r="K853">
        <v>5</v>
      </c>
      <c r="L853">
        <v>276</v>
      </c>
      <c r="M853" t="s">
        <v>16</v>
      </c>
      <c r="N853">
        <f t="shared" si="39"/>
        <v>59.22</v>
      </c>
      <c r="O853" t="str">
        <f t="shared" si="40"/>
        <v>May</v>
      </c>
      <c r="P853" t="str">
        <f t="shared" si="41"/>
        <v>Weekday</v>
      </c>
    </row>
    <row r="854" spans="1:16" x14ac:dyDescent="0.3">
      <c r="A854" s="1">
        <v>42493</v>
      </c>
      <c r="B854">
        <v>6.33</v>
      </c>
      <c r="C854">
        <v>5.99</v>
      </c>
      <c r="D854">
        <v>3</v>
      </c>
      <c r="E854">
        <v>23.9</v>
      </c>
      <c r="F854">
        <v>3</v>
      </c>
      <c r="G854">
        <v>0</v>
      </c>
      <c r="H854">
        <v>0</v>
      </c>
      <c r="I854">
        <v>2</v>
      </c>
      <c r="J854">
        <v>2016</v>
      </c>
      <c r="K854">
        <v>5</v>
      </c>
      <c r="L854">
        <v>276</v>
      </c>
      <c r="M854" t="s">
        <v>17</v>
      </c>
      <c r="N854">
        <f t="shared" si="39"/>
        <v>44.22</v>
      </c>
      <c r="O854" t="str">
        <f t="shared" si="40"/>
        <v>May</v>
      </c>
      <c r="P854" t="str">
        <f t="shared" si="41"/>
        <v>Weekday</v>
      </c>
    </row>
    <row r="855" spans="1:16" x14ac:dyDescent="0.3">
      <c r="A855" s="1">
        <v>42494</v>
      </c>
      <c r="B855">
        <v>7.34</v>
      </c>
      <c r="C855">
        <v>3</v>
      </c>
      <c r="D855">
        <v>5</v>
      </c>
      <c r="E855">
        <v>32.200000000000003</v>
      </c>
      <c r="F855">
        <v>4</v>
      </c>
      <c r="G855">
        <v>0</v>
      </c>
      <c r="H855">
        <v>1</v>
      </c>
      <c r="I855">
        <v>2</v>
      </c>
      <c r="J855">
        <v>2016</v>
      </c>
      <c r="K855">
        <v>5</v>
      </c>
      <c r="L855">
        <v>276</v>
      </c>
      <c r="M855" t="s">
        <v>18</v>
      </c>
      <c r="N855">
        <f t="shared" si="39"/>
        <v>54.540000000000006</v>
      </c>
      <c r="O855" t="str">
        <f t="shared" si="40"/>
        <v>May</v>
      </c>
      <c r="P855" t="str">
        <f t="shared" si="41"/>
        <v>Weekday</v>
      </c>
    </row>
    <row r="856" spans="1:16" x14ac:dyDescent="0.3">
      <c r="A856" s="1">
        <v>42495</v>
      </c>
      <c r="B856">
        <v>4.66</v>
      </c>
      <c r="C856">
        <v>3</v>
      </c>
      <c r="D856">
        <v>6</v>
      </c>
      <c r="E856">
        <v>41</v>
      </c>
      <c r="F856">
        <v>16</v>
      </c>
      <c r="G856">
        <v>3</v>
      </c>
      <c r="H856">
        <v>1</v>
      </c>
      <c r="I856">
        <v>2</v>
      </c>
      <c r="J856">
        <v>2016</v>
      </c>
      <c r="K856">
        <v>5</v>
      </c>
      <c r="L856">
        <v>276</v>
      </c>
      <c r="M856" t="s">
        <v>12</v>
      </c>
      <c r="N856">
        <f t="shared" si="39"/>
        <v>76.66</v>
      </c>
      <c r="O856" t="str">
        <f t="shared" si="40"/>
        <v>May</v>
      </c>
      <c r="P856" t="str">
        <f t="shared" si="41"/>
        <v>Weekday</v>
      </c>
    </row>
    <row r="857" spans="1:16" x14ac:dyDescent="0.3">
      <c r="A857" s="1">
        <v>42496</v>
      </c>
      <c r="B857">
        <v>4</v>
      </c>
      <c r="C857">
        <v>2.99</v>
      </c>
      <c r="D857">
        <v>1</v>
      </c>
      <c r="E857">
        <v>33.6</v>
      </c>
      <c r="F857">
        <v>7</v>
      </c>
      <c r="G857">
        <v>0</v>
      </c>
      <c r="H857">
        <v>1</v>
      </c>
      <c r="I857">
        <v>3</v>
      </c>
      <c r="J857">
        <v>2016</v>
      </c>
      <c r="K857">
        <v>5</v>
      </c>
      <c r="L857">
        <v>276</v>
      </c>
      <c r="M857" t="s">
        <v>13</v>
      </c>
      <c r="N857">
        <f t="shared" si="39"/>
        <v>52.59</v>
      </c>
      <c r="O857" t="str">
        <f t="shared" si="40"/>
        <v>May</v>
      </c>
      <c r="P857" t="str">
        <f t="shared" si="41"/>
        <v>Weekday</v>
      </c>
    </row>
    <row r="858" spans="1:16" x14ac:dyDescent="0.3">
      <c r="A858" s="1">
        <v>42497</v>
      </c>
      <c r="B858">
        <v>3.99</v>
      </c>
      <c r="C858">
        <v>8.34</v>
      </c>
      <c r="D858">
        <v>4</v>
      </c>
      <c r="E858">
        <v>47.2</v>
      </c>
      <c r="F858">
        <v>5</v>
      </c>
      <c r="G858">
        <v>1</v>
      </c>
      <c r="H858">
        <v>0</v>
      </c>
      <c r="I858">
        <v>10</v>
      </c>
      <c r="J858">
        <v>2016</v>
      </c>
      <c r="K858">
        <v>5</v>
      </c>
      <c r="L858">
        <v>276</v>
      </c>
      <c r="M858" t="s">
        <v>14</v>
      </c>
      <c r="N858">
        <f t="shared" si="39"/>
        <v>79.53</v>
      </c>
      <c r="O858" t="str">
        <f t="shared" si="40"/>
        <v>May</v>
      </c>
      <c r="P858" t="str">
        <f t="shared" si="41"/>
        <v>Weekend</v>
      </c>
    </row>
    <row r="859" spans="1:16" x14ac:dyDescent="0.3">
      <c r="A859" s="1">
        <v>42498</v>
      </c>
      <c r="B859">
        <v>5</v>
      </c>
      <c r="C859">
        <v>10.66</v>
      </c>
      <c r="D859">
        <v>1</v>
      </c>
      <c r="E859">
        <v>40.4</v>
      </c>
      <c r="F859">
        <v>12</v>
      </c>
      <c r="G859">
        <v>0</v>
      </c>
      <c r="H859">
        <v>1</v>
      </c>
      <c r="I859">
        <v>11</v>
      </c>
      <c r="J859">
        <v>2016</v>
      </c>
      <c r="K859">
        <v>5</v>
      </c>
      <c r="L859">
        <v>276</v>
      </c>
      <c r="M859" t="s">
        <v>15</v>
      </c>
      <c r="N859">
        <f t="shared" si="39"/>
        <v>81.06</v>
      </c>
      <c r="O859" t="str">
        <f t="shared" si="40"/>
        <v>May</v>
      </c>
      <c r="P859" t="str">
        <f t="shared" si="41"/>
        <v>Weekend</v>
      </c>
    </row>
    <row r="860" spans="1:16" x14ac:dyDescent="0.3">
      <c r="A860" s="1">
        <v>42499</v>
      </c>
      <c r="B860">
        <v>5.67</v>
      </c>
      <c r="C860">
        <v>6.3630000000000004</v>
      </c>
      <c r="D860">
        <v>5</v>
      </c>
      <c r="E860">
        <v>29.2</v>
      </c>
      <c r="F860">
        <v>3</v>
      </c>
      <c r="G860">
        <v>0</v>
      </c>
      <c r="H860">
        <v>2</v>
      </c>
      <c r="I860">
        <v>5</v>
      </c>
      <c r="J860">
        <v>2016</v>
      </c>
      <c r="K860">
        <v>5</v>
      </c>
      <c r="L860">
        <v>276</v>
      </c>
      <c r="M860" t="s">
        <v>16</v>
      </c>
      <c r="N860">
        <f t="shared" si="39"/>
        <v>56.233000000000004</v>
      </c>
      <c r="O860" t="str">
        <f t="shared" si="40"/>
        <v>May</v>
      </c>
      <c r="P860" t="str">
        <f t="shared" si="41"/>
        <v>Weekday</v>
      </c>
    </row>
    <row r="861" spans="1:16" x14ac:dyDescent="0.3">
      <c r="A861" s="1">
        <v>42500</v>
      </c>
      <c r="B861">
        <v>7.33</v>
      </c>
      <c r="C861">
        <v>3.67</v>
      </c>
      <c r="D861">
        <v>7</v>
      </c>
      <c r="E861">
        <v>28.25</v>
      </c>
      <c r="F861">
        <v>4</v>
      </c>
      <c r="G861">
        <v>0</v>
      </c>
      <c r="H861">
        <v>2</v>
      </c>
      <c r="I861">
        <v>3.5</v>
      </c>
      <c r="J861">
        <v>2016</v>
      </c>
      <c r="K861">
        <v>5</v>
      </c>
      <c r="L861">
        <v>276</v>
      </c>
      <c r="M861" t="s">
        <v>17</v>
      </c>
      <c r="N861">
        <f t="shared" si="39"/>
        <v>55.75</v>
      </c>
      <c r="O861" t="str">
        <f t="shared" si="40"/>
        <v>May</v>
      </c>
      <c r="P861" t="str">
        <f t="shared" si="41"/>
        <v>Weekday</v>
      </c>
    </row>
    <row r="862" spans="1:16" x14ac:dyDescent="0.3">
      <c r="A862" s="1">
        <v>42501</v>
      </c>
      <c r="B862">
        <v>5.33</v>
      </c>
      <c r="C862">
        <v>4.66</v>
      </c>
      <c r="D862">
        <v>4</v>
      </c>
      <c r="E862">
        <v>23</v>
      </c>
      <c r="F862">
        <v>13</v>
      </c>
      <c r="G862">
        <v>0</v>
      </c>
      <c r="H862">
        <v>3</v>
      </c>
      <c r="I862">
        <v>2</v>
      </c>
      <c r="J862">
        <v>2016</v>
      </c>
      <c r="K862">
        <v>5</v>
      </c>
      <c r="L862">
        <v>276</v>
      </c>
      <c r="M862" t="s">
        <v>18</v>
      </c>
      <c r="N862">
        <f t="shared" si="39"/>
        <v>54.99</v>
      </c>
      <c r="O862" t="str">
        <f t="shared" si="40"/>
        <v>May</v>
      </c>
      <c r="P862" t="str">
        <f t="shared" si="41"/>
        <v>Weekday</v>
      </c>
    </row>
    <row r="863" spans="1:16" x14ac:dyDescent="0.3">
      <c r="A863" s="1">
        <v>42502</v>
      </c>
      <c r="B863">
        <v>3.01</v>
      </c>
      <c r="C863">
        <v>1.7589999999999999</v>
      </c>
      <c r="D863">
        <v>8</v>
      </c>
      <c r="E863">
        <v>28.1</v>
      </c>
      <c r="F863">
        <v>8</v>
      </c>
      <c r="G863">
        <v>1</v>
      </c>
      <c r="H863">
        <v>2</v>
      </c>
      <c r="I863">
        <v>0</v>
      </c>
      <c r="J863">
        <v>2016</v>
      </c>
      <c r="K863">
        <v>5</v>
      </c>
      <c r="L863">
        <v>276</v>
      </c>
      <c r="M863" t="s">
        <v>12</v>
      </c>
      <c r="N863">
        <f t="shared" si="39"/>
        <v>51.869</v>
      </c>
      <c r="O863" t="str">
        <f t="shared" si="40"/>
        <v>May</v>
      </c>
      <c r="P863" t="str">
        <f t="shared" si="41"/>
        <v>Weekday</v>
      </c>
    </row>
    <row r="864" spans="1:16" x14ac:dyDescent="0.3">
      <c r="A864" s="1">
        <v>42503</v>
      </c>
      <c r="B864">
        <v>2.33</v>
      </c>
      <c r="C864">
        <v>2.33</v>
      </c>
      <c r="D864">
        <v>3</v>
      </c>
      <c r="E864">
        <v>37</v>
      </c>
      <c r="F864">
        <v>9</v>
      </c>
      <c r="G864">
        <v>0</v>
      </c>
      <c r="H864">
        <v>0</v>
      </c>
      <c r="I864">
        <v>5</v>
      </c>
      <c r="J864">
        <v>2016</v>
      </c>
      <c r="K864">
        <v>5</v>
      </c>
      <c r="L864">
        <v>276</v>
      </c>
      <c r="M864" t="s">
        <v>13</v>
      </c>
      <c r="N864">
        <f t="shared" si="39"/>
        <v>58.66</v>
      </c>
      <c r="O864" t="str">
        <f t="shared" si="40"/>
        <v>May</v>
      </c>
      <c r="P864" t="str">
        <f t="shared" si="41"/>
        <v>Weekday</v>
      </c>
    </row>
    <row r="865" spans="1:16" x14ac:dyDescent="0.3">
      <c r="A865" s="1">
        <v>42504</v>
      </c>
      <c r="B865">
        <v>5.34</v>
      </c>
      <c r="C865">
        <v>4.67</v>
      </c>
      <c r="D865">
        <v>5.55</v>
      </c>
      <c r="E865">
        <v>31.25</v>
      </c>
      <c r="F865">
        <v>13</v>
      </c>
      <c r="G865">
        <v>0</v>
      </c>
      <c r="H865">
        <v>21</v>
      </c>
      <c r="I865">
        <v>1</v>
      </c>
      <c r="J865">
        <v>2016</v>
      </c>
      <c r="K865">
        <v>5</v>
      </c>
      <c r="L865">
        <v>276</v>
      </c>
      <c r="M865" t="s">
        <v>14</v>
      </c>
      <c r="N865">
        <f t="shared" si="39"/>
        <v>81.81</v>
      </c>
      <c r="O865" t="str">
        <f t="shared" si="40"/>
        <v>May</v>
      </c>
      <c r="P865" t="str">
        <f t="shared" si="41"/>
        <v>Weekend</v>
      </c>
    </row>
    <row r="866" spans="1:16" x14ac:dyDescent="0.3">
      <c r="A866" s="1">
        <v>42505</v>
      </c>
      <c r="B866">
        <v>5.33</v>
      </c>
      <c r="C866">
        <v>8.1880000000000006</v>
      </c>
      <c r="D866">
        <v>1.2</v>
      </c>
      <c r="E866">
        <v>44.1</v>
      </c>
      <c r="F866">
        <v>6</v>
      </c>
      <c r="G866">
        <v>0</v>
      </c>
      <c r="H866">
        <v>5</v>
      </c>
      <c r="I866">
        <v>4</v>
      </c>
      <c r="J866">
        <v>2016</v>
      </c>
      <c r="K866">
        <v>5</v>
      </c>
      <c r="L866">
        <v>276</v>
      </c>
      <c r="M866" t="s">
        <v>15</v>
      </c>
      <c r="N866">
        <f t="shared" si="39"/>
        <v>73.817999999999998</v>
      </c>
      <c r="O866" t="str">
        <f t="shared" si="40"/>
        <v>May</v>
      </c>
      <c r="P866" t="str">
        <f t="shared" si="41"/>
        <v>Weekend</v>
      </c>
    </row>
    <row r="867" spans="1:16" x14ac:dyDescent="0.3">
      <c r="A867" s="1">
        <v>42506</v>
      </c>
      <c r="B867">
        <v>5</v>
      </c>
      <c r="C867">
        <v>3.66</v>
      </c>
      <c r="D867">
        <v>2</v>
      </c>
      <c r="E867">
        <v>24</v>
      </c>
      <c r="F867">
        <v>17</v>
      </c>
      <c r="G867">
        <v>0</v>
      </c>
      <c r="H867">
        <v>2</v>
      </c>
      <c r="I867">
        <v>3</v>
      </c>
      <c r="J867">
        <v>2016</v>
      </c>
      <c r="K867">
        <v>5</v>
      </c>
      <c r="L867">
        <v>276</v>
      </c>
      <c r="M867" t="s">
        <v>16</v>
      </c>
      <c r="N867">
        <f t="shared" si="39"/>
        <v>56.66</v>
      </c>
      <c r="O867" t="str">
        <f t="shared" si="40"/>
        <v>May</v>
      </c>
      <c r="P867" t="str">
        <f t="shared" si="41"/>
        <v>Weekday</v>
      </c>
    </row>
    <row r="868" spans="1:16" x14ac:dyDescent="0.3">
      <c r="A868" s="1">
        <v>42507</v>
      </c>
      <c r="B868">
        <v>4</v>
      </c>
      <c r="C868">
        <v>2.33</v>
      </c>
      <c r="D868">
        <v>7.1</v>
      </c>
      <c r="E868">
        <v>38.4</v>
      </c>
      <c r="F868">
        <v>4</v>
      </c>
      <c r="G868">
        <v>0</v>
      </c>
      <c r="H868">
        <v>1</v>
      </c>
      <c r="I868">
        <v>3.2</v>
      </c>
      <c r="J868">
        <v>2016</v>
      </c>
      <c r="K868">
        <v>5</v>
      </c>
      <c r="L868">
        <v>276</v>
      </c>
      <c r="M868" t="s">
        <v>17</v>
      </c>
      <c r="N868">
        <f t="shared" si="39"/>
        <v>60.03</v>
      </c>
      <c r="O868" t="str">
        <f t="shared" si="40"/>
        <v>May</v>
      </c>
      <c r="P868" t="str">
        <f t="shared" si="41"/>
        <v>Weekday</v>
      </c>
    </row>
    <row r="869" spans="1:16" x14ac:dyDescent="0.3">
      <c r="A869" s="1">
        <v>42508</v>
      </c>
      <c r="B869">
        <v>4</v>
      </c>
      <c r="C869">
        <v>5.33</v>
      </c>
      <c r="D869">
        <v>5.25</v>
      </c>
      <c r="E869">
        <v>35</v>
      </c>
      <c r="F869">
        <v>7</v>
      </c>
      <c r="G869">
        <v>0</v>
      </c>
      <c r="H869">
        <v>1</v>
      </c>
      <c r="I869">
        <v>5</v>
      </c>
      <c r="J869">
        <v>2016</v>
      </c>
      <c r="K869">
        <v>5</v>
      </c>
      <c r="L869">
        <v>276</v>
      </c>
      <c r="M869" t="s">
        <v>18</v>
      </c>
      <c r="N869">
        <f t="shared" si="39"/>
        <v>62.58</v>
      </c>
      <c r="O869" t="str">
        <f t="shared" si="40"/>
        <v>May</v>
      </c>
      <c r="P869" t="str">
        <f t="shared" si="41"/>
        <v>Weekday</v>
      </c>
    </row>
    <row r="870" spans="1:16" x14ac:dyDescent="0.3">
      <c r="A870" s="1">
        <v>42509</v>
      </c>
      <c r="B870">
        <v>6.34</v>
      </c>
      <c r="C870">
        <v>5.66</v>
      </c>
      <c r="D870">
        <v>2</v>
      </c>
      <c r="E870">
        <v>30.5</v>
      </c>
      <c r="F870">
        <v>10</v>
      </c>
      <c r="G870">
        <v>0</v>
      </c>
      <c r="H870">
        <v>16</v>
      </c>
      <c r="I870">
        <v>3</v>
      </c>
      <c r="J870">
        <v>2016</v>
      </c>
      <c r="K870">
        <v>5</v>
      </c>
      <c r="L870">
        <v>276</v>
      </c>
      <c r="M870" t="s">
        <v>12</v>
      </c>
      <c r="N870">
        <f t="shared" si="39"/>
        <v>73.5</v>
      </c>
      <c r="O870" t="str">
        <f t="shared" si="40"/>
        <v>May</v>
      </c>
      <c r="P870" t="str">
        <f t="shared" si="41"/>
        <v>Weekday</v>
      </c>
    </row>
    <row r="871" spans="1:16" x14ac:dyDescent="0.3">
      <c r="A871" s="1">
        <v>42510</v>
      </c>
      <c r="B871">
        <v>3</v>
      </c>
      <c r="C871">
        <v>1.1319999999999999</v>
      </c>
      <c r="D871">
        <v>3</v>
      </c>
      <c r="E871">
        <v>14</v>
      </c>
      <c r="F871">
        <v>14</v>
      </c>
      <c r="G871">
        <v>2</v>
      </c>
      <c r="H871">
        <v>9</v>
      </c>
      <c r="I871">
        <v>5</v>
      </c>
      <c r="J871">
        <v>2016</v>
      </c>
      <c r="K871">
        <v>5</v>
      </c>
      <c r="L871">
        <v>276</v>
      </c>
      <c r="M871" t="s">
        <v>13</v>
      </c>
      <c r="N871">
        <f t="shared" si="39"/>
        <v>51.131999999999998</v>
      </c>
      <c r="O871" t="str">
        <f t="shared" si="40"/>
        <v>May</v>
      </c>
      <c r="P871" t="str">
        <f t="shared" si="41"/>
        <v>Weekday</v>
      </c>
    </row>
    <row r="872" spans="1:16" x14ac:dyDescent="0.3">
      <c r="A872" s="1">
        <v>42511</v>
      </c>
      <c r="B872">
        <v>2</v>
      </c>
      <c r="C872">
        <v>5.34</v>
      </c>
      <c r="D872">
        <v>5.2</v>
      </c>
      <c r="E872">
        <v>42.5</v>
      </c>
      <c r="F872">
        <v>3</v>
      </c>
      <c r="G872">
        <v>0</v>
      </c>
      <c r="H872">
        <v>17</v>
      </c>
      <c r="I872">
        <v>5</v>
      </c>
      <c r="J872">
        <v>2016</v>
      </c>
      <c r="K872">
        <v>5</v>
      </c>
      <c r="L872">
        <v>276</v>
      </c>
      <c r="M872" t="s">
        <v>14</v>
      </c>
      <c r="N872">
        <f t="shared" si="39"/>
        <v>80.039999999999992</v>
      </c>
      <c r="O872" t="str">
        <f t="shared" si="40"/>
        <v>May</v>
      </c>
      <c r="P872" t="str">
        <f t="shared" si="41"/>
        <v>Weekend</v>
      </c>
    </row>
    <row r="873" spans="1:16" x14ac:dyDescent="0.3">
      <c r="A873" s="1">
        <v>42512</v>
      </c>
      <c r="B873">
        <v>4.34</v>
      </c>
      <c r="C873">
        <v>4.51</v>
      </c>
      <c r="D873">
        <v>9.0500000000000007</v>
      </c>
      <c r="E873">
        <v>55.6</v>
      </c>
      <c r="F873">
        <v>6</v>
      </c>
      <c r="G873">
        <v>1</v>
      </c>
      <c r="H873">
        <v>0</v>
      </c>
      <c r="I873">
        <v>10</v>
      </c>
      <c r="J873">
        <v>2016</v>
      </c>
      <c r="K873">
        <v>5</v>
      </c>
      <c r="L873">
        <v>276</v>
      </c>
      <c r="M873" t="s">
        <v>15</v>
      </c>
      <c r="N873">
        <f t="shared" si="39"/>
        <v>90.5</v>
      </c>
      <c r="O873" t="str">
        <f t="shared" si="40"/>
        <v>May</v>
      </c>
      <c r="P873" t="str">
        <f t="shared" si="41"/>
        <v>Weekend</v>
      </c>
    </row>
    <row r="874" spans="1:16" x14ac:dyDescent="0.3">
      <c r="A874" s="1">
        <v>42513</v>
      </c>
      <c r="B874">
        <v>5</v>
      </c>
      <c r="C874">
        <v>2.363</v>
      </c>
      <c r="D874">
        <v>5</v>
      </c>
      <c r="E874">
        <v>54.7</v>
      </c>
      <c r="F874">
        <v>19</v>
      </c>
      <c r="G874">
        <v>0</v>
      </c>
      <c r="H874">
        <v>7</v>
      </c>
      <c r="I874">
        <v>4</v>
      </c>
      <c r="J874">
        <v>2016</v>
      </c>
      <c r="K874">
        <v>5</v>
      </c>
      <c r="L874">
        <v>276</v>
      </c>
      <c r="M874" t="s">
        <v>16</v>
      </c>
      <c r="N874">
        <f t="shared" si="39"/>
        <v>97.063000000000002</v>
      </c>
      <c r="O874" t="str">
        <f t="shared" si="40"/>
        <v>May</v>
      </c>
      <c r="P874" t="str">
        <f t="shared" si="41"/>
        <v>Weekday</v>
      </c>
    </row>
    <row r="875" spans="1:16" x14ac:dyDescent="0.3">
      <c r="A875" s="1">
        <v>42514</v>
      </c>
      <c r="B875">
        <v>12</v>
      </c>
      <c r="C875">
        <v>3.1669999999999998</v>
      </c>
      <c r="D875">
        <v>4</v>
      </c>
      <c r="E875">
        <v>32</v>
      </c>
      <c r="F875">
        <v>3</v>
      </c>
      <c r="G875">
        <v>0</v>
      </c>
      <c r="H875">
        <v>3</v>
      </c>
      <c r="I875">
        <v>2</v>
      </c>
      <c r="J875">
        <v>2016</v>
      </c>
      <c r="K875">
        <v>5</v>
      </c>
      <c r="L875">
        <v>276</v>
      </c>
      <c r="M875" t="s">
        <v>17</v>
      </c>
      <c r="N875">
        <f t="shared" si="39"/>
        <v>59.167000000000002</v>
      </c>
      <c r="O875" t="str">
        <f t="shared" si="40"/>
        <v>May</v>
      </c>
      <c r="P875" t="str">
        <f t="shared" si="41"/>
        <v>Weekday</v>
      </c>
    </row>
    <row r="876" spans="1:16" x14ac:dyDescent="0.3">
      <c r="A876" s="1">
        <v>42515</v>
      </c>
      <c r="B876">
        <v>8.34</v>
      </c>
      <c r="C876">
        <v>1.67</v>
      </c>
      <c r="D876">
        <v>6</v>
      </c>
      <c r="E876">
        <v>25.05</v>
      </c>
      <c r="F876">
        <v>16</v>
      </c>
      <c r="G876">
        <v>1</v>
      </c>
      <c r="H876">
        <v>0</v>
      </c>
      <c r="I876">
        <v>1.2</v>
      </c>
      <c r="J876">
        <v>2016</v>
      </c>
      <c r="K876">
        <v>5</v>
      </c>
      <c r="L876">
        <v>276</v>
      </c>
      <c r="M876" t="s">
        <v>18</v>
      </c>
      <c r="N876">
        <f t="shared" si="39"/>
        <v>59.260000000000005</v>
      </c>
      <c r="O876" t="str">
        <f t="shared" si="40"/>
        <v>May</v>
      </c>
      <c r="P876" t="str">
        <f t="shared" si="41"/>
        <v>Weekday</v>
      </c>
    </row>
    <row r="877" spans="1:16" x14ac:dyDescent="0.3">
      <c r="A877" s="1">
        <v>42516</v>
      </c>
      <c r="B877">
        <v>4.67</v>
      </c>
      <c r="C877">
        <v>5.33</v>
      </c>
      <c r="D877">
        <v>5.35</v>
      </c>
      <c r="E877">
        <v>24.8</v>
      </c>
      <c r="F877">
        <v>20</v>
      </c>
      <c r="G877">
        <v>1</v>
      </c>
      <c r="H877">
        <v>0</v>
      </c>
      <c r="I877">
        <v>9</v>
      </c>
      <c r="J877">
        <v>2016</v>
      </c>
      <c r="K877">
        <v>5</v>
      </c>
      <c r="L877">
        <v>276</v>
      </c>
      <c r="M877" t="s">
        <v>12</v>
      </c>
      <c r="N877">
        <f t="shared" si="39"/>
        <v>70.150000000000006</v>
      </c>
      <c r="O877" t="str">
        <f t="shared" si="40"/>
        <v>May</v>
      </c>
      <c r="P877" t="str">
        <f t="shared" si="41"/>
        <v>Weekday</v>
      </c>
    </row>
    <row r="878" spans="1:16" x14ac:dyDescent="0.3">
      <c r="A878" s="1">
        <v>42517</v>
      </c>
      <c r="B878">
        <v>8.67</v>
      </c>
      <c r="C878">
        <v>2.6829999999999998</v>
      </c>
      <c r="D878">
        <v>5.25</v>
      </c>
      <c r="E878">
        <v>17</v>
      </c>
      <c r="F878">
        <v>14</v>
      </c>
      <c r="G878">
        <v>7</v>
      </c>
      <c r="H878">
        <v>2</v>
      </c>
      <c r="I878">
        <v>6</v>
      </c>
      <c r="J878">
        <v>2016</v>
      </c>
      <c r="K878">
        <v>5</v>
      </c>
      <c r="L878">
        <v>276</v>
      </c>
      <c r="M878" t="s">
        <v>13</v>
      </c>
      <c r="N878">
        <f t="shared" si="39"/>
        <v>62.603000000000002</v>
      </c>
      <c r="O878" t="str">
        <f t="shared" si="40"/>
        <v>May</v>
      </c>
      <c r="P878" t="str">
        <f t="shared" si="41"/>
        <v>Weekday</v>
      </c>
    </row>
    <row r="879" spans="1:16" x14ac:dyDescent="0.3">
      <c r="A879" s="1">
        <v>42518</v>
      </c>
      <c r="B879">
        <v>12.33</v>
      </c>
      <c r="C879">
        <v>0.36299999999999999</v>
      </c>
      <c r="D879">
        <v>3</v>
      </c>
      <c r="E879">
        <v>43</v>
      </c>
      <c r="F879">
        <v>4</v>
      </c>
      <c r="G879">
        <v>0</v>
      </c>
      <c r="H879">
        <v>4</v>
      </c>
      <c r="I879">
        <v>9</v>
      </c>
      <c r="J879">
        <v>2016</v>
      </c>
      <c r="K879">
        <v>5</v>
      </c>
      <c r="L879">
        <v>276</v>
      </c>
      <c r="M879" t="s">
        <v>14</v>
      </c>
      <c r="N879">
        <f t="shared" si="39"/>
        <v>75.692999999999998</v>
      </c>
      <c r="O879" t="str">
        <f t="shared" si="40"/>
        <v>May</v>
      </c>
      <c r="P879" t="str">
        <f t="shared" si="41"/>
        <v>Weekend</v>
      </c>
    </row>
    <row r="880" spans="1:16" x14ac:dyDescent="0.3">
      <c r="A880" s="1">
        <v>42519</v>
      </c>
      <c r="B880">
        <v>8.67</v>
      </c>
      <c r="C880">
        <v>4.33</v>
      </c>
      <c r="D880">
        <v>6</v>
      </c>
      <c r="E880">
        <v>31.8</v>
      </c>
      <c r="F880">
        <v>2</v>
      </c>
      <c r="G880">
        <v>1</v>
      </c>
      <c r="H880">
        <v>5</v>
      </c>
      <c r="I880">
        <v>9.1999999999999993</v>
      </c>
      <c r="J880">
        <v>2016</v>
      </c>
      <c r="K880">
        <v>5</v>
      </c>
      <c r="L880">
        <v>276</v>
      </c>
      <c r="M880" t="s">
        <v>15</v>
      </c>
      <c r="N880">
        <f t="shared" si="39"/>
        <v>68</v>
      </c>
      <c r="O880" t="str">
        <f t="shared" si="40"/>
        <v>May</v>
      </c>
      <c r="P880" t="str">
        <f t="shared" si="41"/>
        <v>Weekend</v>
      </c>
    </row>
    <row r="881" spans="1:16" x14ac:dyDescent="0.3">
      <c r="A881" s="1">
        <v>42520</v>
      </c>
      <c r="B881">
        <v>3.34</v>
      </c>
      <c r="C881">
        <v>3.0230000000000001</v>
      </c>
      <c r="D881">
        <v>4.0999999999999996</v>
      </c>
      <c r="E881">
        <v>29.4</v>
      </c>
      <c r="F881">
        <v>3</v>
      </c>
      <c r="G881">
        <v>0</v>
      </c>
      <c r="H881">
        <v>7</v>
      </c>
      <c r="I881">
        <v>8</v>
      </c>
      <c r="J881">
        <v>2016</v>
      </c>
      <c r="K881">
        <v>5</v>
      </c>
      <c r="L881">
        <v>276</v>
      </c>
      <c r="M881" t="s">
        <v>16</v>
      </c>
      <c r="N881">
        <f t="shared" si="39"/>
        <v>57.863</v>
      </c>
      <c r="O881" t="str">
        <f t="shared" si="40"/>
        <v>May</v>
      </c>
      <c r="P881" t="str">
        <f t="shared" si="41"/>
        <v>Weekday</v>
      </c>
    </row>
    <row r="882" spans="1:16" x14ac:dyDescent="0.3">
      <c r="A882" s="1">
        <v>42521</v>
      </c>
      <c r="B882">
        <v>6</v>
      </c>
      <c r="C882">
        <v>3.33</v>
      </c>
      <c r="D882">
        <v>3.5</v>
      </c>
      <c r="E882">
        <v>21</v>
      </c>
      <c r="F882">
        <v>3</v>
      </c>
      <c r="G882">
        <v>0</v>
      </c>
      <c r="H882">
        <v>13</v>
      </c>
      <c r="I882">
        <v>2</v>
      </c>
      <c r="J882">
        <v>2016</v>
      </c>
      <c r="K882">
        <v>5</v>
      </c>
      <c r="L882">
        <v>276</v>
      </c>
      <c r="M882" t="s">
        <v>17</v>
      </c>
      <c r="N882">
        <f t="shared" si="39"/>
        <v>51.83</v>
      </c>
      <c r="O882" t="str">
        <f t="shared" si="40"/>
        <v>May</v>
      </c>
      <c r="P882" t="str">
        <f t="shared" si="41"/>
        <v>Weekday</v>
      </c>
    </row>
    <row r="883" spans="1:16" x14ac:dyDescent="0.3">
      <c r="A883" s="1">
        <v>42522</v>
      </c>
      <c r="B883">
        <v>9</v>
      </c>
      <c r="C883">
        <v>1.1000000000000001</v>
      </c>
      <c r="D883">
        <v>2</v>
      </c>
      <c r="E883">
        <v>20</v>
      </c>
      <c r="F883">
        <v>11</v>
      </c>
      <c r="G883">
        <v>0</v>
      </c>
      <c r="H883">
        <v>7</v>
      </c>
      <c r="I883">
        <v>5</v>
      </c>
      <c r="J883">
        <v>2016</v>
      </c>
      <c r="K883">
        <v>6</v>
      </c>
      <c r="L883">
        <v>276</v>
      </c>
      <c r="M883" t="s">
        <v>18</v>
      </c>
      <c r="N883">
        <f t="shared" si="39"/>
        <v>55.1</v>
      </c>
      <c r="O883" t="str">
        <f t="shared" si="40"/>
        <v>June</v>
      </c>
      <c r="P883" t="str">
        <f t="shared" si="41"/>
        <v>Weekday</v>
      </c>
    </row>
    <row r="884" spans="1:16" x14ac:dyDescent="0.3">
      <c r="A884" s="1">
        <v>42523</v>
      </c>
      <c r="B884">
        <v>2.33</v>
      </c>
      <c r="C884">
        <v>6</v>
      </c>
      <c r="D884">
        <v>1.05</v>
      </c>
      <c r="E884">
        <v>21.25</v>
      </c>
      <c r="F884">
        <v>18</v>
      </c>
      <c r="G884">
        <v>3</v>
      </c>
      <c r="H884">
        <v>4</v>
      </c>
      <c r="I884">
        <v>1</v>
      </c>
      <c r="J884">
        <v>2016</v>
      </c>
      <c r="K884">
        <v>6</v>
      </c>
      <c r="L884">
        <v>276</v>
      </c>
      <c r="M884" t="s">
        <v>12</v>
      </c>
      <c r="N884">
        <f t="shared" si="39"/>
        <v>56.63</v>
      </c>
      <c r="O884" t="str">
        <f t="shared" si="40"/>
        <v>June</v>
      </c>
      <c r="P884" t="str">
        <f t="shared" si="41"/>
        <v>Weekday</v>
      </c>
    </row>
    <row r="885" spans="1:16" x14ac:dyDescent="0.3">
      <c r="A885" s="1">
        <v>42524</v>
      </c>
      <c r="B885">
        <v>7.33</v>
      </c>
      <c r="C885">
        <v>3</v>
      </c>
      <c r="D885">
        <v>4</v>
      </c>
      <c r="E885">
        <v>18</v>
      </c>
      <c r="F885">
        <v>8</v>
      </c>
      <c r="G885">
        <v>0</v>
      </c>
      <c r="H885">
        <v>1</v>
      </c>
      <c r="I885">
        <v>7</v>
      </c>
      <c r="J885">
        <v>2016</v>
      </c>
      <c r="K885">
        <v>6</v>
      </c>
      <c r="L885">
        <v>276</v>
      </c>
      <c r="M885" t="s">
        <v>13</v>
      </c>
      <c r="N885">
        <f t="shared" si="39"/>
        <v>48.33</v>
      </c>
      <c r="O885" t="str">
        <f t="shared" si="40"/>
        <v>June</v>
      </c>
      <c r="P885" t="str">
        <f t="shared" si="41"/>
        <v>Weekday</v>
      </c>
    </row>
    <row r="886" spans="1:16" x14ac:dyDescent="0.3">
      <c r="A886" s="1">
        <v>42525</v>
      </c>
      <c r="B886">
        <v>3.33</v>
      </c>
      <c r="C886">
        <v>3.34</v>
      </c>
      <c r="D886">
        <v>3.3</v>
      </c>
      <c r="E886">
        <v>21</v>
      </c>
      <c r="F886">
        <v>2</v>
      </c>
      <c r="G886">
        <v>0</v>
      </c>
      <c r="H886">
        <v>0</v>
      </c>
      <c r="I886">
        <v>4</v>
      </c>
      <c r="J886">
        <v>2016</v>
      </c>
      <c r="K886">
        <v>6</v>
      </c>
      <c r="L886">
        <v>276</v>
      </c>
      <c r="M886" t="s">
        <v>14</v>
      </c>
      <c r="N886">
        <f t="shared" si="39"/>
        <v>36.97</v>
      </c>
      <c r="O886" t="str">
        <f t="shared" si="40"/>
        <v>June</v>
      </c>
      <c r="P886" t="str">
        <f t="shared" si="41"/>
        <v>Weekend</v>
      </c>
    </row>
    <row r="887" spans="1:16" x14ac:dyDescent="0.3">
      <c r="A887" s="1">
        <v>42526</v>
      </c>
      <c r="B887">
        <v>10.34</v>
      </c>
      <c r="C887">
        <v>3.0659999999999998</v>
      </c>
      <c r="D887">
        <v>4.3</v>
      </c>
      <c r="E887">
        <v>23.4</v>
      </c>
      <c r="F887">
        <v>5</v>
      </c>
      <c r="G887">
        <v>0</v>
      </c>
      <c r="H887">
        <v>3</v>
      </c>
      <c r="I887">
        <v>4</v>
      </c>
      <c r="J887">
        <v>2016</v>
      </c>
      <c r="K887">
        <v>6</v>
      </c>
      <c r="L887">
        <v>276</v>
      </c>
      <c r="M887" t="s">
        <v>15</v>
      </c>
      <c r="N887">
        <f t="shared" si="39"/>
        <v>53.105999999999995</v>
      </c>
      <c r="O887" t="str">
        <f t="shared" si="40"/>
        <v>June</v>
      </c>
      <c r="P887" t="str">
        <f t="shared" si="41"/>
        <v>Weekend</v>
      </c>
    </row>
    <row r="888" spans="1:16" x14ac:dyDescent="0.3">
      <c r="A888" s="1">
        <v>42527</v>
      </c>
      <c r="B888">
        <v>5.33</v>
      </c>
      <c r="C888">
        <v>2.802</v>
      </c>
      <c r="D888">
        <v>4</v>
      </c>
      <c r="E888">
        <v>26.2</v>
      </c>
      <c r="F888">
        <v>5</v>
      </c>
      <c r="G888">
        <v>0</v>
      </c>
      <c r="H888">
        <v>6</v>
      </c>
      <c r="I888">
        <v>6</v>
      </c>
      <c r="J888">
        <v>2016</v>
      </c>
      <c r="K888">
        <v>6</v>
      </c>
      <c r="L888">
        <v>276</v>
      </c>
      <c r="M888" t="s">
        <v>16</v>
      </c>
      <c r="N888">
        <f t="shared" si="39"/>
        <v>55.332000000000001</v>
      </c>
      <c r="O888" t="str">
        <f t="shared" si="40"/>
        <v>June</v>
      </c>
      <c r="P888" t="str">
        <f t="shared" si="41"/>
        <v>Weekday</v>
      </c>
    </row>
    <row r="889" spans="1:16" x14ac:dyDescent="0.3">
      <c r="A889" s="1">
        <v>42528</v>
      </c>
      <c r="B889">
        <v>6</v>
      </c>
      <c r="C889">
        <v>3.363</v>
      </c>
      <c r="D889">
        <v>4.0999999999999996</v>
      </c>
      <c r="E889">
        <v>28.5</v>
      </c>
      <c r="F889">
        <v>13</v>
      </c>
      <c r="G889">
        <v>0</v>
      </c>
      <c r="H889">
        <v>10</v>
      </c>
      <c r="I889">
        <v>3</v>
      </c>
      <c r="J889">
        <v>2016</v>
      </c>
      <c r="K889">
        <v>6</v>
      </c>
      <c r="L889">
        <v>276</v>
      </c>
      <c r="M889" t="s">
        <v>17</v>
      </c>
      <c r="N889">
        <f t="shared" si="39"/>
        <v>67.962999999999994</v>
      </c>
      <c r="O889" t="str">
        <f t="shared" si="40"/>
        <v>June</v>
      </c>
      <c r="P889" t="str">
        <f t="shared" si="41"/>
        <v>Weekday</v>
      </c>
    </row>
    <row r="890" spans="1:16" x14ac:dyDescent="0.3">
      <c r="A890" s="1">
        <v>42529</v>
      </c>
      <c r="B890">
        <v>8.66</v>
      </c>
      <c r="C890">
        <v>1.33</v>
      </c>
      <c r="D890">
        <v>5.5</v>
      </c>
      <c r="E890">
        <v>45.061999999999998</v>
      </c>
      <c r="F890">
        <v>10</v>
      </c>
      <c r="G890">
        <v>0</v>
      </c>
      <c r="H890">
        <v>5</v>
      </c>
      <c r="I890">
        <v>6</v>
      </c>
      <c r="J890">
        <v>2016</v>
      </c>
      <c r="K890">
        <v>6</v>
      </c>
      <c r="L890">
        <v>276</v>
      </c>
      <c r="M890" t="s">
        <v>18</v>
      </c>
      <c r="N890">
        <f t="shared" si="39"/>
        <v>81.551999999999992</v>
      </c>
      <c r="O890" t="str">
        <f t="shared" si="40"/>
        <v>June</v>
      </c>
      <c r="P890" t="str">
        <f t="shared" si="41"/>
        <v>Weekday</v>
      </c>
    </row>
    <row r="891" spans="1:16" x14ac:dyDescent="0.3">
      <c r="A891" s="1">
        <v>42530</v>
      </c>
      <c r="B891">
        <v>8.67</v>
      </c>
      <c r="C891">
        <v>4.33</v>
      </c>
      <c r="D891">
        <v>2</v>
      </c>
      <c r="E891">
        <v>20.6</v>
      </c>
      <c r="F891">
        <v>7</v>
      </c>
      <c r="G891">
        <v>0</v>
      </c>
      <c r="H891">
        <v>1</v>
      </c>
      <c r="I891">
        <v>4.2</v>
      </c>
      <c r="J891">
        <v>2016</v>
      </c>
      <c r="K891">
        <v>6</v>
      </c>
      <c r="L891">
        <v>276</v>
      </c>
      <c r="M891" t="s">
        <v>12</v>
      </c>
      <c r="N891">
        <f t="shared" si="39"/>
        <v>47.800000000000004</v>
      </c>
      <c r="O891" t="str">
        <f t="shared" si="40"/>
        <v>June</v>
      </c>
      <c r="P891" t="str">
        <f t="shared" si="41"/>
        <v>Weekday</v>
      </c>
    </row>
    <row r="892" spans="1:16" x14ac:dyDescent="0.3">
      <c r="A892" s="1">
        <v>42531</v>
      </c>
      <c r="B892">
        <v>8.33</v>
      </c>
      <c r="C892">
        <v>4</v>
      </c>
      <c r="D892">
        <v>4</v>
      </c>
      <c r="E892">
        <v>26</v>
      </c>
      <c r="F892">
        <v>11</v>
      </c>
      <c r="G892">
        <v>2</v>
      </c>
      <c r="H892">
        <v>0</v>
      </c>
      <c r="I892">
        <v>5</v>
      </c>
      <c r="J892">
        <v>2016</v>
      </c>
      <c r="K892">
        <v>6</v>
      </c>
      <c r="L892">
        <v>276</v>
      </c>
      <c r="M892" t="s">
        <v>13</v>
      </c>
      <c r="N892">
        <f t="shared" si="39"/>
        <v>60.33</v>
      </c>
      <c r="O892" t="str">
        <f t="shared" si="40"/>
        <v>June</v>
      </c>
      <c r="P892" t="str">
        <f t="shared" si="41"/>
        <v>Weekday</v>
      </c>
    </row>
    <row r="893" spans="1:16" x14ac:dyDescent="0.3">
      <c r="A893" s="1">
        <v>42532</v>
      </c>
      <c r="B893">
        <v>10.66</v>
      </c>
      <c r="C893">
        <v>2.8250000000000002</v>
      </c>
      <c r="D893">
        <v>2</v>
      </c>
      <c r="E893">
        <v>35.6</v>
      </c>
      <c r="F893">
        <v>4</v>
      </c>
      <c r="G893">
        <v>1</v>
      </c>
      <c r="H893">
        <v>10</v>
      </c>
      <c r="I893">
        <v>8</v>
      </c>
      <c r="J893">
        <v>2016</v>
      </c>
      <c r="K893">
        <v>6</v>
      </c>
      <c r="L893">
        <v>276</v>
      </c>
      <c r="M893" t="s">
        <v>14</v>
      </c>
      <c r="N893">
        <f t="shared" si="39"/>
        <v>74.085000000000008</v>
      </c>
      <c r="O893" t="str">
        <f t="shared" si="40"/>
        <v>June</v>
      </c>
      <c r="P893" t="str">
        <f t="shared" si="41"/>
        <v>Weekend</v>
      </c>
    </row>
    <row r="894" spans="1:16" x14ac:dyDescent="0.3">
      <c r="A894" s="1">
        <v>42533</v>
      </c>
      <c r="B894">
        <v>8.34</v>
      </c>
      <c r="C894">
        <v>7.3529999999999998</v>
      </c>
      <c r="D894">
        <v>3.4</v>
      </c>
      <c r="E894">
        <v>47</v>
      </c>
      <c r="F894">
        <v>8</v>
      </c>
      <c r="G894">
        <v>0</v>
      </c>
      <c r="H894">
        <v>4</v>
      </c>
      <c r="I894">
        <v>6</v>
      </c>
      <c r="J894">
        <v>2016</v>
      </c>
      <c r="K894">
        <v>6</v>
      </c>
      <c r="L894">
        <v>276</v>
      </c>
      <c r="M894" t="s">
        <v>15</v>
      </c>
      <c r="N894">
        <f t="shared" si="39"/>
        <v>84.093000000000004</v>
      </c>
      <c r="O894" t="str">
        <f t="shared" si="40"/>
        <v>June</v>
      </c>
      <c r="P894" t="str">
        <f t="shared" si="41"/>
        <v>Weekend</v>
      </c>
    </row>
    <row r="895" spans="1:16" x14ac:dyDescent="0.3">
      <c r="A895" s="1">
        <v>42534</v>
      </c>
      <c r="B895">
        <v>5.66</v>
      </c>
      <c r="C895">
        <v>4.7359999999999998</v>
      </c>
      <c r="D895">
        <v>1</v>
      </c>
      <c r="E895">
        <v>15</v>
      </c>
      <c r="F895">
        <v>7</v>
      </c>
      <c r="G895">
        <v>0</v>
      </c>
      <c r="H895">
        <v>1</v>
      </c>
      <c r="I895">
        <v>2</v>
      </c>
      <c r="J895">
        <v>2016</v>
      </c>
      <c r="K895">
        <v>6</v>
      </c>
      <c r="L895">
        <v>276</v>
      </c>
      <c r="M895" t="s">
        <v>16</v>
      </c>
      <c r="N895">
        <f t="shared" si="39"/>
        <v>36.396000000000001</v>
      </c>
      <c r="O895" t="str">
        <f t="shared" si="40"/>
        <v>June</v>
      </c>
      <c r="P895" t="str">
        <f t="shared" si="41"/>
        <v>Weekday</v>
      </c>
    </row>
    <row r="896" spans="1:16" x14ac:dyDescent="0.3">
      <c r="A896" s="1">
        <v>42535</v>
      </c>
      <c r="B896">
        <v>2.33</v>
      </c>
      <c r="C896">
        <v>6</v>
      </c>
      <c r="D896">
        <v>6.1</v>
      </c>
      <c r="E896">
        <v>17.399999999999999</v>
      </c>
      <c r="F896">
        <v>17</v>
      </c>
      <c r="G896">
        <v>1</v>
      </c>
      <c r="H896">
        <v>2</v>
      </c>
      <c r="I896">
        <v>3</v>
      </c>
      <c r="J896">
        <v>2016</v>
      </c>
      <c r="K896">
        <v>6</v>
      </c>
      <c r="L896">
        <v>276</v>
      </c>
      <c r="M896" t="s">
        <v>17</v>
      </c>
      <c r="N896">
        <f t="shared" si="39"/>
        <v>54.83</v>
      </c>
      <c r="O896" t="str">
        <f t="shared" si="40"/>
        <v>June</v>
      </c>
      <c r="P896" t="str">
        <f t="shared" si="41"/>
        <v>Weekday</v>
      </c>
    </row>
    <row r="897" spans="1:16" x14ac:dyDescent="0.3">
      <c r="A897" s="1">
        <v>42536</v>
      </c>
      <c r="B897">
        <v>5</v>
      </c>
      <c r="C897">
        <v>5.4950000000000001</v>
      </c>
      <c r="D897">
        <v>7</v>
      </c>
      <c r="E897">
        <v>35</v>
      </c>
      <c r="F897">
        <v>22</v>
      </c>
      <c r="G897">
        <v>1</v>
      </c>
      <c r="H897">
        <v>1</v>
      </c>
      <c r="I897">
        <v>6</v>
      </c>
      <c r="J897">
        <v>2016</v>
      </c>
      <c r="K897">
        <v>6</v>
      </c>
      <c r="L897">
        <v>276</v>
      </c>
      <c r="M897" t="s">
        <v>18</v>
      </c>
      <c r="N897">
        <f t="shared" si="39"/>
        <v>82.495000000000005</v>
      </c>
      <c r="O897" t="str">
        <f t="shared" si="40"/>
        <v>June</v>
      </c>
      <c r="P897" t="str">
        <f t="shared" si="41"/>
        <v>Weekday</v>
      </c>
    </row>
    <row r="898" spans="1:16" x14ac:dyDescent="0.3">
      <c r="A898" s="1">
        <v>42537</v>
      </c>
      <c r="B898">
        <v>4</v>
      </c>
      <c r="C898">
        <v>0.33</v>
      </c>
      <c r="D898">
        <v>1</v>
      </c>
      <c r="E898">
        <v>20.5</v>
      </c>
      <c r="F898">
        <v>4</v>
      </c>
      <c r="G898">
        <v>0</v>
      </c>
      <c r="H898">
        <v>22</v>
      </c>
      <c r="I898">
        <v>3</v>
      </c>
      <c r="J898">
        <v>2016</v>
      </c>
      <c r="K898">
        <v>6</v>
      </c>
      <c r="L898">
        <v>276</v>
      </c>
      <c r="M898" t="s">
        <v>12</v>
      </c>
      <c r="N898">
        <f t="shared" si="39"/>
        <v>54.83</v>
      </c>
      <c r="O898" t="str">
        <f t="shared" si="40"/>
        <v>June</v>
      </c>
      <c r="P898" t="str">
        <f t="shared" si="41"/>
        <v>Weekday</v>
      </c>
    </row>
    <row r="899" spans="1:16" x14ac:dyDescent="0.3">
      <c r="A899" s="1">
        <v>42538</v>
      </c>
      <c r="B899">
        <v>3.34</v>
      </c>
      <c r="C899">
        <v>3.67</v>
      </c>
      <c r="D899">
        <v>3.65</v>
      </c>
      <c r="E899">
        <v>20</v>
      </c>
      <c r="F899">
        <v>8</v>
      </c>
      <c r="G899">
        <v>0</v>
      </c>
      <c r="H899">
        <v>4</v>
      </c>
      <c r="I899">
        <v>4</v>
      </c>
      <c r="J899">
        <v>2016</v>
      </c>
      <c r="K899">
        <v>6</v>
      </c>
      <c r="L899">
        <v>276</v>
      </c>
      <c r="M899" t="s">
        <v>13</v>
      </c>
      <c r="N899">
        <f t="shared" ref="N899:N962" si="42">SUM(B899:I899)</f>
        <v>46.66</v>
      </c>
      <c r="O899" t="str">
        <f t="shared" ref="O899:O962" si="43">TEXT(A899,"mmmm")</f>
        <v>June</v>
      </c>
      <c r="P899" t="str">
        <f t="shared" ref="P899:P962" si="44">IF(OR(M899="Saturday",M899="Sunday"),"Weekend","Weekday")</f>
        <v>Weekday</v>
      </c>
    </row>
    <row r="900" spans="1:16" x14ac:dyDescent="0.3">
      <c r="A900" s="1">
        <v>42539</v>
      </c>
      <c r="B900">
        <v>2</v>
      </c>
      <c r="C900">
        <v>4.33</v>
      </c>
      <c r="D900">
        <v>6.5</v>
      </c>
      <c r="E900">
        <v>37.5</v>
      </c>
      <c r="F900">
        <v>1</v>
      </c>
      <c r="G900">
        <v>0</v>
      </c>
      <c r="H900">
        <v>5</v>
      </c>
      <c r="I900">
        <v>4</v>
      </c>
      <c r="J900">
        <v>2016</v>
      </c>
      <c r="K900">
        <v>6</v>
      </c>
      <c r="L900">
        <v>276</v>
      </c>
      <c r="M900" t="s">
        <v>14</v>
      </c>
      <c r="N900">
        <f t="shared" si="42"/>
        <v>60.33</v>
      </c>
      <c r="O900" t="str">
        <f t="shared" si="43"/>
        <v>June</v>
      </c>
      <c r="P900" t="str">
        <f t="shared" si="44"/>
        <v>Weekend</v>
      </c>
    </row>
    <row r="901" spans="1:16" x14ac:dyDescent="0.3">
      <c r="A901" s="1">
        <v>42540</v>
      </c>
      <c r="B901">
        <v>6.34</v>
      </c>
      <c r="C901">
        <v>6.01</v>
      </c>
      <c r="D901">
        <v>3</v>
      </c>
      <c r="E901">
        <v>40</v>
      </c>
      <c r="F901">
        <v>1</v>
      </c>
      <c r="G901">
        <v>0</v>
      </c>
      <c r="H901">
        <v>7</v>
      </c>
      <c r="I901">
        <v>15</v>
      </c>
      <c r="J901">
        <v>2016</v>
      </c>
      <c r="K901">
        <v>6</v>
      </c>
      <c r="L901">
        <v>276</v>
      </c>
      <c r="M901" t="s">
        <v>15</v>
      </c>
      <c r="N901">
        <f t="shared" si="42"/>
        <v>78.349999999999994</v>
      </c>
      <c r="O901" t="str">
        <f t="shared" si="43"/>
        <v>June</v>
      </c>
      <c r="P901" t="str">
        <f t="shared" si="44"/>
        <v>Weekend</v>
      </c>
    </row>
    <row r="902" spans="1:16" x14ac:dyDescent="0.3">
      <c r="A902" s="1">
        <v>42541</v>
      </c>
      <c r="B902">
        <v>7.34</v>
      </c>
      <c r="C902">
        <v>3.34</v>
      </c>
      <c r="D902">
        <v>6</v>
      </c>
      <c r="E902">
        <v>22.388000000000002</v>
      </c>
      <c r="F902">
        <v>5</v>
      </c>
      <c r="G902">
        <v>0</v>
      </c>
      <c r="H902">
        <v>8</v>
      </c>
      <c r="I902">
        <v>6</v>
      </c>
      <c r="J902">
        <v>2016</v>
      </c>
      <c r="K902">
        <v>6</v>
      </c>
      <c r="L902">
        <v>276</v>
      </c>
      <c r="M902" t="s">
        <v>16</v>
      </c>
      <c r="N902">
        <f t="shared" si="42"/>
        <v>58.067999999999998</v>
      </c>
      <c r="O902" t="str">
        <f t="shared" si="43"/>
        <v>June</v>
      </c>
      <c r="P902" t="str">
        <f t="shared" si="44"/>
        <v>Weekday</v>
      </c>
    </row>
    <row r="903" spans="1:16" x14ac:dyDescent="0.3">
      <c r="A903" s="1">
        <v>42542</v>
      </c>
      <c r="B903">
        <v>7.33</v>
      </c>
      <c r="C903">
        <v>4.66</v>
      </c>
      <c r="D903">
        <v>9</v>
      </c>
      <c r="E903">
        <v>23</v>
      </c>
      <c r="F903">
        <v>15</v>
      </c>
      <c r="G903">
        <v>0</v>
      </c>
      <c r="H903">
        <v>7</v>
      </c>
      <c r="I903">
        <v>5.6</v>
      </c>
      <c r="J903">
        <v>2016</v>
      </c>
      <c r="K903">
        <v>6</v>
      </c>
      <c r="L903">
        <v>276</v>
      </c>
      <c r="M903" t="s">
        <v>17</v>
      </c>
      <c r="N903">
        <f t="shared" si="42"/>
        <v>71.59</v>
      </c>
      <c r="O903" t="str">
        <f t="shared" si="43"/>
        <v>June</v>
      </c>
      <c r="P903" t="str">
        <f t="shared" si="44"/>
        <v>Weekday</v>
      </c>
    </row>
    <row r="904" spans="1:16" x14ac:dyDescent="0.3">
      <c r="A904" s="1">
        <v>42543</v>
      </c>
      <c r="B904">
        <v>2</v>
      </c>
      <c r="C904">
        <v>6.0670000000000002</v>
      </c>
      <c r="D904">
        <v>2.2999999999999998</v>
      </c>
      <c r="E904">
        <v>42</v>
      </c>
      <c r="F904">
        <v>6</v>
      </c>
      <c r="G904">
        <v>0</v>
      </c>
      <c r="H904">
        <v>2</v>
      </c>
      <c r="I904">
        <v>2</v>
      </c>
      <c r="J904">
        <v>2016</v>
      </c>
      <c r="K904">
        <v>6</v>
      </c>
      <c r="L904">
        <v>276</v>
      </c>
      <c r="M904" t="s">
        <v>18</v>
      </c>
      <c r="N904">
        <f t="shared" si="42"/>
        <v>62.367000000000004</v>
      </c>
      <c r="O904" t="str">
        <f t="shared" si="43"/>
        <v>June</v>
      </c>
      <c r="P904" t="str">
        <f t="shared" si="44"/>
        <v>Weekday</v>
      </c>
    </row>
    <row r="905" spans="1:16" x14ac:dyDescent="0.3">
      <c r="A905" s="1">
        <v>42544</v>
      </c>
      <c r="B905">
        <v>3</v>
      </c>
      <c r="C905">
        <v>0.33</v>
      </c>
      <c r="D905">
        <v>2.2999999999999998</v>
      </c>
      <c r="E905">
        <v>19</v>
      </c>
      <c r="F905">
        <v>5</v>
      </c>
      <c r="G905">
        <v>0</v>
      </c>
      <c r="H905">
        <v>1</v>
      </c>
      <c r="I905">
        <v>3</v>
      </c>
      <c r="J905">
        <v>2016</v>
      </c>
      <c r="K905">
        <v>6</v>
      </c>
      <c r="L905">
        <v>276</v>
      </c>
      <c r="M905" t="s">
        <v>12</v>
      </c>
      <c r="N905">
        <f t="shared" si="42"/>
        <v>33.629999999999995</v>
      </c>
      <c r="O905" t="str">
        <f t="shared" si="43"/>
        <v>June</v>
      </c>
      <c r="P905" t="str">
        <f t="shared" si="44"/>
        <v>Weekday</v>
      </c>
    </row>
    <row r="906" spans="1:16" x14ac:dyDescent="0.3">
      <c r="A906" s="1">
        <v>42545</v>
      </c>
      <c r="B906">
        <v>6</v>
      </c>
      <c r="C906">
        <v>2.34</v>
      </c>
      <c r="D906">
        <v>3.05</v>
      </c>
      <c r="E906">
        <v>19</v>
      </c>
      <c r="F906">
        <v>15</v>
      </c>
      <c r="G906">
        <v>0</v>
      </c>
      <c r="H906">
        <v>1</v>
      </c>
      <c r="I906">
        <v>2</v>
      </c>
      <c r="J906">
        <v>2016</v>
      </c>
      <c r="K906">
        <v>6</v>
      </c>
      <c r="L906">
        <v>276</v>
      </c>
      <c r="M906" t="s">
        <v>13</v>
      </c>
      <c r="N906">
        <f t="shared" si="42"/>
        <v>48.39</v>
      </c>
      <c r="O906" t="str">
        <f t="shared" si="43"/>
        <v>June</v>
      </c>
      <c r="P906" t="str">
        <f t="shared" si="44"/>
        <v>Weekday</v>
      </c>
    </row>
    <row r="907" spans="1:16" x14ac:dyDescent="0.3">
      <c r="A907" s="1">
        <v>42546</v>
      </c>
      <c r="B907">
        <v>5.68</v>
      </c>
      <c r="C907">
        <v>4.99</v>
      </c>
      <c r="D907">
        <v>8</v>
      </c>
      <c r="E907">
        <v>20.25</v>
      </c>
      <c r="F907">
        <v>5</v>
      </c>
      <c r="G907">
        <v>0</v>
      </c>
      <c r="H907">
        <v>1</v>
      </c>
      <c r="I907">
        <v>4</v>
      </c>
      <c r="J907">
        <v>2016</v>
      </c>
      <c r="K907">
        <v>6</v>
      </c>
      <c r="L907">
        <v>276</v>
      </c>
      <c r="M907" t="s">
        <v>14</v>
      </c>
      <c r="N907">
        <f t="shared" si="42"/>
        <v>48.92</v>
      </c>
      <c r="O907" t="str">
        <f t="shared" si="43"/>
        <v>June</v>
      </c>
      <c r="P907" t="str">
        <f t="shared" si="44"/>
        <v>Weekend</v>
      </c>
    </row>
    <row r="908" spans="1:16" x14ac:dyDescent="0.3">
      <c r="A908" s="1">
        <v>42547</v>
      </c>
      <c r="B908">
        <v>3</v>
      </c>
      <c r="C908">
        <v>3.8450000000000002</v>
      </c>
      <c r="D908">
        <v>2</v>
      </c>
      <c r="E908">
        <v>17.399999999999999</v>
      </c>
      <c r="F908">
        <v>20</v>
      </c>
      <c r="G908">
        <v>0</v>
      </c>
      <c r="H908">
        <v>2</v>
      </c>
      <c r="I908">
        <v>3</v>
      </c>
      <c r="J908">
        <v>2016</v>
      </c>
      <c r="K908">
        <v>6</v>
      </c>
      <c r="L908">
        <v>276</v>
      </c>
      <c r="M908" t="s">
        <v>15</v>
      </c>
      <c r="N908">
        <f t="shared" si="42"/>
        <v>51.244999999999997</v>
      </c>
      <c r="O908" t="str">
        <f t="shared" si="43"/>
        <v>June</v>
      </c>
      <c r="P908" t="str">
        <f t="shared" si="44"/>
        <v>Weekend</v>
      </c>
    </row>
    <row r="909" spans="1:16" x14ac:dyDescent="0.3">
      <c r="A909" s="1">
        <v>42548</v>
      </c>
      <c r="B909">
        <v>6</v>
      </c>
      <c r="C909">
        <v>3.0670000000000002</v>
      </c>
      <c r="D909">
        <v>5.25</v>
      </c>
      <c r="E909">
        <v>24</v>
      </c>
      <c r="F909">
        <v>9</v>
      </c>
      <c r="G909">
        <v>0</v>
      </c>
      <c r="H909">
        <v>9</v>
      </c>
      <c r="I909">
        <v>2</v>
      </c>
      <c r="J909">
        <v>2016</v>
      </c>
      <c r="K909">
        <v>6</v>
      </c>
      <c r="L909">
        <v>276</v>
      </c>
      <c r="M909" t="s">
        <v>16</v>
      </c>
      <c r="N909">
        <f t="shared" si="42"/>
        <v>58.317</v>
      </c>
      <c r="O909" t="str">
        <f t="shared" si="43"/>
        <v>June</v>
      </c>
      <c r="P909" t="str">
        <f t="shared" si="44"/>
        <v>Weekday</v>
      </c>
    </row>
    <row r="910" spans="1:16" x14ac:dyDescent="0.3">
      <c r="A910" s="1">
        <v>42549</v>
      </c>
      <c r="B910">
        <v>1.33</v>
      </c>
      <c r="C910">
        <v>1.429</v>
      </c>
      <c r="D910">
        <v>2.25</v>
      </c>
      <c r="E910">
        <v>24</v>
      </c>
      <c r="F910">
        <v>20</v>
      </c>
      <c r="G910">
        <v>5</v>
      </c>
      <c r="H910">
        <v>2</v>
      </c>
      <c r="I910">
        <v>7</v>
      </c>
      <c r="J910">
        <v>2016</v>
      </c>
      <c r="K910">
        <v>6</v>
      </c>
      <c r="L910">
        <v>276</v>
      </c>
      <c r="M910" t="s">
        <v>17</v>
      </c>
      <c r="N910">
        <f t="shared" si="42"/>
        <v>63.009</v>
      </c>
      <c r="O910" t="str">
        <f t="shared" si="43"/>
        <v>June</v>
      </c>
      <c r="P910" t="str">
        <f t="shared" si="44"/>
        <v>Weekday</v>
      </c>
    </row>
    <row r="911" spans="1:16" x14ac:dyDescent="0.3">
      <c r="A911" s="1">
        <v>42550</v>
      </c>
      <c r="B911">
        <v>7</v>
      </c>
      <c r="C911">
        <v>8.01</v>
      </c>
      <c r="D911">
        <v>6.5</v>
      </c>
      <c r="E911">
        <v>22</v>
      </c>
      <c r="F911">
        <v>12.5</v>
      </c>
      <c r="G911">
        <v>7</v>
      </c>
      <c r="H911">
        <v>1</v>
      </c>
      <c r="I911">
        <v>2</v>
      </c>
      <c r="J911">
        <v>2016</v>
      </c>
      <c r="K911">
        <v>6</v>
      </c>
      <c r="L911">
        <v>276</v>
      </c>
      <c r="M911" t="s">
        <v>18</v>
      </c>
      <c r="N911">
        <f t="shared" si="42"/>
        <v>66.009999999999991</v>
      </c>
      <c r="O911" t="str">
        <f t="shared" si="43"/>
        <v>June</v>
      </c>
      <c r="P911" t="str">
        <f t="shared" si="44"/>
        <v>Weekday</v>
      </c>
    </row>
    <row r="912" spans="1:16" x14ac:dyDescent="0.3">
      <c r="A912" s="1">
        <v>42551</v>
      </c>
      <c r="B912">
        <v>4</v>
      </c>
      <c r="C912">
        <v>3.8029999999999999</v>
      </c>
      <c r="D912">
        <v>3.2</v>
      </c>
      <c r="E912">
        <v>9</v>
      </c>
      <c r="F912">
        <v>6</v>
      </c>
      <c r="G912">
        <v>0</v>
      </c>
      <c r="H912">
        <v>0</v>
      </c>
      <c r="I912">
        <v>2</v>
      </c>
      <c r="J912">
        <v>2016</v>
      </c>
      <c r="K912">
        <v>6</v>
      </c>
      <c r="L912">
        <v>276</v>
      </c>
      <c r="M912" t="s">
        <v>12</v>
      </c>
      <c r="N912">
        <f t="shared" si="42"/>
        <v>28.003</v>
      </c>
      <c r="O912" t="str">
        <f t="shared" si="43"/>
        <v>June</v>
      </c>
      <c r="P912" t="str">
        <f t="shared" si="44"/>
        <v>Weekday</v>
      </c>
    </row>
    <row r="913" spans="1:16" x14ac:dyDescent="0.3">
      <c r="A913" s="1">
        <v>42552</v>
      </c>
      <c r="B913">
        <v>4</v>
      </c>
      <c r="C913">
        <v>2.0099999999999998</v>
      </c>
      <c r="D913">
        <v>5.5</v>
      </c>
      <c r="E913">
        <v>24</v>
      </c>
      <c r="F913">
        <v>1</v>
      </c>
      <c r="G913">
        <v>0</v>
      </c>
      <c r="H913">
        <v>20</v>
      </c>
      <c r="I913">
        <v>7</v>
      </c>
      <c r="J913">
        <v>2016</v>
      </c>
      <c r="K913">
        <v>7</v>
      </c>
      <c r="L913">
        <v>276</v>
      </c>
      <c r="M913" t="s">
        <v>13</v>
      </c>
      <c r="N913">
        <f t="shared" si="42"/>
        <v>63.51</v>
      </c>
      <c r="O913" t="str">
        <f t="shared" si="43"/>
        <v>July</v>
      </c>
      <c r="P913" t="str">
        <f t="shared" si="44"/>
        <v>Weekday</v>
      </c>
    </row>
    <row r="914" spans="1:16" x14ac:dyDescent="0.3">
      <c r="A914" s="1">
        <v>42553</v>
      </c>
      <c r="B914">
        <v>4.66</v>
      </c>
      <c r="C914">
        <v>5.1319999999999997</v>
      </c>
      <c r="D914">
        <v>6</v>
      </c>
      <c r="E914">
        <v>25.4</v>
      </c>
      <c r="F914">
        <v>9</v>
      </c>
      <c r="G914">
        <v>0</v>
      </c>
      <c r="H914">
        <v>2</v>
      </c>
      <c r="I914">
        <v>3</v>
      </c>
      <c r="J914">
        <v>2016</v>
      </c>
      <c r="K914">
        <v>7</v>
      </c>
      <c r="L914">
        <v>276</v>
      </c>
      <c r="M914" t="s">
        <v>14</v>
      </c>
      <c r="N914">
        <f t="shared" si="42"/>
        <v>55.192</v>
      </c>
      <c r="O914" t="str">
        <f t="shared" si="43"/>
        <v>July</v>
      </c>
      <c r="P914" t="str">
        <f t="shared" si="44"/>
        <v>Weekend</v>
      </c>
    </row>
    <row r="915" spans="1:16" x14ac:dyDescent="0.3">
      <c r="A915" s="1">
        <v>42554</v>
      </c>
      <c r="B915">
        <v>6.67</v>
      </c>
      <c r="C915">
        <v>4.165</v>
      </c>
      <c r="D915">
        <v>5.4</v>
      </c>
      <c r="E915">
        <v>18.600000000000001</v>
      </c>
      <c r="F915">
        <v>4</v>
      </c>
      <c r="G915">
        <v>0</v>
      </c>
      <c r="H915">
        <v>11</v>
      </c>
      <c r="I915">
        <v>5</v>
      </c>
      <c r="J915">
        <v>2016</v>
      </c>
      <c r="K915">
        <v>7</v>
      </c>
      <c r="L915">
        <v>276</v>
      </c>
      <c r="M915" t="s">
        <v>15</v>
      </c>
      <c r="N915">
        <f t="shared" si="42"/>
        <v>54.835000000000001</v>
      </c>
      <c r="O915" t="str">
        <f t="shared" si="43"/>
        <v>July</v>
      </c>
      <c r="P915" t="str">
        <f t="shared" si="44"/>
        <v>Weekend</v>
      </c>
    </row>
    <row r="916" spans="1:16" x14ac:dyDescent="0.3">
      <c r="A916" s="1">
        <v>42555</v>
      </c>
      <c r="B916">
        <v>8.34</v>
      </c>
      <c r="C916">
        <v>5.34</v>
      </c>
      <c r="D916">
        <v>1.1499999999999999</v>
      </c>
      <c r="E916">
        <v>14</v>
      </c>
      <c r="F916">
        <v>8</v>
      </c>
      <c r="G916">
        <v>3</v>
      </c>
      <c r="H916">
        <v>7</v>
      </c>
      <c r="I916">
        <v>6</v>
      </c>
      <c r="J916">
        <v>2016</v>
      </c>
      <c r="K916">
        <v>7</v>
      </c>
      <c r="L916">
        <v>276</v>
      </c>
      <c r="M916" t="s">
        <v>16</v>
      </c>
      <c r="N916">
        <f t="shared" si="42"/>
        <v>52.83</v>
      </c>
      <c r="O916" t="str">
        <f t="shared" si="43"/>
        <v>July</v>
      </c>
      <c r="P916" t="str">
        <f t="shared" si="44"/>
        <v>Weekday</v>
      </c>
    </row>
    <row r="917" spans="1:16" x14ac:dyDescent="0.3">
      <c r="A917" s="1">
        <v>42556</v>
      </c>
      <c r="B917">
        <v>6</v>
      </c>
      <c r="C917">
        <v>4.01</v>
      </c>
      <c r="D917">
        <v>2</v>
      </c>
      <c r="E917">
        <v>19</v>
      </c>
      <c r="F917">
        <v>10</v>
      </c>
      <c r="G917">
        <v>0</v>
      </c>
      <c r="H917">
        <v>0</v>
      </c>
      <c r="I917">
        <v>3</v>
      </c>
      <c r="J917">
        <v>2016</v>
      </c>
      <c r="K917">
        <v>7</v>
      </c>
      <c r="L917">
        <v>276</v>
      </c>
      <c r="M917" t="s">
        <v>17</v>
      </c>
      <c r="N917">
        <f t="shared" si="42"/>
        <v>44.01</v>
      </c>
      <c r="O917" t="str">
        <f t="shared" si="43"/>
        <v>July</v>
      </c>
      <c r="P917" t="str">
        <f t="shared" si="44"/>
        <v>Weekday</v>
      </c>
    </row>
    <row r="918" spans="1:16" x14ac:dyDescent="0.3">
      <c r="A918" s="1">
        <v>42557</v>
      </c>
      <c r="B918">
        <v>9.33</v>
      </c>
      <c r="C918">
        <v>5.726</v>
      </c>
      <c r="D918">
        <v>5</v>
      </c>
      <c r="E918">
        <v>30</v>
      </c>
      <c r="F918">
        <v>5</v>
      </c>
      <c r="G918">
        <v>0</v>
      </c>
      <c r="H918">
        <v>8</v>
      </c>
      <c r="I918">
        <v>4</v>
      </c>
      <c r="J918">
        <v>2016</v>
      </c>
      <c r="K918">
        <v>7</v>
      </c>
      <c r="L918">
        <v>276</v>
      </c>
      <c r="M918" t="s">
        <v>18</v>
      </c>
      <c r="N918">
        <f t="shared" si="42"/>
        <v>67.055999999999997</v>
      </c>
      <c r="O918" t="str">
        <f t="shared" si="43"/>
        <v>July</v>
      </c>
      <c r="P918" t="str">
        <f t="shared" si="44"/>
        <v>Weekday</v>
      </c>
    </row>
    <row r="919" spans="1:16" x14ac:dyDescent="0.3">
      <c r="A919" s="1">
        <v>42558</v>
      </c>
      <c r="B919">
        <v>7.34</v>
      </c>
      <c r="C919">
        <v>5.01</v>
      </c>
      <c r="D919">
        <v>1</v>
      </c>
      <c r="E919">
        <v>21</v>
      </c>
      <c r="F919">
        <v>11</v>
      </c>
      <c r="G919">
        <v>1</v>
      </c>
      <c r="H919">
        <v>0</v>
      </c>
      <c r="I919">
        <v>2</v>
      </c>
      <c r="J919">
        <v>2016</v>
      </c>
      <c r="K919">
        <v>7</v>
      </c>
      <c r="L919">
        <v>276</v>
      </c>
      <c r="M919" t="s">
        <v>12</v>
      </c>
      <c r="N919">
        <f t="shared" si="42"/>
        <v>48.35</v>
      </c>
      <c r="O919" t="str">
        <f t="shared" si="43"/>
        <v>July</v>
      </c>
      <c r="P919" t="str">
        <f t="shared" si="44"/>
        <v>Weekday</v>
      </c>
    </row>
    <row r="920" spans="1:16" x14ac:dyDescent="0.3">
      <c r="A920" s="1">
        <v>42559</v>
      </c>
      <c r="B920">
        <v>1.34</v>
      </c>
      <c r="C920">
        <v>7.056</v>
      </c>
      <c r="D920">
        <v>9.1999999999999993</v>
      </c>
      <c r="E920">
        <v>28</v>
      </c>
      <c r="F920">
        <v>12</v>
      </c>
      <c r="G920">
        <v>1</v>
      </c>
      <c r="H920">
        <v>0</v>
      </c>
      <c r="I920">
        <v>4.3</v>
      </c>
      <c r="J920">
        <v>2016</v>
      </c>
      <c r="K920">
        <v>7</v>
      </c>
      <c r="L920">
        <v>276</v>
      </c>
      <c r="M920" t="s">
        <v>13</v>
      </c>
      <c r="N920">
        <f t="shared" si="42"/>
        <v>62.896000000000001</v>
      </c>
      <c r="O920" t="str">
        <f t="shared" si="43"/>
        <v>July</v>
      </c>
      <c r="P920" t="str">
        <f t="shared" si="44"/>
        <v>Weekday</v>
      </c>
    </row>
    <row r="921" spans="1:16" x14ac:dyDescent="0.3">
      <c r="A921" s="1">
        <v>42560</v>
      </c>
      <c r="B921">
        <v>3.33</v>
      </c>
      <c r="C921">
        <v>6</v>
      </c>
      <c r="D921">
        <v>4.5</v>
      </c>
      <c r="E921">
        <v>11</v>
      </c>
      <c r="F921">
        <v>12</v>
      </c>
      <c r="G921">
        <v>0</v>
      </c>
      <c r="H921">
        <v>0</v>
      </c>
      <c r="I921">
        <v>2</v>
      </c>
      <c r="J921">
        <v>2016</v>
      </c>
      <c r="K921">
        <v>7</v>
      </c>
      <c r="L921">
        <v>276</v>
      </c>
      <c r="M921" t="s">
        <v>14</v>
      </c>
      <c r="N921">
        <f t="shared" si="42"/>
        <v>38.83</v>
      </c>
      <c r="O921" t="str">
        <f t="shared" si="43"/>
        <v>July</v>
      </c>
      <c r="P921" t="str">
        <f t="shared" si="44"/>
        <v>Weekend</v>
      </c>
    </row>
    <row r="922" spans="1:16" x14ac:dyDescent="0.3">
      <c r="A922" s="1">
        <v>42561</v>
      </c>
      <c r="B922">
        <v>5.66</v>
      </c>
      <c r="C922">
        <v>8.32</v>
      </c>
      <c r="D922">
        <v>4.2</v>
      </c>
      <c r="E922">
        <v>29</v>
      </c>
      <c r="F922">
        <v>6</v>
      </c>
      <c r="G922">
        <v>0</v>
      </c>
      <c r="H922">
        <v>0</v>
      </c>
      <c r="I922">
        <v>3</v>
      </c>
      <c r="J922">
        <v>2016</v>
      </c>
      <c r="K922">
        <v>7</v>
      </c>
      <c r="L922">
        <v>276</v>
      </c>
      <c r="M922" t="s">
        <v>15</v>
      </c>
      <c r="N922">
        <f t="shared" si="42"/>
        <v>56.18</v>
      </c>
      <c r="O922" t="str">
        <f t="shared" si="43"/>
        <v>July</v>
      </c>
      <c r="P922" t="str">
        <f t="shared" si="44"/>
        <v>Weekend</v>
      </c>
    </row>
    <row r="923" spans="1:16" x14ac:dyDescent="0.3">
      <c r="A923" s="1">
        <v>42562</v>
      </c>
      <c r="B923">
        <v>6.33</v>
      </c>
      <c r="C923">
        <v>1.7030000000000001</v>
      </c>
      <c r="D923">
        <v>3</v>
      </c>
      <c r="E923">
        <v>19.312000000000001</v>
      </c>
      <c r="F923">
        <v>9</v>
      </c>
      <c r="G923">
        <v>0</v>
      </c>
      <c r="H923">
        <v>4</v>
      </c>
      <c r="I923">
        <v>6.2</v>
      </c>
      <c r="J923">
        <v>2016</v>
      </c>
      <c r="K923">
        <v>7</v>
      </c>
      <c r="L923">
        <v>276</v>
      </c>
      <c r="M923" t="s">
        <v>16</v>
      </c>
      <c r="N923">
        <f t="shared" si="42"/>
        <v>49.545000000000002</v>
      </c>
      <c r="O923" t="str">
        <f t="shared" si="43"/>
        <v>July</v>
      </c>
      <c r="P923" t="str">
        <f t="shared" si="44"/>
        <v>Weekday</v>
      </c>
    </row>
    <row r="924" spans="1:16" x14ac:dyDescent="0.3">
      <c r="A924" s="1">
        <v>42563</v>
      </c>
      <c r="B924">
        <v>5.67</v>
      </c>
      <c r="C924">
        <v>2.67</v>
      </c>
      <c r="D924">
        <v>4</v>
      </c>
      <c r="E924">
        <v>27.2</v>
      </c>
      <c r="F924">
        <v>14</v>
      </c>
      <c r="G924">
        <v>0</v>
      </c>
      <c r="H924">
        <v>3</v>
      </c>
      <c r="I924">
        <v>4</v>
      </c>
      <c r="J924">
        <v>2016</v>
      </c>
      <c r="K924">
        <v>7</v>
      </c>
      <c r="L924">
        <v>276</v>
      </c>
      <c r="M924" t="s">
        <v>17</v>
      </c>
      <c r="N924">
        <f t="shared" si="42"/>
        <v>60.54</v>
      </c>
      <c r="O924" t="str">
        <f t="shared" si="43"/>
        <v>July</v>
      </c>
      <c r="P924" t="str">
        <f t="shared" si="44"/>
        <v>Weekday</v>
      </c>
    </row>
    <row r="925" spans="1:16" x14ac:dyDescent="0.3">
      <c r="A925" s="1">
        <v>42564</v>
      </c>
      <c r="B925">
        <v>6.2183333330000004</v>
      </c>
      <c r="C925">
        <v>7</v>
      </c>
      <c r="D925">
        <v>5</v>
      </c>
      <c r="E925">
        <v>26.4</v>
      </c>
      <c r="F925">
        <v>11</v>
      </c>
      <c r="G925">
        <v>0</v>
      </c>
      <c r="H925">
        <v>3</v>
      </c>
      <c r="I925">
        <v>2</v>
      </c>
      <c r="J925">
        <v>2016</v>
      </c>
      <c r="K925">
        <v>7</v>
      </c>
      <c r="L925">
        <v>276</v>
      </c>
      <c r="M925" t="s">
        <v>18</v>
      </c>
      <c r="N925">
        <f t="shared" si="42"/>
        <v>60.618333332999995</v>
      </c>
      <c r="O925" t="str">
        <f t="shared" si="43"/>
        <v>July</v>
      </c>
      <c r="P925" t="str">
        <f t="shared" si="44"/>
        <v>Weekday</v>
      </c>
    </row>
    <row r="926" spans="1:16" x14ac:dyDescent="0.3">
      <c r="A926" s="1">
        <v>42565</v>
      </c>
      <c r="B926">
        <v>2.34</v>
      </c>
      <c r="C926">
        <v>2.363</v>
      </c>
      <c r="D926">
        <v>5</v>
      </c>
      <c r="E926">
        <v>12.4</v>
      </c>
      <c r="F926">
        <v>3</v>
      </c>
      <c r="G926">
        <v>0</v>
      </c>
      <c r="H926">
        <v>3</v>
      </c>
      <c r="I926">
        <v>5</v>
      </c>
      <c r="J926">
        <v>2016</v>
      </c>
      <c r="K926">
        <v>7</v>
      </c>
      <c r="L926">
        <v>276</v>
      </c>
      <c r="M926" t="s">
        <v>12</v>
      </c>
      <c r="N926">
        <f t="shared" si="42"/>
        <v>33.103000000000002</v>
      </c>
      <c r="O926" t="str">
        <f t="shared" si="43"/>
        <v>July</v>
      </c>
      <c r="P926" t="str">
        <f t="shared" si="44"/>
        <v>Weekday</v>
      </c>
    </row>
    <row r="927" spans="1:16" x14ac:dyDescent="0.3">
      <c r="A927" s="1">
        <v>42566</v>
      </c>
      <c r="B927">
        <v>3</v>
      </c>
      <c r="C927">
        <v>8</v>
      </c>
      <c r="D927">
        <v>2</v>
      </c>
      <c r="E927">
        <v>15</v>
      </c>
      <c r="F927">
        <v>4</v>
      </c>
      <c r="G927">
        <v>0</v>
      </c>
      <c r="H927">
        <v>0</v>
      </c>
      <c r="I927">
        <v>3.33</v>
      </c>
      <c r="J927">
        <v>2016</v>
      </c>
      <c r="K927">
        <v>7</v>
      </c>
      <c r="L927">
        <v>276</v>
      </c>
      <c r="M927" t="s">
        <v>13</v>
      </c>
      <c r="N927">
        <f t="shared" si="42"/>
        <v>35.33</v>
      </c>
      <c r="O927" t="str">
        <f t="shared" si="43"/>
        <v>July</v>
      </c>
      <c r="P927" t="str">
        <f t="shared" si="44"/>
        <v>Weekday</v>
      </c>
    </row>
    <row r="928" spans="1:16" x14ac:dyDescent="0.3">
      <c r="A928" s="1">
        <v>42567</v>
      </c>
      <c r="B928">
        <v>9.33</v>
      </c>
      <c r="C928">
        <v>6.7370000000000001</v>
      </c>
      <c r="D928">
        <v>3</v>
      </c>
      <c r="E928">
        <v>23.3</v>
      </c>
      <c r="F928">
        <v>6</v>
      </c>
      <c r="G928">
        <v>0</v>
      </c>
      <c r="H928">
        <v>1</v>
      </c>
      <c r="I928">
        <v>8</v>
      </c>
      <c r="J928">
        <v>2016</v>
      </c>
      <c r="K928">
        <v>7</v>
      </c>
      <c r="L928">
        <v>276</v>
      </c>
      <c r="M928" t="s">
        <v>14</v>
      </c>
      <c r="N928">
        <f t="shared" si="42"/>
        <v>57.367000000000004</v>
      </c>
      <c r="O928" t="str">
        <f t="shared" si="43"/>
        <v>July</v>
      </c>
      <c r="P928" t="str">
        <f t="shared" si="44"/>
        <v>Weekend</v>
      </c>
    </row>
    <row r="929" spans="1:16" x14ac:dyDescent="0.3">
      <c r="A929" s="1">
        <v>42568</v>
      </c>
      <c r="B929">
        <v>9.01</v>
      </c>
      <c r="C929">
        <v>4.01</v>
      </c>
      <c r="D929">
        <v>3</v>
      </c>
      <c r="E929">
        <v>26.65</v>
      </c>
      <c r="F929">
        <v>3</v>
      </c>
      <c r="G929">
        <v>0</v>
      </c>
      <c r="H929">
        <v>7</v>
      </c>
      <c r="I929">
        <v>4</v>
      </c>
      <c r="J929">
        <v>2016</v>
      </c>
      <c r="K929">
        <v>7</v>
      </c>
      <c r="L929">
        <v>276</v>
      </c>
      <c r="M929" t="s">
        <v>15</v>
      </c>
      <c r="N929">
        <f t="shared" si="42"/>
        <v>56.67</v>
      </c>
      <c r="O929" t="str">
        <f t="shared" si="43"/>
        <v>July</v>
      </c>
      <c r="P929" t="str">
        <f t="shared" si="44"/>
        <v>Weekend</v>
      </c>
    </row>
    <row r="930" spans="1:16" x14ac:dyDescent="0.3">
      <c r="A930" s="1">
        <v>42569</v>
      </c>
      <c r="B930">
        <v>6</v>
      </c>
      <c r="C930">
        <v>2.4969999999999999</v>
      </c>
      <c r="D930">
        <v>8</v>
      </c>
      <c r="E930">
        <v>25.4</v>
      </c>
      <c r="F930">
        <v>2</v>
      </c>
      <c r="G930">
        <v>0</v>
      </c>
      <c r="H930">
        <v>3</v>
      </c>
      <c r="I930">
        <v>4</v>
      </c>
      <c r="J930">
        <v>2016</v>
      </c>
      <c r="K930">
        <v>7</v>
      </c>
      <c r="L930">
        <v>276</v>
      </c>
      <c r="M930" t="s">
        <v>16</v>
      </c>
      <c r="N930">
        <f t="shared" si="42"/>
        <v>50.896999999999998</v>
      </c>
      <c r="O930" t="str">
        <f t="shared" si="43"/>
        <v>July</v>
      </c>
      <c r="P930" t="str">
        <f t="shared" si="44"/>
        <v>Weekday</v>
      </c>
    </row>
    <row r="931" spans="1:16" x14ac:dyDescent="0.3">
      <c r="A931" s="1">
        <v>42570</v>
      </c>
      <c r="B931">
        <v>7.34</v>
      </c>
      <c r="C931">
        <v>1.33</v>
      </c>
      <c r="D931">
        <v>6</v>
      </c>
      <c r="E931">
        <v>19</v>
      </c>
      <c r="F931">
        <v>5</v>
      </c>
      <c r="G931">
        <v>0</v>
      </c>
      <c r="H931">
        <v>1</v>
      </c>
      <c r="I931">
        <v>2</v>
      </c>
      <c r="J931">
        <v>2016</v>
      </c>
      <c r="K931">
        <v>7</v>
      </c>
      <c r="L931">
        <v>276</v>
      </c>
      <c r="M931" t="s">
        <v>17</v>
      </c>
      <c r="N931">
        <f t="shared" si="42"/>
        <v>41.67</v>
      </c>
      <c r="O931" t="str">
        <f t="shared" si="43"/>
        <v>July</v>
      </c>
      <c r="P931" t="str">
        <f t="shared" si="44"/>
        <v>Weekday</v>
      </c>
    </row>
    <row r="932" spans="1:16" x14ac:dyDescent="0.3">
      <c r="A932" s="1">
        <v>42571</v>
      </c>
      <c r="B932">
        <v>10.33</v>
      </c>
      <c r="C932">
        <v>4.66</v>
      </c>
      <c r="D932">
        <v>7.1</v>
      </c>
      <c r="E932">
        <v>25.2</v>
      </c>
      <c r="F932">
        <v>6</v>
      </c>
      <c r="G932">
        <v>0</v>
      </c>
      <c r="H932">
        <v>5</v>
      </c>
      <c r="I932">
        <v>5</v>
      </c>
      <c r="J932">
        <v>2016</v>
      </c>
      <c r="K932">
        <v>7</v>
      </c>
      <c r="L932">
        <v>276</v>
      </c>
      <c r="M932" t="s">
        <v>18</v>
      </c>
      <c r="N932">
        <f t="shared" si="42"/>
        <v>63.29</v>
      </c>
      <c r="O932" t="str">
        <f t="shared" si="43"/>
        <v>July</v>
      </c>
      <c r="P932" t="str">
        <f t="shared" si="44"/>
        <v>Weekday</v>
      </c>
    </row>
    <row r="933" spans="1:16" x14ac:dyDescent="0.3">
      <c r="A933" s="1">
        <v>42572</v>
      </c>
      <c r="B933">
        <v>5.66</v>
      </c>
      <c r="C933">
        <v>5.32</v>
      </c>
      <c r="D933">
        <v>4.0999999999999996</v>
      </c>
      <c r="E933">
        <v>17</v>
      </c>
      <c r="F933">
        <v>15</v>
      </c>
      <c r="G933">
        <v>0</v>
      </c>
      <c r="H933">
        <v>1</v>
      </c>
      <c r="I933">
        <v>2</v>
      </c>
      <c r="J933">
        <v>2016</v>
      </c>
      <c r="K933">
        <v>7</v>
      </c>
      <c r="L933">
        <v>276</v>
      </c>
      <c r="M933" t="s">
        <v>12</v>
      </c>
      <c r="N933">
        <f t="shared" si="42"/>
        <v>50.08</v>
      </c>
      <c r="O933" t="str">
        <f t="shared" si="43"/>
        <v>July</v>
      </c>
      <c r="P933" t="str">
        <f t="shared" si="44"/>
        <v>Weekday</v>
      </c>
    </row>
    <row r="934" spans="1:16" x14ac:dyDescent="0.3">
      <c r="A934" s="1">
        <v>42573</v>
      </c>
      <c r="B934">
        <v>3.33</v>
      </c>
      <c r="C934">
        <v>1.66</v>
      </c>
      <c r="D934">
        <v>7</v>
      </c>
      <c r="E934">
        <v>14</v>
      </c>
      <c r="F934">
        <v>4</v>
      </c>
      <c r="G934">
        <v>0</v>
      </c>
      <c r="H934">
        <v>0</v>
      </c>
      <c r="I934">
        <v>2</v>
      </c>
      <c r="J934">
        <v>2016</v>
      </c>
      <c r="K934">
        <v>7</v>
      </c>
      <c r="L934">
        <v>276</v>
      </c>
      <c r="M934" t="s">
        <v>13</v>
      </c>
      <c r="N934">
        <f t="shared" si="42"/>
        <v>31.990000000000002</v>
      </c>
      <c r="O934" t="str">
        <f t="shared" si="43"/>
        <v>July</v>
      </c>
      <c r="P934" t="str">
        <f t="shared" si="44"/>
        <v>Weekday</v>
      </c>
    </row>
    <row r="935" spans="1:16" x14ac:dyDescent="0.3">
      <c r="A935" s="1">
        <v>42574</v>
      </c>
      <c r="B935">
        <v>4.66</v>
      </c>
      <c r="C935">
        <v>5.49</v>
      </c>
      <c r="D935">
        <v>2.1</v>
      </c>
      <c r="E935">
        <v>15</v>
      </c>
      <c r="F935">
        <v>6</v>
      </c>
      <c r="G935">
        <v>0</v>
      </c>
      <c r="H935">
        <v>0</v>
      </c>
      <c r="I935">
        <v>5</v>
      </c>
      <c r="J935">
        <v>2016</v>
      </c>
      <c r="K935">
        <v>7</v>
      </c>
      <c r="L935">
        <v>276</v>
      </c>
      <c r="M935" t="s">
        <v>14</v>
      </c>
      <c r="N935">
        <f t="shared" si="42"/>
        <v>38.25</v>
      </c>
      <c r="O935" t="str">
        <f t="shared" si="43"/>
        <v>July</v>
      </c>
      <c r="P935" t="str">
        <f t="shared" si="44"/>
        <v>Weekend</v>
      </c>
    </row>
    <row r="936" spans="1:16" x14ac:dyDescent="0.3">
      <c r="A936" s="1">
        <v>42575</v>
      </c>
      <c r="B936">
        <v>2.33</v>
      </c>
      <c r="C936">
        <v>4.99</v>
      </c>
      <c r="D936">
        <v>4</v>
      </c>
      <c r="E936">
        <v>32</v>
      </c>
      <c r="F936">
        <v>4</v>
      </c>
      <c r="G936">
        <v>0</v>
      </c>
      <c r="H936">
        <v>0</v>
      </c>
      <c r="I936">
        <v>2</v>
      </c>
      <c r="J936">
        <v>2016</v>
      </c>
      <c r="K936">
        <v>7</v>
      </c>
      <c r="L936">
        <v>276</v>
      </c>
      <c r="M936" t="s">
        <v>15</v>
      </c>
      <c r="N936">
        <f t="shared" si="42"/>
        <v>49.32</v>
      </c>
      <c r="O936" t="str">
        <f t="shared" si="43"/>
        <v>July</v>
      </c>
      <c r="P936" t="str">
        <f t="shared" si="44"/>
        <v>Weekend</v>
      </c>
    </row>
    <row r="937" spans="1:16" x14ac:dyDescent="0.3">
      <c r="A937" s="1">
        <v>42576</v>
      </c>
      <c r="B937">
        <v>13</v>
      </c>
      <c r="C937">
        <v>3.33</v>
      </c>
      <c r="D937">
        <v>7</v>
      </c>
      <c r="E937">
        <v>22</v>
      </c>
      <c r="F937">
        <v>9</v>
      </c>
      <c r="G937">
        <v>0</v>
      </c>
      <c r="H937">
        <v>4</v>
      </c>
      <c r="I937">
        <v>4</v>
      </c>
      <c r="J937">
        <v>2016</v>
      </c>
      <c r="K937">
        <v>7</v>
      </c>
      <c r="L937">
        <v>276</v>
      </c>
      <c r="M937" t="s">
        <v>16</v>
      </c>
      <c r="N937">
        <f t="shared" si="42"/>
        <v>62.33</v>
      </c>
      <c r="O937" t="str">
        <f t="shared" si="43"/>
        <v>July</v>
      </c>
      <c r="P937" t="str">
        <f t="shared" si="44"/>
        <v>Weekday</v>
      </c>
    </row>
    <row r="938" spans="1:16" x14ac:dyDescent="0.3">
      <c r="A938" s="1">
        <v>42577</v>
      </c>
      <c r="B938">
        <v>8.32</v>
      </c>
      <c r="C938">
        <v>2.66</v>
      </c>
      <c r="D938">
        <v>1</v>
      </c>
      <c r="E938">
        <v>10</v>
      </c>
      <c r="F938">
        <v>16</v>
      </c>
      <c r="G938">
        <v>0</v>
      </c>
      <c r="H938">
        <v>0</v>
      </c>
      <c r="I938">
        <v>2</v>
      </c>
      <c r="J938">
        <v>2016</v>
      </c>
      <c r="K938">
        <v>7</v>
      </c>
      <c r="L938">
        <v>276</v>
      </c>
      <c r="M938" t="s">
        <v>17</v>
      </c>
      <c r="N938">
        <f t="shared" si="42"/>
        <v>39.980000000000004</v>
      </c>
      <c r="O938" t="str">
        <f t="shared" si="43"/>
        <v>July</v>
      </c>
      <c r="P938" t="str">
        <f t="shared" si="44"/>
        <v>Weekday</v>
      </c>
    </row>
    <row r="939" spans="1:16" x14ac:dyDescent="0.3">
      <c r="A939" s="1">
        <v>42578</v>
      </c>
      <c r="B939">
        <v>3</v>
      </c>
      <c r="C939">
        <v>6.33</v>
      </c>
      <c r="D939">
        <v>4.1500000000000004</v>
      </c>
      <c r="E939">
        <v>10</v>
      </c>
      <c r="F939">
        <v>4</v>
      </c>
      <c r="G939">
        <v>1</v>
      </c>
      <c r="H939">
        <v>9</v>
      </c>
      <c r="I939">
        <v>2</v>
      </c>
      <c r="J939">
        <v>2016</v>
      </c>
      <c r="K939">
        <v>7</v>
      </c>
      <c r="L939">
        <v>276</v>
      </c>
      <c r="M939" t="s">
        <v>18</v>
      </c>
      <c r="N939">
        <f t="shared" si="42"/>
        <v>39.480000000000004</v>
      </c>
      <c r="O939" t="str">
        <f t="shared" si="43"/>
        <v>July</v>
      </c>
      <c r="P939" t="str">
        <f t="shared" si="44"/>
        <v>Weekday</v>
      </c>
    </row>
    <row r="940" spans="1:16" x14ac:dyDescent="0.3">
      <c r="A940" s="1">
        <v>42579</v>
      </c>
      <c r="B940">
        <v>9.67</v>
      </c>
      <c r="C940">
        <v>3.99</v>
      </c>
      <c r="D940">
        <v>4</v>
      </c>
      <c r="E940">
        <v>22.5</v>
      </c>
      <c r="F940">
        <v>12</v>
      </c>
      <c r="G940">
        <v>1</v>
      </c>
      <c r="H940">
        <v>5</v>
      </c>
      <c r="I940">
        <v>3</v>
      </c>
      <c r="J940">
        <v>2016</v>
      </c>
      <c r="K940">
        <v>7</v>
      </c>
      <c r="L940">
        <v>276</v>
      </c>
      <c r="M940" t="s">
        <v>12</v>
      </c>
      <c r="N940">
        <f t="shared" si="42"/>
        <v>61.16</v>
      </c>
      <c r="O940" t="str">
        <f t="shared" si="43"/>
        <v>July</v>
      </c>
      <c r="P940" t="str">
        <f t="shared" si="44"/>
        <v>Weekday</v>
      </c>
    </row>
    <row r="941" spans="1:16" x14ac:dyDescent="0.3">
      <c r="A941" s="1">
        <v>42580</v>
      </c>
      <c r="B941">
        <v>9.99</v>
      </c>
      <c r="C941">
        <v>4.51</v>
      </c>
      <c r="D941">
        <v>6</v>
      </c>
      <c r="E941">
        <v>11</v>
      </c>
      <c r="F941">
        <v>17</v>
      </c>
      <c r="G941">
        <v>1</v>
      </c>
      <c r="H941">
        <v>11</v>
      </c>
      <c r="I941">
        <v>2</v>
      </c>
      <c r="J941">
        <v>2016</v>
      </c>
      <c r="K941">
        <v>7</v>
      </c>
      <c r="L941">
        <v>276</v>
      </c>
      <c r="M941" t="s">
        <v>13</v>
      </c>
      <c r="N941">
        <f t="shared" si="42"/>
        <v>62.5</v>
      </c>
      <c r="O941" t="str">
        <f t="shared" si="43"/>
        <v>July</v>
      </c>
      <c r="P941" t="str">
        <f t="shared" si="44"/>
        <v>Weekday</v>
      </c>
    </row>
    <row r="942" spans="1:16" x14ac:dyDescent="0.3">
      <c r="A942" s="1">
        <v>42581</v>
      </c>
      <c r="B942">
        <v>6.33</v>
      </c>
      <c r="C942">
        <v>3.99</v>
      </c>
      <c r="D942">
        <v>4</v>
      </c>
      <c r="E942">
        <v>37</v>
      </c>
      <c r="F942">
        <v>7</v>
      </c>
      <c r="G942">
        <v>0</v>
      </c>
      <c r="H942">
        <v>1</v>
      </c>
      <c r="I942">
        <v>6</v>
      </c>
      <c r="J942">
        <v>2016</v>
      </c>
      <c r="K942">
        <v>7</v>
      </c>
      <c r="L942">
        <v>276</v>
      </c>
      <c r="M942" t="s">
        <v>14</v>
      </c>
      <c r="N942">
        <f t="shared" si="42"/>
        <v>65.319999999999993</v>
      </c>
      <c r="O942" t="str">
        <f t="shared" si="43"/>
        <v>July</v>
      </c>
      <c r="P942" t="str">
        <f t="shared" si="44"/>
        <v>Weekend</v>
      </c>
    </row>
    <row r="943" spans="1:16" x14ac:dyDescent="0.3">
      <c r="A943" s="1">
        <v>42582</v>
      </c>
      <c r="B943">
        <v>6</v>
      </c>
      <c r="C943">
        <v>5.01</v>
      </c>
      <c r="D943">
        <v>4.5</v>
      </c>
      <c r="E943">
        <v>22</v>
      </c>
      <c r="F943">
        <v>5</v>
      </c>
      <c r="G943">
        <v>0</v>
      </c>
      <c r="H943">
        <v>0</v>
      </c>
      <c r="I943">
        <v>4</v>
      </c>
      <c r="J943">
        <v>2016</v>
      </c>
      <c r="K943">
        <v>7</v>
      </c>
      <c r="L943">
        <v>276</v>
      </c>
      <c r="M943" t="s">
        <v>15</v>
      </c>
      <c r="N943">
        <f t="shared" si="42"/>
        <v>46.51</v>
      </c>
      <c r="O943" t="str">
        <f t="shared" si="43"/>
        <v>July</v>
      </c>
      <c r="P943" t="str">
        <f t="shared" si="44"/>
        <v>Weekend</v>
      </c>
    </row>
    <row r="944" spans="1:16" x14ac:dyDescent="0.3">
      <c r="A944" s="1">
        <v>42583</v>
      </c>
      <c r="B944">
        <v>8.33</v>
      </c>
      <c r="C944">
        <v>1.3959999999999999</v>
      </c>
      <c r="D944">
        <v>5</v>
      </c>
      <c r="E944">
        <v>14</v>
      </c>
      <c r="F944">
        <v>7.5</v>
      </c>
      <c r="G944">
        <v>1</v>
      </c>
      <c r="H944">
        <v>1</v>
      </c>
      <c r="I944">
        <v>6</v>
      </c>
      <c r="J944">
        <v>2016</v>
      </c>
      <c r="K944">
        <v>8</v>
      </c>
      <c r="L944">
        <v>276</v>
      </c>
      <c r="M944" t="s">
        <v>16</v>
      </c>
      <c r="N944">
        <f t="shared" si="42"/>
        <v>44.225999999999999</v>
      </c>
      <c r="O944" t="str">
        <f t="shared" si="43"/>
        <v>August</v>
      </c>
      <c r="P944" t="str">
        <f t="shared" si="44"/>
        <v>Weekday</v>
      </c>
    </row>
    <row r="945" spans="1:16" x14ac:dyDescent="0.3">
      <c r="A945" s="1">
        <v>42584</v>
      </c>
      <c r="B945">
        <v>8.33</v>
      </c>
      <c r="C945">
        <v>7</v>
      </c>
      <c r="D945">
        <v>5</v>
      </c>
      <c r="E945">
        <v>12</v>
      </c>
      <c r="F945">
        <v>12</v>
      </c>
      <c r="G945">
        <v>0</v>
      </c>
      <c r="H945">
        <v>1</v>
      </c>
      <c r="I945">
        <v>1</v>
      </c>
      <c r="J945">
        <v>2016</v>
      </c>
      <c r="K945">
        <v>8</v>
      </c>
      <c r="L945">
        <v>276</v>
      </c>
      <c r="M945" t="s">
        <v>17</v>
      </c>
      <c r="N945">
        <f t="shared" si="42"/>
        <v>46.33</v>
      </c>
      <c r="O945" t="str">
        <f t="shared" si="43"/>
        <v>August</v>
      </c>
      <c r="P945" t="str">
        <f t="shared" si="44"/>
        <v>Weekday</v>
      </c>
    </row>
    <row r="946" spans="1:16" x14ac:dyDescent="0.3">
      <c r="A946" s="1">
        <v>42585</v>
      </c>
      <c r="B946">
        <v>8</v>
      </c>
      <c r="C946">
        <v>2.98</v>
      </c>
      <c r="D946">
        <v>3.5</v>
      </c>
      <c r="E946">
        <v>21</v>
      </c>
      <c r="F946">
        <v>11</v>
      </c>
      <c r="G946">
        <v>0</v>
      </c>
      <c r="H946">
        <v>13</v>
      </c>
      <c r="I946">
        <v>3</v>
      </c>
      <c r="J946">
        <v>2016</v>
      </c>
      <c r="K946">
        <v>8</v>
      </c>
      <c r="L946">
        <v>276</v>
      </c>
      <c r="M946" t="s">
        <v>18</v>
      </c>
      <c r="N946">
        <f t="shared" si="42"/>
        <v>62.480000000000004</v>
      </c>
      <c r="O946" t="str">
        <f t="shared" si="43"/>
        <v>August</v>
      </c>
      <c r="P946" t="str">
        <f t="shared" si="44"/>
        <v>Weekday</v>
      </c>
    </row>
    <row r="947" spans="1:16" x14ac:dyDescent="0.3">
      <c r="A947" s="1">
        <v>42586</v>
      </c>
      <c r="B947">
        <v>8</v>
      </c>
      <c r="C947">
        <v>2.6930000000000001</v>
      </c>
      <c r="D947">
        <v>2</v>
      </c>
      <c r="E947">
        <v>34.4</v>
      </c>
      <c r="F947">
        <v>12</v>
      </c>
      <c r="G947">
        <v>0</v>
      </c>
      <c r="H947">
        <v>17</v>
      </c>
      <c r="I947">
        <v>4</v>
      </c>
      <c r="J947">
        <v>2016</v>
      </c>
      <c r="K947">
        <v>8</v>
      </c>
      <c r="L947">
        <v>276</v>
      </c>
      <c r="M947" t="s">
        <v>12</v>
      </c>
      <c r="N947">
        <f t="shared" si="42"/>
        <v>80.092999999999989</v>
      </c>
      <c r="O947" t="str">
        <f t="shared" si="43"/>
        <v>August</v>
      </c>
      <c r="P947" t="str">
        <f t="shared" si="44"/>
        <v>Weekday</v>
      </c>
    </row>
    <row r="948" spans="1:16" x14ac:dyDescent="0.3">
      <c r="A948" s="1">
        <v>42587</v>
      </c>
      <c r="B948">
        <v>10.33</v>
      </c>
      <c r="C948">
        <v>3.42</v>
      </c>
      <c r="D948">
        <v>3.7</v>
      </c>
      <c r="E948">
        <v>21</v>
      </c>
      <c r="F948">
        <v>24</v>
      </c>
      <c r="G948">
        <v>0</v>
      </c>
      <c r="H948">
        <v>24</v>
      </c>
      <c r="I948">
        <v>1.3</v>
      </c>
      <c r="J948">
        <v>2016</v>
      </c>
      <c r="K948">
        <v>8</v>
      </c>
      <c r="L948">
        <v>276</v>
      </c>
      <c r="M948" t="s">
        <v>13</v>
      </c>
      <c r="N948">
        <f t="shared" si="42"/>
        <v>87.75</v>
      </c>
      <c r="O948" t="str">
        <f t="shared" si="43"/>
        <v>August</v>
      </c>
      <c r="P948" t="str">
        <f t="shared" si="44"/>
        <v>Weekday</v>
      </c>
    </row>
    <row r="949" spans="1:16" x14ac:dyDescent="0.3">
      <c r="A949" s="1">
        <v>42588</v>
      </c>
      <c r="B949">
        <v>3</v>
      </c>
      <c r="C949">
        <v>3.6619999999999999</v>
      </c>
      <c r="D949">
        <v>5</v>
      </c>
      <c r="E949">
        <v>20</v>
      </c>
      <c r="F949">
        <v>33</v>
      </c>
      <c r="G949">
        <v>0</v>
      </c>
      <c r="H949">
        <v>1</v>
      </c>
      <c r="I949">
        <v>2</v>
      </c>
      <c r="J949">
        <v>2016</v>
      </c>
      <c r="K949">
        <v>8</v>
      </c>
      <c r="L949">
        <v>276</v>
      </c>
      <c r="M949" t="s">
        <v>14</v>
      </c>
      <c r="N949">
        <f t="shared" si="42"/>
        <v>67.662000000000006</v>
      </c>
      <c r="O949" t="str">
        <f t="shared" si="43"/>
        <v>August</v>
      </c>
      <c r="P949" t="str">
        <f t="shared" si="44"/>
        <v>Weekend</v>
      </c>
    </row>
    <row r="950" spans="1:16" x14ac:dyDescent="0.3">
      <c r="A950" s="1">
        <v>42589</v>
      </c>
      <c r="B950">
        <v>8</v>
      </c>
      <c r="C950">
        <v>4.1550000000000002</v>
      </c>
      <c r="D950">
        <v>8.1999999999999993</v>
      </c>
      <c r="E950">
        <v>40.200000000000003</v>
      </c>
      <c r="F950">
        <v>12</v>
      </c>
      <c r="G950">
        <v>0</v>
      </c>
      <c r="H950">
        <v>5</v>
      </c>
      <c r="I950">
        <v>3</v>
      </c>
      <c r="J950">
        <v>2016</v>
      </c>
      <c r="K950">
        <v>8</v>
      </c>
      <c r="L950">
        <v>276</v>
      </c>
      <c r="M950" t="s">
        <v>15</v>
      </c>
      <c r="N950">
        <f t="shared" si="42"/>
        <v>80.555000000000007</v>
      </c>
      <c r="O950" t="str">
        <f t="shared" si="43"/>
        <v>August</v>
      </c>
      <c r="P950" t="str">
        <f t="shared" si="44"/>
        <v>Weekend</v>
      </c>
    </row>
    <row r="951" spans="1:16" x14ac:dyDescent="0.3">
      <c r="A951" s="1">
        <v>42590</v>
      </c>
      <c r="B951">
        <v>8.34</v>
      </c>
      <c r="C951">
        <v>5.99</v>
      </c>
      <c r="D951">
        <v>5.5</v>
      </c>
      <c r="E951">
        <v>15</v>
      </c>
      <c r="F951">
        <v>36</v>
      </c>
      <c r="G951">
        <v>0</v>
      </c>
      <c r="H951">
        <v>1</v>
      </c>
      <c r="I951">
        <v>4</v>
      </c>
      <c r="J951">
        <v>2016</v>
      </c>
      <c r="K951">
        <v>8</v>
      </c>
      <c r="L951">
        <v>276</v>
      </c>
      <c r="M951" t="s">
        <v>16</v>
      </c>
      <c r="N951">
        <f t="shared" si="42"/>
        <v>75.83</v>
      </c>
      <c r="O951" t="str">
        <f t="shared" si="43"/>
        <v>August</v>
      </c>
      <c r="P951" t="str">
        <f t="shared" si="44"/>
        <v>Weekday</v>
      </c>
    </row>
    <row r="952" spans="1:16" x14ac:dyDescent="0.3">
      <c r="A952" s="1">
        <v>42591</v>
      </c>
      <c r="B952">
        <v>6.33</v>
      </c>
      <c r="C952">
        <v>4.66</v>
      </c>
      <c r="D952">
        <v>7</v>
      </c>
      <c r="E952">
        <v>29</v>
      </c>
      <c r="F952">
        <v>26</v>
      </c>
      <c r="G952">
        <v>1</v>
      </c>
      <c r="H952">
        <v>2</v>
      </c>
      <c r="I952">
        <v>4</v>
      </c>
      <c r="J952">
        <v>2016</v>
      </c>
      <c r="K952">
        <v>8</v>
      </c>
      <c r="L952">
        <v>276</v>
      </c>
      <c r="M952" t="s">
        <v>17</v>
      </c>
      <c r="N952">
        <f t="shared" si="42"/>
        <v>79.990000000000009</v>
      </c>
      <c r="O952" t="str">
        <f t="shared" si="43"/>
        <v>August</v>
      </c>
      <c r="P952" t="str">
        <f t="shared" si="44"/>
        <v>Weekday</v>
      </c>
    </row>
    <row r="953" spans="1:16" x14ac:dyDescent="0.3">
      <c r="A953" s="1">
        <v>42592</v>
      </c>
      <c r="B953">
        <v>11.34</v>
      </c>
      <c r="C953">
        <v>2.99</v>
      </c>
      <c r="D953">
        <v>7</v>
      </c>
      <c r="E953">
        <v>24.1</v>
      </c>
      <c r="F953">
        <v>11</v>
      </c>
      <c r="G953">
        <v>0</v>
      </c>
      <c r="H953">
        <v>3</v>
      </c>
      <c r="I953">
        <v>2</v>
      </c>
      <c r="J953">
        <v>2016</v>
      </c>
      <c r="K953">
        <v>8</v>
      </c>
      <c r="L953">
        <v>276</v>
      </c>
      <c r="M953" t="s">
        <v>18</v>
      </c>
      <c r="N953">
        <f t="shared" si="42"/>
        <v>61.43</v>
      </c>
      <c r="O953" t="str">
        <f t="shared" si="43"/>
        <v>August</v>
      </c>
      <c r="P953" t="str">
        <f t="shared" si="44"/>
        <v>Weekday</v>
      </c>
    </row>
    <row r="954" spans="1:16" x14ac:dyDescent="0.3">
      <c r="A954" s="1">
        <v>42593</v>
      </c>
      <c r="B954">
        <v>5.67</v>
      </c>
      <c r="C954">
        <v>3.66</v>
      </c>
      <c r="D954">
        <v>0</v>
      </c>
      <c r="E954">
        <v>25</v>
      </c>
      <c r="F954">
        <v>1</v>
      </c>
      <c r="G954">
        <v>0</v>
      </c>
      <c r="H954">
        <v>0</v>
      </c>
      <c r="I954">
        <v>2</v>
      </c>
      <c r="J954">
        <v>2016</v>
      </c>
      <c r="K954">
        <v>8</v>
      </c>
      <c r="L954">
        <v>276</v>
      </c>
      <c r="M954" t="s">
        <v>12</v>
      </c>
      <c r="N954">
        <f t="shared" si="42"/>
        <v>37.33</v>
      </c>
      <c r="O954" t="str">
        <f t="shared" si="43"/>
        <v>August</v>
      </c>
      <c r="P954" t="str">
        <f t="shared" si="44"/>
        <v>Weekday</v>
      </c>
    </row>
    <row r="955" spans="1:16" x14ac:dyDescent="0.3">
      <c r="A955" s="1">
        <v>42594</v>
      </c>
      <c r="B955">
        <v>8.66</v>
      </c>
      <c r="C955">
        <v>5.66</v>
      </c>
      <c r="D955">
        <v>6.1</v>
      </c>
      <c r="E955">
        <v>27.6</v>
      </c>
      <c r="F955">
        <v>6</v>
      </c>
      <c r="G955">
        <v>4</v>
      </c>
      <c r="H955">
        <v>0</v>
      </c>
      <c r="I955">
        <v>2</v>
      </c>
      <c r="J955">
        <v>2016</v>
      </c>
      <c r="K955">
        <v>8</v>
      </c>
      <c r="L955">
        <v>276</v>
      </c>
      <c r="M955" t="s">
        <v>13</v>
      </c>
      <c r="N955">
        <f t="shared" si="42"/>
        <v>60.02</v>
      </c>
      <c r="O955" t="str">
        <f t="shared" si="43"/>
        <v>August</v>
      </c>
      <c r="P955" t="str">
        <f t="shared" si="44"/>
        <v>Weekday</v>
      </c>
    </row>
    <row r="956" spans="1:16" x14ac:dyDescent="0.3">
      <c r="A956" s="1">
        <v>42595</v>
      </c>
      <c r="B956">
        <v>8</v>
      </c>
      <c r="C956">
        <v>6.7370000000000001</v>
      </c>
      <c r="D956">
        <v>5</v>
      </c>
      <c r="E956">
        <v>32</v>
      </c>
      <c r="F956">
        <v>2</v>
      </c>
      <c r="G956">
        <v>0</v>
      </c>
      <c r="H956">
        <v>0</v>
      </c>
      <c r="I956">
        <v>5</v>
      </c>
      <c r="J956">
        <v>2016</v>
      </c>
      <c r="K956">
        <v>8</v>
      </c>
      <c r="L956">
        <v>276</v>
      </c>
      <c r="M956" t="s">
        <v>14</v>
      </c>
      <c r="N956">
        <f t="shared" si="42"/>
        <v>58.737000000000002</v>
      </c>
      <c r="O956" t="str">
        <f t="shared" si="43"/>
        <v>August</v>
      </c>
      <c r="P956" t="str">
        <f t="shared" si="44"/>
        <v>Weekend</v>
      </c>
    </row>
    <row r="957" spans="1:16" x14ac:dyDescent="0.3">
      <c r="A957" s="1">
        <v>42596</v>
      </c>
      <c r="B957">
        <v>5</v>
      </c>
      <c r="C957">
        <v>4.8570000000000002</v>
      </c>
      <c r="D957">
        <v>4.5</v>
      </c>
      <c r="E957">
        <v>18.216666669999999</v>
      </c>
      <c r="F957">
        <v>2</v>
      </c>
      <c r="G957">
        <v>0</v>
      </c>
      <c r="H957">
        <v>7</v>
      </c>
      <c r="I957">
        <v>0</v>
      </c>
      <c r="J957">
        <v>2016</v>
      </c>
      <c r="K957">
        <v>8</v>
      </c>
      <c r="L957">
        <v>276</v>
      </c>
      <c r="M957" t="s">
        <v>15</v>
      </c>
      <c r="N957">
        <f t="shared" si="42"/>
        <v>41.573666669999994</v>
      </c>
      <c r="O957" t="str">
        <f t="shared" si="43"/>
        <v>August</v>
      </c>
      <c r="P957" t="str">
        <f t="shared" si="44"/>
        <v>Weekend</v>
      </c>
    </row>
    <row r="958" spans="1:16" x14ac:dyDescent="0.3">
      <c r="A958" s="1">
        <v>42597</v>
      </c>
      <c r="B958">
        <v>5</v>
      </c>
      <c r="C958">
        <v>2.33</v>
      </c>
      <c r="D958">
        <v>2</v>
      </c>
      <c r="E958">
        <v>21</v>
      </c>
      <c r="F958">
        <v>11</v>
      </c>
      <c r="G958">
        <v>0</v>
      </c>
      <c r="H958">
        <v>0</v>
      </c>
      <c r="I958">
        <v>2</v>
      </c>
      <c r="J958">
        <v>2016</v>
      </c>
      <c r="K958">
        <v>8</v>
      </c>
      <c r="L958">
        <v>276</v>
      </c>
      <c r="M958" t="s">
        <v>16</v>
      </c>
      <c r="N958">
        <f t="shared" si="42"/>
        <v>43.33</v>
      </c>
      <c r="O958" t="str">
        <f t="shared" si="43"/>
        <v>August</v>
      </c>
      <c r="P958" t="str">
        <f t="shared" si="44"/>
        <v>Weekday</v>
      </c>
    </row>
    <row r="959" spans="1:16" x14ac:dyDescent="0.3">
      <c r="A959" s="1">
        <v>42598</v>
      </c>
      <c r="B959">
        <v>10</v>
      </c>
      <c r="C959">
        <v>4.66</v>
      </c>
      <c r="D959">
        <v>3</v>
      </c>
      <c r="E959">
        <v>14.45</v>
      </c>
      <c r="F959">
        <v>4</v>
      </c>
      <c r="G959">
        <v>0</v>
      </c>
      <c r="H959">
        <v>11</v>
      </c>
      <c r="I959">
        <v>3.5</v>
      </c>
      <c r="J959">
        <v>2016</v>
      </c>
      <c r="K959">
        <v>8</v>
      </c>
      <c r="L959">
        <v>276</v>
      </c>
      <c r="M959" t="s">
        <v>17</v>
      </c>
      <c r="N959">
        <f t="shared" si="42"/>
        <v>50.61</v>
      </c>
      <c r="O959" t="str">
        <f t="shared" si="43"/>
        <v>August</v>
      </c>
      <c r="P959" t="str">
        <f t="shared" si="44"/>
        <v>Weekday</v>
      </c>
    </row>
    <row r="960" spans="1:16" x14ac:dyDescent="0.3">
      <c r="A960" s="1">
        <v>42599</v>
      </c>
      <c r="B960">
        <v>8.66</v>
      </c>
      <c r="C960">
        <v>2.0099999999999998</v>
      </c>
      <c r="D960">
        <v>4</v>
      </c>
      <c r="E960">
        <v>9.5</v>
      </c>
      <c r="F960">
        <v>7</v>
      </c>
      <c r="G960">
        <v>0</v>
      </c>
      <c r="H960">
        <v>5</v>
      </c>
      <c r="I960">
        <v>5</v>
      </c>
      <c r="J960">
        <v>2016</v>
      </c>
      <c r="K960">
        <v>8</v>
      </c>
      <c r="L960">
        <v>276</v>
      </c>
      <c r="M960" t="s">
        <v>18</v>
      </c>
      <c r="N960">
        <f t="shared" si="42"/>
        <v>41.17</v>
      </c>
      <c r="O960" t="str">
        <f t="shared" si="43"/>
        <v>August</v>
      </c>
      <c r="P960" t="str">
        <f t="shared" si="44"/>
        <v>Weekday</v>
      </c>
    </row>
    <row r="961" spans="1:16" x14ac:dyDescent="0.3">
      <c r="A961" s="1">
        <v>42600</v>
      </c>
      <c r="B961">
        <v>6.99</v>
      </c>
      <c r="C961">
        <v>3.363</v>
      </c>
      <c r="D961">
        <v>4</v>
      </c>
      <c r="E961">
        <v>25.6</v>
      </c>
      <c r="F961">
        <v>7</v>
      </c>
      <c r="G961">
        <v>0</v>
      </c>
      <c r="H961">
        <v>0</v>
      </c>
      <c r="I961">
        <v>1</v>
      </c>
      <c r="J961">
        <v>2016</v>
      </c>
      <c r="K961">
        <v>8</v>
      </c>
      <c r="L961">
        <v>276</v>
      </c>
      <c r="M961" t="s">
        <v>12</v>
      </c>
      <c r="N961">
        <f t="shared" si="42"/>
        <v>47.953000000000003</v>
      </c>
      <c r="O961" t="str">
        <f t="shared" si="43"/>
        <v>August</v>
      </c>
      <c r="P961" t="str">
        <f t="shared" si="44"/>
        <v>Weekday</v>
      </c>
    </row>
    <row r="962" spans="1:16" x14ac:dyDescent="0.3">
      <c r="A962" s="1">
        <v>42601</v>
      </c>
      <c r="B962">
        <v>1</v>
      </c>
      <c r="C962">
        <v>4.33</v>
      </c>
      <c r="D962">
        <v>0.6</v>
      </c>
      <c r="E962">
        <v>27</v>
      </c>
      <c r="F962">
        <v>12</v>
      </c>
      <c r="G962">
        <v>0</v>
      </c>
      <c r="H962">
        <v>0</v>
      </c>
      <c r="I962">
        <v>4</v>
      </c>
      <c r="J962">
        <v>2016</v>
      </c>
      <c r="K962">
        <v>8</v>
      </c>
      <c r="L962">
        <v>276</v>
      </c>
      <c r="M962" t="s">
        <v>13</v>
      </c>
      <c r="N962">
        <f t="shared" si="42"/>
        <v>48.93</v>
      </c>
      <c r="O962" t="str">
        <f t="shared" si="43"/>
        <v>August</v>
      </c>
      <c r="P962" t="str">
        <f t="shared" si="44"/>
        <v>Weekday</v>
      </c>
    </row>
    <row r="963" spans="1:16" x14ac:dyDescent="0.3">
      <c r="A963" s="1">
        <v>42602</v>
      </c>
      <c r="B963">
        <v>4.33</v>
      </c>
      <c r="C963">
        <v>2.99</v>
      </c>
      <c r="D963">
        <v>6</v>
      </c>
      <c r="E963">
        <v>26.2</v>
      </c>
      <c r="F963">
        <v>1</v>
      </c>
      <c r="G963">
        <v>0</v>
      </c>
      <c r="H963">
        <v>0</v>
      </c>
      <c r="I963">
        <v>6</v>
      </c>
      <c r="J963">
        <v>2016</v>
      </c>
      <c r="K963">
        <v>8</v>
      </c>
      <c r="L963">
        <v>276</v>
      </c>
      <c r="M963" t="s">
        <v>14</v>
      </c>
      <c r="N963">
        <f t="shared" ref="N963:N1026" si="45">SUM(B963:I963)</f>
        <v>46.519999999999996</v>
      </c>
      <c r="O963" t="str">
        <f t="shared" ref="O963:O1026" si="46">TEXT(A963,"mmmm")</f>
        <v>August</v>
      </c>
      <c r="P963" t="str">
        <f t="shared" ref="P963:P1026" si="47">IF(OR(M963="Saturday",M963="Sunday"),"Weekend","Weekday")</f>
        <v>Weekend</v>
      </c>
    </row>
    <row r="964" spans="1:16" x14ac:dyDescent="0.3">
      <c r="A964" s="1">
        <v>42603</v>
      </c>
      <c r="B964">
        <v>8</v>
      </c>
      <c r="C964">
        <v>3.6269999999999998</v>
      </c>
      <c r="D964">
        <v>7.4</v>
      </c>
      <c r="E964">
        <v>39</v>
      </c>
      <c r="F964">
        <v>3</v>
      </c>
      <c r="G964">
        <v>4</v>
      </c>
      <c r="H964">
        <v>1</v>
      </c>
      <c r="I964">
        <v>1</v>
      </c>
      <c r="J964">
        <v>2016</v>
      </c>
      <c r="K964">
        <v>8</v>
      </c>
      <c r="L964">
        <v>276</v>
      </c>
      <c r="M964" t="s">
        <v>15</v>
      </c>
      <c r="N964">
        <f t="shared" si="45"/>
        <v>67.027000000000001</v>
      </c>
      <c r="O964" t="str">
        <f t="shared" si="46"/>
        <v>August</v>
      </c>
      <c r="P964" t="str">
        <f t="shared" si="47"/>
        <v>Weekend</v>
      </c>
    </row>
    <row r="965" spans="1:16" x14ac:dyDescent="0.3">
      <c r="A965" s="1">
        <v>42604</v>
      </c>
      <c r="B965">
        <v>3.34</v>
      </c>
      <c r="C965">
        <v>3.3860000000000001</v>
      </c>
      <c r="D965">
        <v>0</v>
      </c>
      <c r="E965">
        <v>23.2</v>
      </c>
      <c r="F965">
        <v>3</v>
      </c>
      <c r="G965">
        <v>0</v>
      </c>
      <c r="H965">
        <v>0</v>
      </c>
      <c r="I965">
        <v>6</v>
      </c>
      <c r="J965">
        <v>2016</v>
      </c>
      <c r="K965">
        <v>8</v>
      </c>
      <c r="L965">
        <v>276</v>
      </c>
      <c r="M965" t="s">
        <v>16</v>
      </c>
      <c r="N965">
        <f t="shared" si="45"/>
        <v>38.926000000000002</v>
      </c>
      <c r="O965" t="str">
        <f t="shared" si="46"/>
        <v>August</v>
      </c>
      <c r="P965" t="str">
        <f t="shared" si="47"/>
        <v>Weekday</v>
      </c>
    </row>
    <row r="966" spans="1:16" x14ac:dyDescent="0.3">
      <c r="A966" s="1">
        <v>42605</v>
      </c>
      <c r="B966">
        <v>3</v>
      </c>
      <c r="C966">
        <v>3.0659999999999998</v>
      </c>
      <c r="D966">
        <v>4</v>
      </c>
      <c r="E966">
        <v>14.7</v>
      </c>
      <c r="F966">
        <v>7</v>
      </c>
      <c r="G966">
        <v>1</v>
      </c>
      <c r="H966">
        <v>0</v>
      </c>
      <c r="I966">
        <v>1.2</v>
      </c>
      <c r="J966">
        <v>2016</v>
      </c>
      <c r="K966">
        <v>8</v>
      </c>
      <c r="L966">
        <v>276</v>
      </c>
      <c r="M966" t="s">
        <v>17</v>
      </c>
      <c r="N966">
        <f t="shared" si="45"/>
        <v>33.966000000000001</v>
      </c>
      <c r="O966" t="str">
        <f t="shared" si="46"/>
        <v>August</v>
      </c>
      <c r="P966" t="str">
        <f t="shared" si="47"/>
        <v>Weekday</v>
      </c>
    </row>
    <row r="967" spans="1:16" x14ac:dyDescent="0.3">
      <c r="A967" s="1">
        <v>42606</v>
      </c>
      <c r="B967">
        <v>9.33</v>
      </c>
      <c r="C967">
        <v>3.4870000000000001</v>
      </c>
      <c r="D967">
        <v>8</v>
      </c>
      <c r="E967">
        <v>11.3</v>
      </c>
      <c r="F967">
        <v>2</v>
      </c>
      <c r="G967">
        <v>0</v>
      </c>
      <c r="H967">
        <v>0</v>
      </c>
      <c r="I967">
        <v>3</v>
      </c>
      <c r="J967">
        <v>2016</v>
      </c>
      <c r="K967">
        <v>8</v>
      </c>
      <c r="L967">
        <v>276</v>
      </c>
      <c r="M967" t="s">
        <v>18</v>
      </c>
      <c r="N967">
        <f t="shared" si="45"/>
        <v>37.117000000000004</v>
      </c>
      <c r="O967" t="str">
        <f t="shared" si="46"/>
        <v>August</v>
      </c>
      <c r="P967" t="str">
        <f t="shared" si="47"/>
        <v>Weekday</v>
      </c>
    </row>
    <row r="968" spans="1:16" x14ac:dyDescent="0.3">
      <c r="A968" s="1">
        <v>42607</v>
      </c>
      <c r="B968">
        <v>4.33</v>
      </c>
      <c r="C968">
        <v>2.67</v>
      </c>
      <c r="D968">
        <v>8</v>
      </c>
      <c r="E968">
        <v>19.399999999999999</v>
      </c>
      <c r="F968">
        <v>4</v>
      </c>
      <c r="G968">
        <v>1</v>
      </c>
      <c r="H968">
        <v>4</v>
      </c>
      <c r="I968">
        <v>5</v>
      </c>
      <c r="J968">
        <v>2016</v>
      </c>
      <c r="K968">
        <v>8</v>
      </c>
      <c r="L968">
        <v>276</v>
      </c>
      <c r="M968" t="s">
        <v>12</v>
      </c>
      <c r="N968">
        <f t="shared" si="45"/>
        <v>48.4</v>
      </c>
      <c r="O968" t="str">
        <f t="shared" si="46"/>
        <v>August</v>
      </c>
      <c r="P968" t="str">
        <f t="shared" si="47"/>
        <v>Weekday</v>
      </c>
    </row>
    <row r="969" spans="1:16" x14ac:dyDescent="0.3">
      <c r="A969" s="1">
        <v>42608</v>
      </c>
      <c r="B969">
        <v>4</v>
      </c>
      <c r="C969">
        <v>2.0230000000000001</v>
      </c>
      <c r="D969">
        <v>2</v>
      </c>
      <c r="E969">
        <v>20.7</v>
      </c>
      <c r="F969">
        <v>3</v>
      </c>
      <c r="G969">
        <v>0</v>
      </c>
      <c r="H969">
        <v>0</v>
      </c>
      <c r="I969">
        <v>0</v>
      </c>
      <c r="J969">
        <v>2016</v>
      </c>
      <c r="K969">
        <v>8</v>
      </c>
      <c r="L969">
        <v>276</v>
      </c>
      <c r="M969" t="s">
        <v>13</v>
      </c>
      <c r="N969">
        <f t="shared" si="45"/>
        <v>31.722999999999999</v>
      </c>
      <c r="O969" t="str">
        <f t="shared" si="46"/>
        <v>August</v>
      </c>
      <c r="P969" t="str">
        <f t="shared" si="47"/>
        <v>Weekday</v>
      </c>
    </row>
    <row r="970" spans="1:16" x14ac:dyDescent="0.3">
      <c r="A970" s="1">
        <v>42609</v>
      </c>
      <c r="B970">
        <v>8.83</v>
      </c>
      <c r="C970">
        <v>1.736</v>
      </c>
      <c r="D970">
        <v>1</v>
      </c>
      <c r="E970">
        <v>17.516666669999999</v>
      </c>
      <c r="F970">
        <v>2</v>
      </c>
      <c r="G970">
        <v>0</v>
      </c>
      <c r="H970">
        <v>11</v>
      </c>
      <c r="I970">
        <v>0</v>
      </c>
      <c r="J970">
        <v>2016</v>
      </c>
      <c r="K970">
        <v>8</v>
      </c>
      <c r="L970">
        <v>276</v>
      </c>
      <c r="M970" t="s">
        <v>14</v>
      </c>
      <c r="N970">
        <f t="shared" si="45"/>
        <v>42.082666670000002</v>
      </c>
      <c r="O970" t="str">
        <f t="shared" si="46"/>
        <v>August</v>
      </c>
      <c r="P970" t="str">
        <f t="shared" si="47"/>
        <v>Weekend</v>
      </c>
    </row>
    <row r="971" spans="1:16" x14ac:dyDescent="0.3">
      <c r="A971" s="1">
        <v>42610</v>
      </c>
      <c r="B971">
        <v>7.33</v>
      </c>
      <c r="C971">
        <v>7.02</v>
      </c>
      <c r="D971">
        <v>6.2</v>
      </c>
      <c r="E971">
        <v>37</v>
      </c>
      <c r="F971">
        <v>3</v>
      </c>
      <c r="G971">
        <v>0</v>
      </c>
      <c r="H971">
        <v>6</v>
      </c>
      <c r="I971">
        <v>2</v>
      </c>
      <c r="J971">
        <v>2016</v>
      </c>
      <c r="K971">
        <v>8</v>
      </c>
      <c r="L971">
        <v>276</v>
      </c>
      <c r="M971" t="s">
        <v>15</v>
      </c>
      <c r="N971">
        <f t="shared" si="45"/>
        <v>68.55</v>
      </c>
      <c r="O971" t="str">
        <f t="shared" si="46"/>
        <v>August</v>
      </c>
      <c r="P971" t="str">
        <f t="shared" si="47"/>
        <v>Weekend</v>
      </c>
    </row>
    <row r="972" spans="1:16" x14ac:dyDescent="0.3">
      <c r="A972" s="1">
        <v>42611</v>
      </c>
      <c r="B972">
        <v>9</v>
      </c>
      <c r="C972">
        <v>0.67</v>
      </c>
      <c r="D972">
        <v>2</v>
      </c>
      <c r="E972">
        <v>14.2</v>
      </c>
      <c r="F972">
        <v>4</v>
      </c>
      <c r="G972">
        <v>0</v>
      </c>
      <c r="H972">
        <v>1</v>
      </c>
      <c r="I972">
        <v>1.3</v>
      </c>
      <c r="J972">
        <v>2016</v>
      </c>
      <c r="K972">
        <v>8</v>
      </c>
      <c r="L972">
        <v>276</v>
      </c>
      <c r="M972" t="s">
        <v>16</v>
      </c>
      <c r="N972">
        <f t="shared" si="45"/>
        <v>32.169999999999995</v>
      </c>
      <c r="O972" t="str">
        <f t="shared" si="46"/>
        <v>August</v>
      </c>
      <c r="P972" t="str">
        <f t="shared" si="47"/>
        <v>Weekday</v>
      </c>
    </row>
    <row r="973" spans="1:16" x14ac:dyDescent="0.3">
      <c r="A973" s="1">
        <v>42612</v>
      </c>
      <c r="B973">
        <v>4.66</v>
      </c>
      <c r="C973">
        <v>1.32</v>
      </c>
      <c r="D973">
        <v>2</v>
      </c>
      <c r="E973">
        <v>8.9</v>
      </c>
      <c r="F973">
        <v>4</v>
      </c>
      <c r="G973">
        <v>0</v>
      </c>
      <c r="H973">
        <v>1</v>
      </c>
      <c r="I973">
        <v>0</v>
      </c>
      <c r="J973">
        <v>2016</v>
      </c>
      <c r="K973">
        <v>8</v>
      </c>
      <c r="L973">
        <v>276</v>
      </c>
      <c r="M973" t="s">
        <v>17</v>
      </c>
      <c r="N973">
        <f t="shared" si="45"/>
        <v>21.880000000000003</v>
      </c>
      <c r="O973" t="str">
        <f t="shared" si="46"/>
        <v>August</v>
      </c>
      <c r="P973" t="str">
        <f t="shared" si="47"/>
        <v>Weekday</v>
      </c>
    </row>
    <row r="974" spans="1:16" x14ac:dyDescent="0.3">
      <c r="A974" s="1">
        <v>42613</v>
      </c>
      <c r="B974">
        <v>6</v>
      </c>
      <c r="C974">
        <v>5.827</v>
      </c>
      <c r="D974">
        <v>5</v>
      </c>
      <c r="E974">
        <v>23.2</v>
      </c>
      <c r="F974">
        <v>3</v>
      </c>
      <c r="G974">
        <v>0</v>
      </c>
      <c r="H974">
        <v>1</v>
      </c>
      <c r="I974">
        <v>5</v>
      </c>
      <c r="J974">
        <v>2016</v>
      </c>
      <c r="K974">
        <v>8</v>
      </c>
      <c r="L974">
        <v>276</v>
      </c>
      <c r="M974" t="s">
        <v>18</v>
      </c>
      <c r="N974">
        <f t="shared" si="45"/>
        <v>49.027000000000001</v>
      </c>
      <c r="O974" t="str">
        <f t="shared" si="46"/>
        <v>August</v>
      </c>
      <c r="P974" t="str">
        <f t="shared" si="47"/>
        <v>Weekday</v>
      </c>
    </row>
    <row r="975" spans="1:16" x14ac:dyDescent="0.3">
      <c r="A975" s="1">
        <v>42614</v>
      </c>
      <c r="B975">
        <v>5</v>
      </c>
      <c r="C975">
        <v>3.66</v>
      </c>
      <c r="D975">
        <v>5</v>
      </c>
      <c r="E975">
        <v>31.4</v>
      </c>
      <c r="F975">
        <v>2</v>
      </c>
      <c r="G975">
        <v>0</v>
      </c>
      <c r="H975">
        <v>0</v>
      </c>
      <c r="I975">
        <v>3</v>
      </c>
      <c r="J975">
        <v>2016</v>
      </c>
      <c r="K975">
        <v>9</v>
      </c>
      <c r="L975">
        <v>276</v>
      </c>
      <c r="M975" t="s">
        <v>12</v>
      </c>
      <c r="N975">
        <f t="shared" si="45"/>
        <v>50.06</v>
      </c>
      <c r="O975" t="str">
        <f t="shared" si="46"/>
        <v>September</v>
      </c>
      <c r="P975" t="str">
        <f t="shared" si="47"/>
        <v>Weekday</v>
      </c>
    </row>
    <row r="976" spans="1:16" x14ac:dyDescent="0.3">
      <c r="A976" s="1">
        <v>42615</v>
      </c>
      <c r="B976">
        <v>9.34</v>
      </c>
      <c r="C976">
        <v>4.0199999999999996</v>
      </c>
      <c r="D976">
        <v>5</v>
      </c>
      <c r="E976">
        <v>10</v>
      </c>
      <c r="F976">
        <v>25</v>
      </c>
      <c r="G976">
        <v>0</v>
      </c>
      <c r="H976">
        <v>5</v>
      </c>
      <c r="I976">
        <v>2</v>
      </c>
      <c r="J976">
        <v>2016</v>
      </c>
      <c r="K976">
        <v>9</v>
      </c>
      <c r="L976">
        <v>276</v>
      </c>
      <c r="M976" t="s">
        <v>13</v>
      </c>
      <c r="N976">
        <f t="shared" si="45"/>
        <v>60.36</v>
      </c>
      <c r="O976" t="str">
        <f t="shared" si="46"/>
        <v>September</v>
      </c>
      <c r="P976" t="str">
        <f t="shared" si="47"/>
        <v>Weekday</v>
      </c>
    </row>
    <row r="977" spans="1:16" x14ac:dyDescent="0.3">
      <c r="A977" s="1">
        <v>42616</v>
      </c>
      <c r="B977">
        <v>5.33</v>
      </c>
      <c r="C977">
        <v>4.0250000000000004</v>
      </c>
      <c r="D977">
        <v>6.5</v>
      </c>
      <c r="E977">
        <v>54.2</v>
      </c>
      <c r="F977">
        <v>5</v>
      </c>
      <c r="G977">
        <v>0</v>
      </c>
      <c r="H977">
        <v>4</v>
      </c>
      <c r="I977">
        <v>4</v>
      </c>
      <c r="J977">
        <v>2016</v>
      </c>
      <c r="K977">
        <v>9</v>
      </c>
      <c r="L977">
        <v>276</v>
      </c>
      <c r="M977" t="s">
        <v>14</v>
      </c>
      <c r="N977">
        <f t="shared" si="45"/>
        <v>83.055000000000007</v>
      </c>
      <c r="O977" t="str">
        <f t="shared" si="46"/>
        <v>September</v>
      </c>
      <c r="P977" t="str">
        <f t="shared" si="47"/>
        <v>Weekend</v>
      </c>
    </row>
    <row r="978" spans="1:16" x14ac:dyDescent="0.3">
      <c r="A978" s="1">
        <v>42617</v>
      </c>
      <c r="B978">
        <v>8.33</v>
      </c>
      <c r="C978">
        <v>4.3959999999999999</v>
      </c>
      <c r="D978">
        <v>0</v>
      </c>
      <c r="E978">
        <v>30.9</v>
      </c>
      <c r="F978">
        <v>10</v>
      </c>
      <c r="G978">
        <v>0</v>
      </c>
      <c r="H978">
        <v>4</v>
      </c>
      <c r="I978">
        <v>5</v>
      </c>
      <c r="J978">
        <v>2016</v>
      </c>
      <c r="K978">
        <v>9</v>
      </c>
      <c r="L978">
        <v>276</v>
      </c>
      <c r="M978" t="s">
        <v>15</v>
      </c>
      <c r="N978">
        <f t="shared" si="45"/>
        <v>62.625999999999998</v>
      </c>
      <c r="O978" t="str">
        <f t="shared" si="46"/>
        <v>September</v>
      </c>
      <c r="P978" t="str">
        <f t="shared" si="47"/>
        <v>Weekend</v>
      </c>
    </row>
    <row r="979" spans="1:16" x14ac:dyDescent="0.3">
      <c r="A979" s="1">
        <v>42618</v>
      </c>
      <c r="B979">
        <v>3.32</v>
      </c>
      <c r="C979">
        <v>4.3959999999999999</v>
      </c>
      <c r="D979">
        <v>2</v>
      </c>
      <c r="E979">
        <v>34.299999999999997</v>
      </c>
      <c r="F979">
        <v>8</v>
      </c>
      <c r="G979">
        <v>2</v>
      </c>
      <c r="H979">
        <v>2</v>
      </c>
      <c r="I979">
        <v>4</v>
      </c>
      <c r="J979">
        <v>2016</v>
      </c>
      <c r="K979">
        <v>9</v>
      </c>
      <c r="L979">
        <v>276</v>
      </c>
      <c r="M979" t="s">
        <v>16</v>
      </c>
      <c r="N979">
        <f t="shared" si="45"/>
        <v>60.015999999999998</v>
      </c>
      <c r="O979" t="str">
        <f t="shared" si="46"/>
        <v>September</v>
      </c>
      <c r="P979" t="str">
        <f t="shared" si="47"/>
        <v>Weekday</v>
      </c>
    </row>
    <row r="980" spans="1:16" x14ac:dyDescent="0.3">
      <c r="A980" s="1">
        <v>42619</v>
      </c>
      <c r="B980">
        <v>5</v>
      </c>
      <c r="C980">
        <v>1.33</v>
      </c>
      <c r="D980">
        <v>1</v>
      </c>
      <c r="E980">
        <v>32.799999999999997</v>
      </c>
      <c r="F980">
        <v>14</v>
      </c>
      <c r="G980">
        <v>3</v>
      </c>
      <c r="H980">
        <v>0</v>
      </c>
      <c r="I980">
        <v>3</v>
      </c>
      <c r="J980">
        <v>2016</v>
      </c>
      <c r="K980">
        <v>9</v>
      </c>
      <c r="L980">
        <v>276</v>
      </c>
      <c r="M980" t="s">
        <v>17</v>
      </c>
      <c r="N980">
        <f t="shared" si="45"/>
        <v>60.129999999999995</v>
      </c>
      <c r="O980" t="str">
        <f t="shared" si="46"/>
        <v>September</v>
      </c>
      <c r="P980" t="str">
        <f t="shared" si="47"/>
        <v>Weekday</v>
      </c>
    </row>
    <row r="981" spans="1:16" x14ac:dyDescent="0.3">
      <c r="A981" s="1">
        <v>42620</v>
      </c>
      <c r="B981">
        <v>2.33</v>
      </c>
      <c r="C981">
        <v>2.19</v>
      </c>
      <c r="D981">
        <v>3</v>
      </c>
      <c r="E981">
        <v>37.6</v>
      </c>
      <c r="F981">
        <v>14</v>
      </c>
      <c r="G981">
        <v>0</v>
      </c>
      <c r="H981">
        <v>0</v>
      </c>
      <c r="I981">
        <v>3</v>
      </c>
      <c r="J981">
        <v>2016</v>
      </c>
      <c r="K981">
        <v>9</v>
      </c>
      <c r="L981">
        <v>276</v>
      </c>
      <c r="M981" t="s">
        <v>18</v>
      </c>
      <c r="N981">
        <f t="shared" si="45"/>
        <v>62.120000000000005</v>
      </c>
      <c r="O981" t="str">
        <f t="shared" si="46"/>
        <v>September</v>
      </c>
      <c r="P981" t="str">
        <f t="shared" si="47"/>
        <v>Weekday</v>
      </c>
    </row>
    <row r="982" spans="1:16" x14ac:dyDescent="0.3">
      <c r="A982" s="1">
        <v>42621</v>
      </c>
      <c r="B982">
        <v>6</v>
      </c>
      <c r="C982">
        <v>2.99</v>
      </c>
      <c r="D982">
        <v>4</v>
      </c>
      <c r="E982">
        <v>33</v>
      </c>
      <c r="F982">
        <v>8</v>
      </c>
      <c r="G982">
        <v>1</v>
      </c>
      <c r="H982">
        <v>0</v>
      </c>
      <c r="I982">
        <v>0</v>
      </c>
      <c r="J982">
        <v>2016</v>
      </c>
      <c r="K982">
        <v>9</v>
      </c>
      <c r="L982">
        <v>276</v>
      </c>
      <c r="M982" t="s">
        <v>12</v>
      </c>
      <c r="N982">
        <f t="shared" si="45"/>
        <v>54.99</v>
      </c>
      <c r="O982" t="str">
        <f t="shared" si="46"/>
        <v>September</v>
      </c>
      <c r="P982" t="str">
        <f t="shared" si="47"/>
        <v>Weekday</v>
      </c>
    </row>
    <row r="983" spans="1:16" x14ac:dyDescent="0.3">
      <c r="A983" s="1">
        <v>42622</v>
      </c>
      <c r="B983">
        <v>4.99</v>
      </c>
      <c r="C983">
        <v>3.99</v>
      </c>
      <c r="D983">
        <v>3.25</v>
      </c>
      <c r="E983">
        <v>26.123999999999999</v>
      </c>
      <c r="F983">
        <v>11</v>
      </c>
      <c r="G983">
        <v>2</v>
      </c>
      <c r="H983">
        <v>10</v>
      </c>
      <c r="I983">
        <v>3</v>
      </c>
      <c r="J983">
        <v>2016</v>
      </c>
      <c r="K983">
        <v>9</v>
      </c>
      <c r="L983">
        <v>276</v>
      </c>
      <c r="M983" t="s">
        <v>13</v>
      </c>
      <c r="N983">
        <f t="shared" si="45"/>
        <v>64.353999999999999</v>
      </c>
      <c r="O983" t="str">
        <f t="shared" si="46"/>
        <v>September</v>
      </c>
      <c r="P983" t="str">
        <f t="shared" si="47"/>
        <v>Weekday</v>
      </c>
    </row>
    <row r="984" spans="1:16" x14ac:dyDescent="0.3">
      <c r="A984" s="1">
        <v>42623</v>
      </c>
      <c r="B984">
        <v>8.33</v>
      </c>
      <c r="C984">
        <v>11.31</v>
      </c>
      <c r="D984">
        <v>10</v>
      </c>
      <c r="E984">
        <v>34</v>
      </c>
      <c r="F984">
        <v>9</v>
      </c>
      <c r="G984">
        <v>0</v>
      </c>
      <c r="H984">
        <v>4</v>
      </c>
      <c r="I984">
        <v>3</v>
      </c>
      <c r="J984">
        <v>2016</v>
      </c>
      <c r="K984">
        <v>9</v>
      </c>
      <c r="L984">
        <v>276</v>
      </c>
      <c r="M984" t="s">
        <v>14</v>
      </c>
      <c r="N984">
        <f t="shared" si="45"/>
        <v>79.64</v>
      </c>
      <c r="O984" t="str">
        <f t="shared" si="46"/>
        <v>September</v>
      </c>
      <c r="P984" t="str">
        <f t="shared" si="47"/>
        <v>Weekend</v>
      </c>
    </row>
    <row r="985" spans="1:16" x14ac:dyDescent="0.3">
      <c r="A985" s="1">
        <v>42624</v>
      </c>
      <c r="B985">
        <v>2.66</v>
      </c>
      <c r="C985">
        <v>6.99</v>
      </c>
      <c r="D985">
        <v>7.1</v>
      </c>
      <c r="E985">
        <v>57.2</v>
      </c>
      <c r="F985">
        <v>8</v>
      </c>
      <c r="G985">
        <v>0</v>
      </c>
      <c r="H985">
        <v>10</v>
      </c>
      <c r="I985">
        <v>4</v>
      </c>
      <c r="J985">
        <v>2016</v>
      </c>
      <c r="K985">
        <v>9</v>
      </c>
      <c r="L985">
        <v>276</v>
      </c>
      <c r="M985" t="s">
        <v>15</v>
      </c>
      <c r="N985">
        <f t="shared" si="45"/>
        <v>95.95</v>
      </c>
      <c r="O985" t="str">
        <f t="shared" si="46"/>
        <v>September</v>
      </c>
      <c r="P985" t="str">
        <f t="shared" si="47"/>
        <v>Weekend</v>
      </c>
    </row>
    <row r="986" spans="1:16" x14ac:dyDescent="0.3">
      <c r="A986" s="1">
        <v>42625</v>
      </c>
      <c r="B986">
        <v>7</v>
      </c>
      <c r="C986">
        <v>6</v>
      </c>
      <c r="D986">
        <v>4</v>
      </c>
      <c r="E986">
        <v>24</v>
      </c>
      <c r="F986">
        <v>10</v>
      </c>
      <c r="G986">
        <v>0</v>
      </c>
      <c r="H986">
        <v>8</v>
      </c>
      <c r="I986">
        <v>4</v>
      </c>
      <c r="J986">
        <v>2016</v>
      </c>
      <c r="K986">
        <v>9</v>
      </c>
      <c r="L986">
        <v>276</v>
      </c>
      <c r="M986" t="s">
        <v>16</v>
      </c>
      <c r="N986">
        <f t="shared" si="45"/>
        <v>63</v>
      </c>
      <c r="O986" t="str">
        <f t="shared" si="46"/>
        <v>September</v>
      </c>
      <c r="P986" t="str">
        <f t="shared" si="47"/>
        <v>Weekday</v>
      </c>
    </row>
    <row r="987" spans="1:16" x14ac:dyDescent="0.3">
      <c r="A987" s="1">
        <v>42626</v>
      </c>
      <c r="B987">
        <v>7</v>
      </c>
      <c r="C987">
        <v>5.7590000000000003</v>
      </c>
      <c r="D987">
        <v>4</v>
      </c>
      <c r="E987">
        <v>32</v>
      </c>
      <c r="F987">
        <v>13</v>
      </c>
      <c r="G987">
        <v>0</v>
      </c>
      <c r="H987">
        <v>2</v>
      </c>
      <c r="I987">
        <v>0</v>
      </c>
      <c r="J987">
        <v>2016</v>
      </c>
      <c r="K987">
        <v>9</v>
      </c>
      <c r="L987">
        <v>276</v>
      </c>
      <c r="M987" t="s">
        <v>17</v>
      </c>
      <c r="N987">
        <f t="shared" si="45"/>
        <v>63.759</v>
      </c>
      <c r="O987" t="str">
        <f t="shared" si="46"/>
        <v>September</v>
      </c>
      <c r="P987" t="str">
        <f t="shared" si="47"/>
        <v>Weekday</v>
      </c>
    </row>
    <row r="988" spans="1:16" x14ac:dyDescent="0.3">
      <c r="A988" s="1">
        <v>42627</v>
      </c>
      <c r="B988">
        <v>6</v>
      </c>
      <c r="C988">
        <v>3.7919999999999998</v>
      </c>
      <c r="D988">
        <v>2.5</v>
      </c>
      <c r="E988">
        <v>24.4</v>
      </c>
      <c r="F988">
        <v>7</v>
      </c>
      <c r="G988">
        <v>0</v>
      </c>
      <c r="H988">
        <v>8</v>
      </c>
      <c r="I988">
        <v>2</v>
      </c>
      <c r="J988">
        <v>2016</v>
      </c>
      <c r="K988">
        <v>9</v>
      </c>
      <c r="L988">
        <v>276</v>
      </c>
      <c r="M988" t="s">
        <v>18</v>
      </c>
      <c r="N988">
        <f t="shared" si="45"/>
        <v>53.692</v>
      </c>
      <c r="O988" t="str">
        <f t="shared" si="46"/>
        <v>September</v>
      </c>
      <c r="P988" t="str">
        <f t="shared" si="47"/>
        <v>Weekday</v>
      </c>
    </row>
    <row r="989" spans="1:16" x14ac:dyDescent="0.3">
      <c r="A989" s="1">
        <v>42628</v>
      </c>
      <c r="B989">
        <v>3</v>
      </c>
      <c r="C989">
        <v>6.6280000000000001</v>
      </c>
      <c r="D989">
        <v>2</v>
      </c>
      <c r="E989">
        <v>38</v>
      </c>
      <c r="F989">
        <v>31</v>
      </c>
      <c r="G989">
        <v>0</v>
      </c>
      <c r="H989">
        <v>3</v>
      </c>
      <c r="I989">
        <v>1</v>
      </c>
      <c r="J989">
        <v>2016</v>
      </c>
      <c r="K989">
        <v>9</v>
      </c>
      <c r="L989">
        <v>276</v>
      </c>
      <c r="M989" t="s">
        <v>12</v>
      </c>
      <c r="N989">
        <f t="shared" si="45"/>
        <v>84.628</v>
      </c>
      <c r="O989" t="str">
        <f t="shared" si="46"/>
        <v>September</v>
      </c>
      <c r="P989" t="str">
        <f t="shared" si="47"/>
        <v>Weekday</v>
      </c>
    </row>
    <row r="990" spans="1:16" x14ac:dyDescent="0.3">
      <c r="A990" s="1">
        <v>42629</v>
      </c>
      <c r="B990">
        <v>2</v>
      </c>
      <c r="C990">
        <v>1.33</v>
      </c>
      <c r="D990">
        <v>4</v>
      </c>
      <c r="E990">
        <v>26.3</v>
      </c>
      <c r="F990">
        <v>17</v>
      </c>
      <c r="G990">
        <v>0</v>
      </c>
      <c r="H990">
        <v>3</v>
      </c>
      <c r="I990">
        <v>0</v>
      </c>
      <c r="J990">
        <v>2016</v>
      </c>
      <c r="K990">
        <v>9</v>
      </c>
      <c r="L990">
        <v>276</v>
      </c>
      <c r="M990" t="s">
        <v>13</v>
      </c>
      <c r="N990">
        <f t="shared" si="45"/>
        <v>53.63</v>
      </c>
      <c r="O990" t="str">
        <f t="shared" si="46"/>
        <v>September</v>
      </c>
      <c r="P990" t="str">
        <f t="shared" si="47"/>
        <v>Weekday</v>
      </c>
    </row>
    <row r="991" spans="1:16" x14ac:dyDescent="0.3">
      <c r="A991" s="1">
        <v>42630</v>
      </c>
      <c r="B991">
        <v>6.67</v>
      </c>
      <c r="C991">
        <v>3.6930000000000001</v>
      </c>
      <c r="D991">
        <v>2.4</v>
      </c>
      <c r="E991">
        <v>56</v>
      </c>
      <c r="F991">
        <v>11</v>
      </c>
      <c r="G991">
        <v>0</v>
      </c>
      <c r="H991">
        <v>5</v>
      </c>
      <c r="I991">
        <v>4.0999999999999996</v>
      </c>
      <c r="J991">
        <v>2016</v>
      </c>
      <c r="K991">
        <v>9</v>
      </c>
      <c r="L991">
        <v>276</v>
      </c>
      <c r="M991" t="s">
        <v>14</v>
      </c>
      <c r="N991">
        <f t="shared" si="45"/>
        <v>88.863</v>
      </c>
      <c r="O991" t="str">
        <f t="shared" si="46"/>
        <v>September</v>
      </c>
      <c r="P991" t="str">
        <f t="shared" si="47"/>
        <v>Weekend</v>
      </c>
    </row>
    <row r="992" spans="1:16" x14ac:dyDescent="0.3">
      <c r="A992" s="1">
        <v>42631</v>
      </c>
      <c r="B992">
        <v>5.99</v>
      </c>
      <c r="C992">
        <v>7.32</v>
      </c>
      <c r="D992">
        <v>2</v>
      </c>
      <c r="E992">
        <v>24.45</v>
      </c>
      <c r="F992">
        <v>4</v>
      </c>
      <c r="G992">
        <v>0</v>
      </c>
      <c r="H992">
        <v>8</v>
      </c>
      <c r="I992">
        <v>1</v>
      </c>
      <c r="J992">
        <v>2016</v>
      </c>
      <c r="K992">
        <v>9</v>
      </c>
      <c r="L992">
        <v>276</v>
      </c>
      <c r="M992" t="s">
        <v>15</v>
      </c>
      <c r="N992">
        <f t="shared" si="45"/>
        <v>52.76</v>
      </c>
      <c r="O992" t="str">
        <f t="shared" si="46"/>
        <v>September</v>
      </c>
      <c r="P992" t="str">
        <f t="shared" si="47"/>
        <v>Weekend</v>
      </c>
    </row>
    <row r="993" spans="1:16" x14ac:dyDescent="0.3">
      <c r="A993" s="1">
        <v>42632</v>
      </c>
      <c r="B993">
        <v>4</v>
      </c>
      <c r="C993">
        <v>3.3959999999999999</v>
      </c>
      <c r="D993">
        <v>2.15</v>
      </c>
      <c r="E993">
        <v>31</v>
      </c>
      <c r="F993">
        <v>11</v>
      </c>
      <c r="G993">
        <v>2</v>
      </c>
      <c r="H993">
        <v>0</v>
      </c>
      <c r="I993">
        <v>1</v>
      </c>
      <c r="J993">
        <v>2016</v>
      </c>
      <c r="K993">
        <v>9</v>
      </c>
      <c r="L993">
        <v>276</v>
      </c>
      <c r="M993" t="s">
        <v>16</v>
      </c>
      <c r="N993">
        <f t="shared" si="45"/>
        <v>54.545999999999999</v>
      </c>
      <c r="O993" t="str">
        <f t="shared" si="46"/>
        <v>September</v>
      </c>
      <c r="P993" t="str">
        <f t="shared" si="47"/>
        <v>Weekday</v>
      </c>
    </row>
    <row r="994" spans="1:16" x14ac:dyDescent="0.3">
      <c r="A994" s="1">
        <v>42633</v>
      </c>
      <c r="B994">
        <v>4.67</v>
      </c>
      <c r="C994">
        <v>2.7919999999999998</v>
      </c>
      <c r="D994">
        <v>3</v>
      </c>
      <c r="E994">
        <v>33.4</v>
      </c>
      <c r="F994">
        <v>14</v>
      </c>
      <c r="G994">
        <v>0</v>
      </c>
      <c r="H994">
        <v>4</v>
      </c>
      <c r="I994">
        <v>1</v>
      </c>
      <c r="J994">
        <v>2016</v>
      </c>
      <c r="K994">
        <v>9</v>
      </c>
      <c r="L994">
        <v>276</v>
      </c>
      <c r="M994" t="s">
        <v>17</v>
      </c>
      <c r="N994">
        <f t="shared" si="45"/>
        <v>62.861999999999995</v>
      </c>
      <c r="O994" t="str">
        <f t="shared" si="46"/>
        <v>September</v>
      </c>
      <c r="P994" t="str">
        <f t="shared" si="47"/>
        <v>Weekday</v>
      </c>
    </row>
    <row r="995" spans="1:16" x14ac:dyDescent="0.3">
      <c r="A995" s="1">
        <v>42634</v>
      </c>
      <c r="B995">
        <v>8.34</v>
      </c>
      <c r="C995">
        <v>4.3099999999999996</v>
      </c>
      <c r="D995">
        <v>3.05</v>
      </c>
      <c r="E995">
        <v>19.7</v>
      </c>
      <c r="F995">
        <v>12</v>
      </c>
      <c r="G995">
        <v>0</v>
      </c>
      <c r="H995">
        <v>3</v>
      </c>
      <c r="I995">
        <v>2</v>
      </c>
      <c r="J995">
        <v>2016</v>
      </c>
      <c r="K995">
        <v>9</v>
      </c>
      <c r="L995">
        <v>276</v>
      </c>
      <c r="M995" t="s">
        <v>18</v>
      </c>
      <c r="N995">
        <f t="shared" si="45"/>
        <v>52.4</v>
      </c>
      <c r="O995" t="str">
        <f t="shared" si="46"/>
        <v>September</v>
      </c>
      <c r="P995" t="str">
        <f t="shared" si="47"/>
        <v>Weekday</v>
      </c>
    </row>
    <row r="996" spans="1:16" x14ac:dyDescent="0.3">
      <c r="A996" s="1">
        <v>42635</v>
      </c>
      <c r="B996">
        <v>6.33</v>
      </c>
      <c r="C996">
        <v>2.33</v>
      </c>
      <c r="D996">
        <v>2.1</v>
      </c>
      <c r="E996">
        <v>29.4</v>
      </c>
      <c r="F996">
        <v>6</v>
      </c>
      <c r="G996">
        <v>0</v>
      </c>
      <c r="H996">
        <v>4</v>
      </c>
      <c r="I996">
        <v>3</v>
      </c>
      <c r="J996">
        <v>2016</v>
      </c>
      <c r="K996">
        <v>9</v>
      </c>
      <c r="L996">
        <v>276</v>
      </c>
      <c r="M996" t="s">
        <v>12</v>
      </c>
      <c r="N996">
        <f t="shared" si="45"/>
        <v>53.16</v>
      </c>
      <c r="O996" t="str">
        <f t="shared" si="46"/>
        <v>September</v>
      </c>
      <c r="P996" t="str">
        <f t="shared" si="47"/>
        <v>Weekday</v>
      </c>
    </row>
    <row r="997" spans="1:16" x14ac:dyDescent="0.3">
      <c r="A997" s="1">
        <v>42636</v>
      </c>
      <c r="B997">
        <v>2.33</v>
      </c>
      <c r="C997">
        <v>6.99</v>
      </c>
      <c r="D997">
        <v>6</v>
      </c>
      <c r="E997">
        <v>28.4</v>
      </c>
      <c r="F997">
        <v>13</v>
      </c>
      <c r="G997">
        <v>3</v>
      </c>
      <c r="H997">
        <v>7</v>
      </c>
      <c r="I997">
        <v>1</v>
      </c>
      <c r="J997">
        <v>2016</v>
      </c>
      <c r="K997">
        <v>9</v>
      </c>
      <c r="L997">
        <v>276</v>
      </c>
      <c r="M997" t="s">
        <v>13</v>
      </c>
      <c r="N997">
        <f t="shared" si="45"/>
        <v>67.72</v>
      </c>
      <c r="O997" t="str">
        <f t="shared" si="46"/>
        <v>September</v>
      </c>
      <c r="P997" t="str">
        <f t="shared" si="47"/>
        <v>Weekday</v>
      </c>
    </row>
    <row r="998" spans="1:16" x14ac:dyDescent="0.3">
      <c r="A998" s="1">
        <v>42637</v>
      </c>
      <c r="B998">
        <v>2</v>
      </c>
      <c r="C998">
        <v>3.7789999999999999</v>
      </c>
      <c r="D998">
        <v>6.2</v>
      </c>
      <c r="E998">
        <v>61.2</v>
      </c>
      <c r="F998">
        <v>8</v>
      </c>
      <c r="G998">
        <v>0</v>
      </c>
      <c r="H998">
        <v>1</v>
      </c>
      <c r="I998">
        <v>1</v>
      </c>
      <c r="J998">
        <v>2016</v>
      </c>
      <c r="K998">
        <v>9</v>
      </c>
      <c r="L998">
        <v>276</v>
      </c>
      <c r="M998" t="s">
        <v>14</v>
      </c>
      <c r="N998">
        <f t="shared" si="45"/>
        <v>83.179000000000002</v>
      </c>
      <c r="O998" t="str">
        <f t="shared" si="46"/>
        <v>September</v>
      </c>
      <c r="P998" t="str">
        <f t="shared" si="47"/>
        <v>Weekend</v>
      </c>
    </row>
    <row r="999" spans="1:16" x14ac:dyDescent="0.3">
      <c r="A999" s="1">
        <v>42638</v>
      </c>
      <c r="B999">
        <v>6</v>
      </c>
      <c r="C999">
        <v>4.33</v>
      </c>
      <c r="D999">
        <v>3</v>
      </c>
      <c r="E999">
        <v>61.125</v>
      </c>
      <c r="F999">
        <v>3</v>
      </c>
      <c r="G999">
        <v>0</v>
      </c>
      <c r="H999">
        <v>10</v>
      </c>
      <c r="I999">
        <v>2</v>
      </c>
      <c r="J999">
        <v>2016</v>
      </c>
      <c r="K999">
        <v>9</v>
      </c>
      <c r="L999">
        <v>276</v>
      </c>
      <c r="M999" t="s">
        <v>15</v>
      </c>
      <c r="N999">
        <f t="shared" si="45"/>
        <v>89.454999999999998</v>
      </c>
      <c r="O999" t="str">
        <f t="shared" si="46"/>
        <v>September</v>
      </c>
      <c r="P999" t="str">
        <f t="shared" si="47"/>
        <v>Weekend</v>
      </c>
    </row>
    <row r="1000" spans="1:16" x14ac:dyDescent="0.3">
      <c r="A1000" s="1">
        <v>42639</v>
      </c>
      <c r="B1000">
        <v>5.99</v>
      </c>
      <c r="C1000">
        <v>1</v>
      </c>
      <c r="D1000">
        <v>4</v>
      </c>
      <c r="E1000">
        <v>57.6</v>
      </c>
      <c r="F1000">
        <v>4</v>
      </c>
      <c r="G1000">
        <v>2</v>
      </c>
      <c r="H1000">
        <v>4</v>
      </c>
      <c r="I1000">
        <v>1</v>
      </c>
      <c r="J1000">
        <v>2016</v>
      </c>
      <c r="K1000">
        <v>9</v>
      </c>
      <c r="L1000">
        <v>276</v>
      </c>
      <c r="M1000" t="s">
        <v>16</v>
      </c>
      <c r="N1000">
        <f t="shared" si="45"/>
        <v>79.59</v>
      </c>
      <c r="O1000" t="str">
        <f t="shared" si="46"/>
        <v>September</v>
      </c>
      <c r="P1000" t="str">
        <f t="shared" si="47"/>
        <v>Weekday</v>
      </c>
    </row>
    <row r="1001" spans="1:16" x14ac:dyDescent="0.3">
      <c r="A1001" s="1">
        <v>42640</v>
      </c>
      <c r="B1001">
        <v>7</v>
      </c>
      <c r="C1001">
        <v>4.67</v>
      </c>
      <c r="D1001">
        <v>7.4</v>
      </c>
      <c r="E1001">
        <v>51.7</v>
      </c>
      <c r="F1001">
        <v>17</v>
      </c>
      <c r="G1001">
        <v>3</v>
      </c>
      <c r="H1001">
        <v>1</v>
      </c>
      <c r="I1001">
        <v>3</v>
      </c>
      <c r="J1001">
        <v>2016</v>
      </c>
      <c r="K1001">
        <v>9</v>
      </c>
      <c r="L1001">
        <v>276</v>
      </c>
      <c r="M1001" t="s">
        <v>17</v>
      </c>
      <c r="N1001">
        <f t="shared" si="45"/>
        <v>94.77000000000001</v>
      </c>
      <c r="O1001" t="str">
        <f t="shared" si="46"/>
        <v>September</v>
      </c>
      <c r="P1001" t="str">
        <f t="shared" si="47"/>
        <v>Weekday</v>
      </c>
    </row>
    <row r="1002" spans="1:16" x14ac:dyDescent="0.3">
      <c r="A1002" s="1">
        <v>42641</v>
      </c>
      <c r="B1002">
        <v>13.68</v>
      </c>
      <c r="C1002">
        <v>1.802</v>
      </c>
      <c r="D1002">
        <v>5.45</v>
      </c>
      <c r="E1002">
        <v>64.5</v>
      </c>
      <c r="F1002">
        <v>3</v>
      </c>
      <c r="G1002">
        <v>0</v>
      </c>
      <c r="H1002">
        <v>0</v>
      </c>
      <c r="I1002">
        <v>4</v>
      </c>
      <c r="J1002">
        <v>2016</v>
      </c>
      <c r="K1002">
        <v>9</v>
      </c>
      <c r="L1002">
        <v>276</v>
      </c>
      <c r="M1002" t="s">
        <v>18</v>
      </c>
      <c r="N1002">
        <f t="shared" si="45"/>
        <v>92.432000000000002</v>
      </c>
      <c r="O1002" t="str">
        <f t="shared" si="46"/>
        <v>September</v>
      </c>
      <c r="P1002" t="str">
        <f t="shared" si="47"/>
        <v>Weekday</v>
      </c>
    </row>
    <row r="1003" spans="1:16" x14ac:dyDescent="0.3">
      <c r="A1003" s="1">
        <v>42642</v>
      </c>
      <c r="B1003">
        <v>7.33</v>
      </c>
      <c r="C1003">
        <v>2</v>
      </c>
      <c r="D1003">
        <v>4</v>
      </c>
      <c r="E1003">
        <v>50.6</v>
      </c>
      <c r="F1003">
        <v>4</v>
      </c>
      <c r="G1003">
        <v>0</v>
      </c>
      <c r="H1003">
        <v>1</v>
      </c>
      <c r="I1003">
        <v>1.2</v>
      </c>
      <c r="J1003">
        <v>2016</v>
      </c>
      <c r="K1003">
        <v>9</v>
      </c>
      <c r="L1003">
        <v>276</v>
      </c>
      <c r="M1003" t="s">
        <v>12</v>
      </c>
      <c r="N1003">
        <f t="shared" si="45"/>
        <v>70.13000000000001</v>
      </c>
      <c r="O1003" t="str">
        <f t="shared" si="46"/>
        <v>September</v>
      </c>
      <c r="P1003" t="str">
        <f t="shared" si="47"/>
        <v>Weekday</v>
      </c>
    </row>
    <row r="1004" spans="1:16" x14ac:dyDescent="0.3">
      <c r="A1004" s="1">
        <v>42643</v>
      </c>
      <c r="B1004">
        <v>7</v>
      </c>
      <c r="C1004">
        <v>5</v>
      </c>
      <c r="D1004">
        <v>2.6</v>
      </c>
      <c r="E1004">
        <v>23.4</v>
      </c>
      <c r="F1004">
        <v>5</v>
      </c>
      <c r="G1004">
        <v>0</v>
      </c>
      <c r="H1004">
        <v>10</v>
      </c>
      <c r="I1004">
        <v>3</v>
      </c>
      <c r="J1004">
        <v>2016</v>
      </c>
      <c r="K1004">
        <v>9</v>
      </c>
      <c r="L1004">
        <v>276</v>
      </c>
      <c r="M1004" t="s">
        <v>13</v>
      </c>
      <c r="N1004">
        <f t="shared" si="45"/>
        <v>56</v>
      </c>
      <c r="O1004" t="str">
        <f t="shared" si="46"/>
        <v>September</v>
      </c>
      <c r="P1004" t="str">
        <f t="shared" si="47"/>
        <v>Weekday</v>
      </c>
    </row>
    <row r="1005" spans="1:16" x14ac:dyDescent="0.3">
      <c r="A1005" s="1">
        <v>42644</v>
      </c>
      <c r="B1005">
        <v>7.33</v>
      </c>
      <c r="C1005">
        <v>7.65</v>
      </c>
      <c r="D1005">
        <v>1.2</v>
      </c>
      <c r="E1005">
        <v>54.037999999999997</v>
      </c>
      <c r="F1005">
        <v>5</v>
      </c>
      <c r="G1005">
        <v>0</v>
      </c>
      <c r="H1005">
        <v>4</v>
      </c>
      <c r="I1005">
        <v>2</v>
      </c>
      <c r="J1005">
        <v>2016</v>
      </c>
      <c r="K1005">
        <v>10</v>
      </c>
      <c r="L1005">
        <v>276</v>
      </c>
      <c r="M1005" t="s">
        <v>14</v>
      </c>
      <c r="N1005">
        <f t="shared" si="45"/>
        <v>81.217999999999989</v>
      </c>
      <c r="O1005" t="str">
        <f t="shared" si="46"/>
        <v>October</v>
      </c>
      <c r="P1005" t="str">
        <f t="shared" si="47"/>
        <v>Weekend</v>
      </c>
    </row>
    <row r="1006" spans="1:16" x14ac:dyDescent="0.3">
      <c r="A1006" s="1">
        <v>42645</v>
      </c>
      <c r="B1006">
        <v>17</v>
      </c>
      <c r="C1006">
        <v>4.056</v>
      </c>
      <c r="D1006">
        <v>9.6999999999999993</v>
      </c>
      <c r="E1006">
        <v>80.5</v>
      </c>
      <c r="F1006">
        <v>6</v>
      </c>
      <c r="G1006">
        <v>0</v>
      </c>
      <c r="H1006">
        <v>18</v>
      </c>
      <c r="I1006">
        <v>3</v>
      </c>
      <c r="J1006">
        <v>2016</v>
      </c>
      <c r="K1006">
        <v>10</v>
      </c>
      <c r="L1006">
        <v>276</v>
      </c>
      <c r="M1006" t="s">
        <v>15</v>
      </c>
      <c r="N1006">
        <f t="shared" si="45"/>
        <v>138.256</v>
      </c>
      <c r="O1006" t="str">
        <f t="shared" si="46"/>
        <v>October</v>
      </c>
      <c r="P1006" t="str">
        <f t="shared" si="47"/>
        <v>Weekend</v>
      </c>
    </row>
    <row r="1007" spans="1:16" x14ac:dyDescent="0.3">
      <c r="A1007" s="1">
        <v>42646</v>
      </c>
      <c r="B1007">
        <v>3.33</v>
      </c>
      <c r="C1007">
        <v>5.33</v>
      </c>
      <c r="D1007">
        <v>3</v>
      </c>
      <c r="E1007">
        <v>59.661999999999999</v>
      </c>
      <c r="F1007">
        <v>2</v>
      </c>
      <c r="G1007">
        <v>2</v>
      </c>
      <c r="H1007">
        <v>17</v>
      </c>
      <c r="I1007">
        <v>3</v>
      </c>
      <c r="J1007">
        <v>2016</v>
      </c>
      <c r="K1007">
        <v>10</v>
      </c>
      <c r="L1007">
        <v>276</v>
      </c>
      <c r="M1007" t="s">
        <v>16</v>
      </c>
      <c r="N1007">
        <f t="shared" si="45"/>
        <v>95.322000000000003</v>
      </c>
      <c r="O1007" t="str">
        <f t="shared" si="46"/>
        <v>October</v>
      </c>
      <c r="P1007" t="str">
        <f t="shared" si="47"/>
        <v>Weekday</v>
      </c>
    </row>
    <row r="1008" spans="1:16" x14ac:dyDescent="0.3">
      <c r="A1008" s="1">
        <v>42647</v>
      </c>
      <c r="B1008">
        <v>6.33</v>
      </c>
      <c r="C1008">
        <v>2.99</v>
      </c>
      <c r="D1008">
        <v>6</v>
      </c>
      <c r="E1008">
        <v>47.6</v>
      </c>
      <c r="F1008">
        <v>8</v>
      </c>
      <c r="G1008">
        <v>0</v>
      </c>
      <c r="H1008">
        <v>10</v>
      </c>
      <c r="I1008">
        <v>2.5</v>
      </c>
      <c r="J1008">
        <v>2016</v>
      </c>
      <c r="K1008">
        <v>10</v>
      </c>
      <c r="L1008">
        <v>276</v>
      </c>
      <c r="M1008" t="s">
        <v>17</v>
      </c>
      <c r="N1008">
        <f t="shared" si="45"/>
        <v>83.42</v>
      </c>
      <c r="O1008" t="str">
        <f t="shared" si="46"/>
        <v>October</v>
      </c>
      <c r="P1008" t="str">
        <f t="shared" si="47"/>
        <v>Weekday</v>
      </c>
    </row>
    <row r="1009" spans="1:16" x14ac:dyDescent="0.3">
      <c r="A1009" s="1">
        <v>42648</v>
      </c>
      <c r="B1009">
        <v>4</v>
      </c>
      <c r="C1009">
        <v>4</v>
      </c>
      <c r="D1009">
        <v>4</v>
      </c>
      <c r="E1009">
        <v>78.2</v>
      </c>
      <c r="F1009">
        <v>8</v>
      </c>
      <c r="G1009">
        <v>0</v>
      </c>
      <c r="H1009">
        <v>1</v>
      </c>
      <c r="I1009">
        <v>1</v>
      </c>
      <c r="J1009">
        <v>2016</v>
      </c>
      <c r="K1009">
        <v>10</v>
      </c>
      <c r="L1009">
        <v>276</v>
      </c>
      <c r="M1009" t="s">
        <v>18</v>
      </c>
      <c r="N1009">
        <f t="shared" si="45"/>
        <v>100.2</v>
      </c>
      <c r="O1009" t="str">
        <f t="shared" si="46"/>
        <v>October</v>
      </c>
      <c r="P1009" t="str">
        <f t="shared" si="47"/>
        <v>Weekday</v>
      </c>
    </row>
    <row r="1010" spans="1:16" x14ac:dyDescent="0.3">
      <c r="A1010" s="1">
        <v>42649</v>
      </c>
      <c r="B1010">
        <v>4.33</v>
      </c>
      <c r="C1010">
        <v>3.99</v>
      </c>
      <c r="D1010">
        <v>6</v>
      </c>
      <c r="E1010">
        <v>44</v>
      </c>
      <c r="F1010">
        <v>4</v>
      </c>
      <c r="G1010">
        <v>0</v>
      </c>
      <c r="H1010">
        <v>3</v>
      </c>
      <c r="I1010">
        <v>0</v>
      </c>
      <c r="J1010">
        <v>2016</v>
      </c>
      <c r="K1010">
        <v>10</v>
      </c>
      <c r="L1010">
        <v>276</v>
      </c>
      <c r="M1010" t="s">
        <v>12</v>
      </c>
      <c r="N1010">
        <f t="shared" si="45"/>
        <v>65.319999999999993</v>
      </c>
      <c r="O1010" t="str">
        <f t="shared" si="46"/>
        <v>October</v>
      </c>
      <c r="P1010" t="str">
        <f t="shared" si="47"/>
        <v>Weekday</v>
      </c>
    </row>
    <row r="1011" spans="1:16" x14ac:dyDescent="0.3">
      <c r="A1011" s="1">
        <v>42650</v>
      </c>
      <c r="B1011">
        <v>4.34</v>
      </c>
      <c r="C1011">
        <v>4.2969999999999997</v>
      </c>
      <c r="D1011">
        <v>6</v>
      </c>
      <c r="E1011">
        <v>47.625</v>
      </c>
      <c r="F1011">
        <v>4</v>
      </c>
      <c r="G1011">
        <v>0</v>
      </c>
      <c r="H1011">
        <v>0</v>
      </c>
      <c r="I1011">
        <v>1</v>
      </c>
      <c r="J1011">
        <v>2016</v>
      </c>
      <c r="K1011">
        <v>10</v>
      </c>
      <c r="L1011">
        <v>276</v>
      </c>
      <c r="M1011" t="s">
        <v>13</v>
      </c>
      <c r="N1011">
        <f t="shared" si="45"/>
        <v>67.262</v>
      </c>
      <c r="O1011" t="str">
        <f t="shared" si="46"/>
        <v>October</v>
      </c>
      <c r="P1011" t="str">
        <f t="shared" si="47"/>
        <v>Weekday</v>
      </c>
    </row>
    <row r="1012" spans="1:16" x14ac:dyDescent="0.3">
      <c r="A1012" s="1">
        <v>42651</v>
      </c>
      <c r="B1012">
        <v>7.34</v>
      </c>
      <c r="C1012">
        <v>6.33</v>
      </c>
      <c r="D1012">
        <v>5</v>
      </c>
      <c r="E1012">
        <v>52.7</v>
      </c>
      <c r="F1012">
        <v>2</v>
      </c>
      <c r="G1012">
        <v>0</v>
      </c>
      <c r="H1012">
        <v>6</v>
      </c>
      <c r="I1012">
        <v>5</v>
      </c>
      <c r="J1012">
        <v>2016</v>
      </c>
      <c r="K1012">
        <v>10</v>
      </c>
      <c r="L1012">
        <v>276</v>
      </c>
      <c r="M1012" t="s">
        <v>14</v>
      </c>
      <c r="N1012">
        <f t="shared" si="45"/>
        <v>84.37</v>
      </c>
      <c r="O1012" t="str">
        <f t="shared" si="46"/>
        <v>October</v>
      </c>
      <c r="P1012" t="str">
        <f t="shared" si="47"/>
        <v>Weekend</v>
      </c>
    </row>
    <row r="1013" spans="1:16" x14ac:dyDescent="0.3">
      <c r="A1013" s="1">
        <v>42652</v>
      </c>
      <c r="B1013">
        <v>6.68</v>
      </c>
      <c r="C1013">
        <v>5.0199999999999996</v>
      </c>
      <c r="D1013">
        <v>5.5</v>
      </c>
      <c r="E1013">
        <v>88.4</v>
      </c>
      <c r="F1013">
        <v>2</v>
      </c>
      <c r="G1013">
        <v>0</v>
      </c>
      <c r="H1013">
        <v>9</v>
      </c>
      <c r="I1013">
        <v>1</v>
      </c>
      <c r="J1013">
        <v>2016</v>
      </c>
      <c r="K1013">
        <v>10</v>
      </c>
      <c r="L1013">
        <v>276</v>
      </c>
      <c r="M1013" t="s">
        <v>15</v>
      </c>
      <c r="N1013">
        <f t="shared" si="45"/>
        <v>117.60000000000001</v>
      </c>
      <c r="O1013" t="str">
        <f t="shared" si="46"/>
        <v>October</v>
      </c>
      <c r="P1013" t="str">
        <f t="shared" si="47"/>
        <v>Weekend</v>
      </c>
    </row>
    <row r="1014" spans="1:16" x14ac:dyDescent="0.3">
      <c r="A1014" s="1">
        <v>42653</v>
      </c>
      <c r="B1014">
        <v>2</v>
      </c>
      <c r="C1014">
        <v>5.0659999999999998</v>
      </c>
      <c r="D1014">
        <v>5</v>
      </c>
      <c r="E1014">
        <v>31.6</v>
      </c>
      <c r="F1014">
        <v>1</v>
      </c>
      <c r="G1014">
        <v>0</v>
      </c>
      <c r="H1014">
        <v>3</v>
      </c>
      <c r="I1014">
        <v>1</v>
      </c>
      <c r="J1014">
        <v>2016</v>
      </c>
      <c r="K1014">
        <v>10</v>
      </c>
      <c r="L1014">
        <v>276</v>
      </c>
      <c r="M1014" t="s">
        <v>16</v>
      </c>
      <c r="N1014">
        <f t="shared" si="45"/>
        <v>48.665999999999997</v>
      </c>
      <c r="O1014" t="str">
        <f t="shared" si="46"/>
        <v>October</v>
      </c>
      <c r="P1014" t="str">
        <f t="shared" si="47"/>
        <v>Weekday</v>
      </c>
    </row>
    <row r="1015" spans="1:16" x14ac:dyDescent="0.3">
      <c r="A1015" s="1">
        <v>42654</v>
      </c>
      <c r="B1015">
        <v>7.33</v>
      </c>
      <c r="C1015">
        <v>2.4060000000000001</v>
      </c>
      <c r="D1015">
        <v>11.65</v>
      </c>
      <c r="E1015">
        <v>52.6</v>
      </c>
      <c r="F1015">
        <v>54.833333330000002</v>
      </c>
      <c r="G1015">
        <v>1</v>
      </c>
      <c r="H1015">
        <v>8</v>
      </c>
      <c r="I1015">
        <v>1</v>
      </c>
      <c r="J1015">
        <v>2016</v>
      </c>
      <c r="K1015">
        <v>10</v>
      </c>
      <c r="L1015">
        <v>276</v>
      </c>
      <c r="M1015" t="s">
        <v>17</v>
      </c>
      <c r="N1015">
        <f t="shared" si="45"/>
        <v>138.81933333000001</v>
      </c>
      <c r="O1015" t="str">
        <f t="shared" si="46"/>
        <v>October</v>
      </c>
      <c r="P1015" t="str">
        <f t="shared" si="47"/>
        <v>Weekday</v>
      </c>
    </row>
    <row r="1016" spans="1:16" x14ac:dyDescent="0.3">
      <c r="A1016" s="1">
        <v>42655</v>
      </c>
      <c r="B1016">
        <v>8.33</v>
      </c>
      <c r="C1016">
        <v>2.3730000000000002</v>
      </c>
      <c r="D1016">
        <v>2</v>
      </c>
      <c r="E1016">
        <v>45.75</v>
      </c>
      <c r="F1016">
        <v>18</v>
      </c>
      <c r="G1016">
        <v>1</v>
      </c>
      <c r="H1016">
        <v>17</v>
      </c>
      <c r="I1016">
        <v>2</v>
      </c>
      <c r="J1016">
        <v>2016</v>
      </c>
      <c r="K1016">
        <v>10</v>
      </c>
      <c r="L1016">
        <v>276</v>
      </c>
      <c r="M1016" t="s">
        <v>18</v>
      </c>
      <c r="N1016">
        <f t="shared" si="45"/>
        <v>96.453000000000003</v>
      </c>
      <c r="O1016" t="str">
        <f t="shared" si="46"/>
        <v>October</v>
      </c>
      <c r="P1016" t="str">
        <f t="shared" si="47"/>
        <v>Weekday</v>
      </c>
    </row>
    <row r="1017" spans="1:16" x14ac:dyDescent="0.3">
      <c r="A1017" s="1">
        <v>42656</v>
      </c>
      <c r="B1017">
        <v>4.66</v>
      </c>
      <c r="C1017">
        <v>4.33</v>
      </c>
      <c r="D1017">
        <v>3.2</v>
      </c>
      <c r="E1017">
        <v>42.2</v>
      </c>
      <c r="F1017">
        <v>20</v>
      </c>
      <c r="G1017">
        <v>0</v>
      </c>
      <c r="H1017">
        <v>3</v>
      </c>
      <c r="I1017">
        <v>2.2999999999999998</v>
      </c>
      <c r="J1017">
        <v>2016</v>
      </c>
      <c r="K1017">
        <v>10</v>
      </c>
      <c r="L1017">
        <v>276</v>
      </c>
      <c r="M1017" t="s">
        <v>12</v>
      </c>
      <c r="N1017">
        <f t="shared" si="45"/>
        <v>79.69</v>
      </c>
      <c r="O1017" t="str">
        <f t="shared" si="46"/>
        <v>October</v>
      </c>
      <c r="P1017" t="str">
        <f t="shared" si="47"/>
        <v>Weekday</v>
      </c>
    </row>
    <row r="1018" spans="1:16" x14ac:dyDescent="0.3">
      <c r="A1018" s="1">
        <v>42657</v>
      </c>
      <c r="B1018">
        <v>7</v>
      </c>
      <c r="C1018">
        <v>4</v>
      </c>
      <c r="D1018">
        <v>3</v>
      </c>
      <c r="E1018">
        <v>38.700000000000003</v>
      </c>
      <c r="F1018">
        <v>22</v>
      </c>
      <c r="G1018">
        <v>0</v>
      </c>
      <c r="H1018">
        <v>9</v>
      </c>
      <c r="I1018">
        <v>1</v>
      </c>
      <c r="J1018">
        <v>2016</v>
      </c>
      <c r="K1018">
        <v>10</v>
      </c>
      <c r="L1018">
        <v>276</v>
      </c>
      <c r="M1018" t="s">
        <v>13</v>
      </c>
      <c r="N1018">
        <f t="shared" si="45"/>
        <v>84.7</v>
      </c>
      <c r="O1018" t="str">
        <f t="shared" si="46"/>
        <v>October</v>
      </c>
      <c r="P1018" t="str">
        <f t="shared" si="47"/>
        <v>Weekday</v>
      </c>
    </row>
    <row r="1019" spans="1:16" x14ac:dyDescent="0.3">
      <c r="A1019" s="1">
        <v>42658</v>
      </c>
      <c r="B1019">
        <v>4</v>
      </c>
      <c r="C1019">
        <v>5.97</v>
      </c>
      <c r="D1019">
        <v>3.35</v>
      </c>
      <c r="E1019">
        <v>47.2</v>
      </c>
      <c r="F1019">
        <v>16</v>
      </c>
      <c r="G1019">
        <v>1</v>
      </c>
      <c r="H1019">
        <v>13</v>
      </c>
      <c r="I1019">
        <v>1</v>
      </c>
      <c r="J1019">
        <v>2016</v>
      </c>
      <c r="K1019">
        <v>10</v>
      </c>
      <c r="L1019">
        <v>276</v>
      </c>
      <c r="M1019" t="s">
        <v>14</v>
      </c>
      <c r="N1019">
        <f t="shared" si="45"/>
        <v>91.52000000000001</v>
      </c>
      <c r="O1019" t="str">
        <f t="shared" si="46"/>
        <v>October</v>
      </c>
      <c r="P1019" t="str">
        <f t="shared" si="47"/>
        <v>Weekend</v>
      </c>
    </row>
    <row r="1020" spans="1:16" x14ac:dyDescent="0.3">
      <c r="A1020" s="1">
        <v>42659</v>
      </c>
      <c r="B1020">
        <v>8.33</v>
      </c>
      <c r="C1020">
        <v>5.1219999999999999</v>
      </c>
      <c r="D1020">
        <v>10</v>
      </c>
      <c r="E1020">
        <v>89.3</v>
      </c>
      <c r="F1020">
        <v>3</v>
      </c>
      <c r="G1020">
        <v>0</v>
      </c>
      <c r="H1020">
        <v>6</v>
      </c>
      <c r="I1020">
        <v>5</v>
      </c>
      <c r="J1020">
        <v>2016</v>
      </c>
      <c r="K1020">
        <v>10</v>
      </c>
      <c r="L1020">
        <v>276</v>
      </c>
      <c r="M1020" t="s">
        <v>15</v>
      </c>
      <c r="N1020">
        <f t="shared" si="45"/>
        <v>126.752</v>
      </c>
      <c r="O1020" t="str">
        <f t="shared" si="46"/>
        <v>October</v>
      </c>
      <c r="P1020" t="str">
        <f t="shared" si="47"/>
        <v>Weekend</v>
      </c>
    </row>
    <row r="1021" spans="1:16" x14ac:dyDescent="0.3">
      <c r="A1021" s="1">
        <v>42660</v>
      </c>
      <c r="B1021">
        <v>2</v>
      </c>
      <c r="C1021">
        <v>5</v>
      </c>
      <c r="D1021">
        <v>5</v>
      </c>
      <c r="E1021">
        <v>50.8</v>
      </c>
      <c r="F1021">
        <v>1</v>
      </c>
      <c r="G1021">
        <v>0</v>
      </c>
      <c r="H1021">
        <v>9</v>
      </c>
      <c r="I1021">
        <v>1</v>
      </c>
      <c r="J1021">
        <v>2016</v>
      </c>
      <c r="K1021">
        <v>10</v>
      </c>
      <c r="L1021">
        <v>276</v>
      </c>
      <c r="M1021" t="s">
        <v>16</v>
      </c>
      <c r="N1021">
        <f t="shared" si="45"/>
        <v>73.8</v>
      </c>
      <c r="O1021" t="str">
        <f t="shared" si="46"/>
        <v>October</v>
      </c>
      <c r="P1021" t="str">
        <f t="shared" si="47"/>
        <v>Weekday</v>
      </c>
    </row>
    <row r="1022" spans="1:16" x14ac:dyDescent="0.3">
      <c r="A1022" s="1">
        <v>42661</v>
      </c>
      <c r="B1022">
        <v>3</v>
      </c>
      <c r="C1022">
        <v>5.056</v>
      </c>
      <c r="D1022">
        <v>9</v>
      </c>
      <c r="E1022">
        <v>42.1</v>
      </c>
      <c r="F1022">
        <v>9</v>
      </c>
      <c r="G1022">
        <v>3</v>
      </c>
      <c r="H1022">
        <v>7</v>
      </c>
      <c r="I1022">
        <v>3.1</v>
      </c>
      <c r="J1022">
        <v>2016</v>
      </c>
      <c r="K1022">
        <v>10</v>
      </c>
      <c r="L1022">
        <v>276</v>
      </c>
      <c r="M1022" t="s">
        <v>17</v>
      </c>
      <c r="N1022">
        <f t="shared" si="45"/>
        <v>81.256</v>
      </c>
      <c r="O1022" t="str">
        <f t="shared" si="46"/>
        <v>October</v>
      </c>
      <c r="P1022" t="str">
        <f t="shared" si="47"/>
        <v>Weekday</v>
      </c>
    </row>
    <row r="1023" spans="1:16" x14ac:dyDescent="0.3">
      <c r="A1023" s="1">
        <v>42662</v>
      </c>
      <c r="B1023">
        <v>4.33</v>
      </c>
      <c r="C1023">
        <v>6.66</v>
      </c>
      <c r="D1023">
        <v>5</v>
      </c>
      <c r="E1023">
        <v>26.7</v>
      </c>
      <c r="F1023">
        <v>11</v>
      </c>
      <c r="G1023">
        <v>0</v>
      </c>
      <c r="H1023">
        <v>2</v>
      </c>
      <c r="I1023">
        <v>1</v>
      </c>
      <c r="J1023">
        <v>2016</v>
      </c>
      <c r="K1023">
        <v>10</v>
      </c>
      <c r="L1023">
        <v>276</v>
      </c>
      <c r="M1023" t="s">
        <v>18</v>
      </c>
      <c r="N1023">
        <f t="shared" si="45"/>
        <v>56.69</v>
      </c>
      <c r="O1023" t="str">
        <f t="shared" si="46"/>
        <v>October</v>
      </c>
      <c r="P1023" t="str">
        <f t="shared" si="47"/>
        <v>Weekday</v>
      </c>
    </row>
    <row r="1024" spans="1:16" x14ac:dyDescent="0.3">
      <c r="A1024" s="1">
        <v>42663</v>
      </c>
      <c r="B1024">
        <v>1.64</v>
      </c>
      <c r="C1024">
        <v>5.66</v>
      </c>
      <c r="D1024">
        <v>6</v>
      </c>
      <c r="E1024">
        <v>52.5</v>
      </c>
      <c r="F1024">
        <v>2</v>
      </c>
      <c r="G1024">
        <v>0</v>
      </c>
      <c r="H1024">
        <v>2</v>
      </c>
      <c r="I1024">
        <v>2</v>
      </c>
      <c r="J1024">
        <v>2016</v>
      </c>
      <c r="K1024">
        <v>10</v>
      </c>
      <c r="L1024">
        <v>276</v>
      </c>
      <c r="M1024" t="s">
        <v>12</v>
      </c>
      <c r="N1024">
        <f t="shared" si="45"/>
        <v>71.8</v>
      </c>
      <c r="O1024" t="str">
        <f t="shared" si="46"/>
        <v>October</v>
      </c>
      <c r="P1024" t="str">
        <f t="shared" si="47"/>
        <v>Weekday</v>
      </c>
    </row>
    <row r="1025" spans="1:16" x14ac:dyDescent="0.3">
      <c r="A1025" s="1">
        <v>42664</v>
      </c>
      <c r="B1025">
        <v>8.66</v>
      </c>
      <c r="C1025">
        <v>3.8250000000000002</v>
      </c>
      <c r="D1025">
        <v>0</v>
      </c>
      <c r="E1025">
        <v>40.799999999999997</v>
      </c>
      <c r="F1025">
        <v>5</v>
      </c>
      <c r="G1025">
        <v>0</v>
      </c>
      <c r="H1025">
        <v>6</v>
      </c>
      <c r="I1025">
        <v>2</v>
      </c>
      <c r="J1025">
        <v>2016</v>
      </c>
      <c r="K1025">
        <v>10</v>
      </c>
      <c r="L1025">
        <v>276</v>
      </c>
      <c r="M1025" t="s">
        <v>13</v>
      </c>
      <c r="N1025">
        <f t="shared" si="45"/>
        <v>66.284999999999997</v>
      </c>
      <c r="O1025" t="str">
        <f t="shared" si="46"/>
        <v>October</v>
      </c>
      <c r="P1025" t="str">
        <f t="shared" si="47"/>
        <v>Weekday</v>
      </c>
    </row>
    <row r="1026" spans="1:16" x14ac:dyDescent="0.3">
      <c r="A1026" s="1">
        <v>42665</v>
      </c>
      <c r="B1026">
        <v>7</v>
      </c>
      <c r="C1026">
        <v>2.67</v>
      </c>
      <c r="D1026">
        <v>4</v>
      </c>
      <c r="E1026">
        <v>29.7</v>
      </c>
      <c r="F1026">
        <v>3</v>
      </c>
      <c r="G1026">
        <v>0</v>
      </c>
      <c r="H1026">
        <v>10</v>
      </c>
      <c r="I1026">
        <v>4</v>
      </c>
      <c r="J1026">
        <v>2016</v>
      </c>
      <c r="K1026">
        <v>10</v>
      </c>
      <c r="L1026">
        <v>276</v>
      </c>
      <c r="M1026" t="s">
        <v>14</v>
      </c>
      <c r="N1026">
        <f t="shared" si="45"/>
        <v>60.37</v>
      </c>
      <c r="O1026" t="str">
        <f t="shared" si="46"/>
        <v>October</v>
      </c>
      <c r="P1026" t="str">
        <f t="shared" si="47"/>
        <v>Weekend</v>
      </c>
    </row>
    <row r="1027" spans="1:16" x14ac:dyDescent="0.3">
      <c r="A1027" s="1">
        <v>42666</v>
      </c>
      <c r="B1027">
        <v>12.33</v>
      </c>
      <c r="C1027">
        <v>5.78</v>
      </c>
      <c r="D1027">
        <v>3.8</v>
      </c>
      <c r="E1027">
        <v>51.216666670000002</v>
      </c>
      <c r="F1027">
        <v>10</v>
      </c>
      <c r="G1027">
        <v>0</v>
      </c>
      <c r="H1027">
        <v>11</v>
      </c>
      <c r="I1027">
        <v>2</v>
      </c>
      <c r="J1027">
        <v>2016</v>
      </c>
      <c r="K1027">
        <v>10</v>
      </c>
      <c r="L1027">
        <v>276</v>
      </c>
      <c r="M1027" t="s">
        <v>15</v>
      </c>
      <c r="N1027">
        <f t="shared" ref="N1027:N1090" si="48">SUM(B1027:I1027)</f>
        <v>96.126666670000006</v>
      </c>
      <c r="O1027" t="str">
        <f t="shared" ref="O1027:O1090" si="49">TEXT(A1027,"mmmm")</f>
        <v>October</v>
      </c>
      <c r="P1027" t="str">
        <f t="shared" ref="P1027:P1090" si="50">IF(OR(M1027="Saturday",M1027="Sunday"),"Weekend","Weekday")</f>
        <v>Weekend</v>
      </c>
    </row>
    <row r="1028" spans="1:16" x14ac:dyDescent="0.3">
      <c r="A1028" s="1">
        <v>42667</v>
      </c>
      <c r="B1028">
        <v>2.66</v>
      </c>
      <c r="C1028">
        <v>3.0230000000000001</v>
      </c>
      <c r="D1028">
        <v>7.5</v>
      </c>
      <c r="E1028">
        <v>37</v>
      </c>
      <c r="F1028">
        <v>1</v>
      </c>
      <c r="G1028">
        <v>1</v>
      </c>
      <c r="H1028">
        <v>2</v>
      </c>
      <c r="I1028">
        <v>1</v>
      </c>
      <c r="J1028">
        <v>2016</v>
      </c>
      <c r="K1028">
        <v>10</v>
      </c>
      <c r="L1028">
        <v>276</v>
      </c>
      <c r="M1028" t="s">
        <v>16</v>
      </c>
      <c r="N1028">
        <f t="shared" si="48"/>
        <v>55.183</v>
      </c>
      <c r="O1028" t="str">
        <f t="shared" si="49"/>
        <v>October</v>
      </c>
      <c r="P1028" t="str">
        <f t="shared" si="50"/>
        <v>Weekday</v>
      </c>
    </row>
    <row r="1029" spans="1:16" x14ac:dyDescent="0.3">
      <c r="A1029" s="1">
        <v>42668</v>
      </c>
      <c r="B1029">
        <v>4.33</v>
      </c>
      <c r="C1029">
        <v>4.5720000000000001</v>
      </c>
      <c r="D1029">
        <v>5.4</v>
      </c>
      <c r="E1029">
        <v>62.4</v>
      </c>
      <c r="F1029">
        <v>10</v>
      </c>
      <c r="G1029">
        <v>0</v>
      </c>
      <c r="H1029">
        <v>7</v>
      </c>
      <c r="I1029">
        <v>0</v>
      </c>
      <c r="J1029">
        <v>2016</v>
      </c>
      <c r="K1029">
        <v>10</v>
      </c>
      <c r="L1029">
        <v>276</v>
      </c>
      <c r="M1029" t="s">
        <v>17</v>
      </c>
      <c r="N1029">
        <f t="shared" si="48"/>
        <v>93.701999999999998</v>
      </c>
      <c r="O1029" t="str">
        <f t="shared" si="49"/>
        <v>October</v>
      </c>
      <c r="P1029" t="str">
        <f t="shared" si="50"/>
        <v>Weekday</v>
      </c>
    </row>
    <row r="1030" spans="1:16" x14ac:dyDescent="0.3">
      <c r="A1030" s="1">
        <v>42669</v>
      </c>
      <c r="B1030">
        <v>2.33</v>
      </c>
      <c r="C1030">
        <v>2.3969999999999998</v>
      </c>
      <c r="D1030">
        <v>6</v>
      </c>
      <c r="E1030">
        <v>28.4</v>
      </c>
      <c r="F1030">
        <v>10</v>
      </c>
      <c r="G1030">
        <v>0</v>
      </c>
      <c r="H1030">
        <v>2</v>
      </c>
      <c r="I1030">
        <v>1</v>
      </c>
      <c r="J1030">
        <v>2016</v>
      </c>
      <c r="K1030">
        <v>10</v>
      </c>
      <c r="L1030">
        <v>276</v>
      </c>
      <c r="M1030" t="s">
        <v>18</v>
      </c>
      <c r="N1030">
        <f t="shared" si="48"/>
        <v>52.126999999999995</v>
      </c>
      <c r="O1030" t="str">
        <f t="shared" si="49"/>
        <v>October</v>
      </c>
      <c r="P1030" t="str">
        <f t="shared" si="50"/>
        <v>Weekday</v>
      </c>
    </row>
    <row r="1031" spans="1:16" x14ac:dyDescent="0.3">
      <c r="A1031" s="1">
        <v>42670</v>
      </c>
      <c r="B1031">
        <v>6.5</v>
      </c>
      <c r="C1031">
        <v>2.0230000000000001</v>
      </c>
      <c r="D1031">
        <v>3</v>
      </c>
      <c r="E1031">
        <v>32.200000000000003</v>
      </c>
      <c r="F1031">
        <v>10</v>
      </c>
      <c r="G1031">
        <v>2</v>
      </c>
      <c r="H1031">
        <v>4</v>
      </c>
      <c r="I1031">
        <v>0</v>
      </c>
      <c r="J1031">
        <v>2016</v>
      </c>
      <c r="K1031">
        <v>10</v>
      </c>
      <c r="L1031">
        <v>276</v>
      </c>
      <c r="M1031" t="s">
        <v>12</v>
      </c>
      <c r="N1031">
        <f t="shared" si="48"/>
        <v>59.722999999999999</v>
      </c>
      <c r="O1031" t="str">
        <f t="shared" si="49"/>
        <v>October</v>
      </c>
      <c r="P1031" t="str">
        <f t="shared" si="50"/>
        <v>Weekday</v>
      </c>
    </row>
    <row r="1032" spans="1:16" x14ac:dyDescent="0.3">
      <c r="A1032" s="1">
        <v>42671</v>
      </c>
      <c r="B1032">
        <v>7</v>
      </c>
      <c r="C1032">
        <v>3.78</v>
      </c>
      <c r="D1032">
        <v>6</v>
      </c>
      <c r="E1032">
        <v>34.4</v>
      </c>
      <c r="F1032">
        <v>9</v>
      </c>
      <c r="G1032">
        <v>0</v>
      </c>
      <c r="H1032">
        <v>5</v>
      </c>
      <c r="I1032">
        <v>0</v>
      </c>
      <c r="J1032">
        <v>2016</v>
      </c>
      <c r="K1032">
        <v>10</v>
      </c>
      <c r="L1032">
        <v>276</v>
      </c>
      <c r="M1032" t="s">
        <v>13</v>
      </c>
      <c r="N1032">
        <f t="shared" si="48"/>
        <v>65.180000000000007</v>
      </c>
      <c r="O1032" t="str">
        <f t="shared" si="49"/>
        <v>October</v>
      </c>
      <c r="P1032" t="str">
        <f t="shared" si="50"/>
        <v>Weekday</v>
      </c>
    </row>
    <row r="1033" spans="1:16" x14ac:dyDescent="0.3">
      <c r="A1033" s="1">
        <v>42672</v>
      </c>
      <c r="B1033">
        <v>15.33</v>
      </c>
      <c r="C1033">
        <v>4.54</v>
      </c>
      <c r="D1033">
        <v>6.1</v>
      </c>
      <c r="E1033">
        <v>78.5</v>
      </c>
      <c r="F1033">
        <v>23</v>
      </c>
      <c r="G1033">
        <v>0</v>
      </c>
      <c r="H1033">
        <v>9</v>
      </c>
      <c r="I1033">
        <v>5</v>
      </c>
      <c r="J1033">
        <v>2016</v>
      </c>
      <c r="K1033">
        <v>10</v>
      </c>
      <c r="L1033">
        <v>276</v>
      </c>
      <c r="M1033" t="s">
        <v>14</v>
      </c>
      <c r="N1033">
        <f t="shared" si="48"/>
        <v>141.47</v>
      </c>
      <c r="O1033" t="str">
        <f t="shared" si="49"/>
        <v>October</v>
      </c>
      <c r="P1033" t="str">
        <f t="shared" si="50"/>
        <v>Weekend</v>
      </c>
    </row>
    <row r="1034" spans="1:16" x14ac:dyDescent="0.3">
      <c r="A1034" s="1">
        <v>42673</v>
      </c>
      <c r="B1034">
        <v>4.66</v>
      </c>
      <c r="C1034">
        <v>10.32</v>
      </c>
      <c r="D1034">
        <v>5.75</v>
      </c>
      <c r="E1034">
        <v>73.099999999999994</v>
      </c>
      <c r="F1034">
        <v>5</v>
      </c>
      <c r="G1034">
        <v>0</v>
      </c>
      <c r="H1034">
        <v>0</v>
      </c>
      <c r="I1034">
        <v>2</v>
      </c>
      <c r="J1034">
        <v>2016</v>
      </c>
      <c r="K1034">
        <v>10</v>
      </c>
      <c r="L1034">
        <v>276</v>
      </c>
      <c r="M1034" t="s">
        <v>15</v>
      </c>
      <c r="N1034">
        <f t="shared" si="48"/>
        <v>100.83</v>
      </c>
      <c r="O1034" t="str">
        <f t="shared" si="49"/>
        <v>October</v>
      </c>
      <c r="P1034" t="str">
        <f t="shared" si="50"/>
        <v>Weekend</v>
      </c>
    </row>
    <row r="1035" spans="1:16" x14ac:dyDescent="0.3">
      <c r="A1035" s="1">
        <v>42674</v>
      </c>
      <c r="B1035">
        <v>2.66</v>
      </c>
      <c r="C1035">
        <v>3.82</v>
      </c>
      <c r="D1035">
        <v>3</v>
      </c>
      <c r="E1035">
        <v>43.8</v>
      </c>
      <c r="F1035">
        <v>6</v>
      </c>
      <c r="G1035">
        <v>0</v>
      </c>
      <c r="H1035">
        <v>17</v>
      </c>
      <c r="I1035">
        <v>5</v>
      </c>
      <c r="J1035">
        <v>2016</v>
      </c>
      <c r="K1035">
        <v>10</v>
      </c>
      <c r="L1035">
        <v>276</v>
      </c>
      <c r="M1035" t="s">
        <v>16</v>
      </c>
      <c r="N1035">
        <f t="shared" si="48"/>
        <v>81.28</v>
      </c>
      <c r="O1035" t="str">
        <f t="shared" si="49"/>
        <v>October</v>
      </c>
      <c r="P1035" t="str">
        <f t="shared" si="50"/>
        <v>Weekday</v>
      </c>
    </row>
    <row r="1036" spans="1:16" x14ac:dyDescent="0.3">
      <c r="A1036" s="1">
        <v>42675</v>
      </c>
      <c r="B1036">
        <v>2.33</v>
      </c>
      <c r="C1036">
        <v>1.7030000000000001</v>
      </c>
      <c r="D1036">
        <v>4</v>
      </c>
      <c r="E1036">
        <v>25.9</v>
      </c>
      <c r="F1036">
        <v>18</v>
      </c>
      <c r="G1036">
        <v>0</v>
      </c>
      <c r="H1036">
        <v>6</v>
      </c>
      <c r="I1036">
        <v>3</v>
      </c>
      <c r="J1036">
        <v>2016</v>
      </c>
      <c r="K1036">
        <v>11</v>
      </c>
      <c r="L1036">
        <v>276</v>
      </c>
      <c r="M1036" t="s">
        <v>17</v>
      </c>
      <c r="N1036">
        <f t="shared" si="48"/>
        <v>60.933</v>
      </c>
      <c r="O1036" t="str">
        <f t="shared" si="49"/>
        <v>November</v>
      </c>
      <c r="P1036" t="str">
        <f t="shared" si="50"/>
        <v>Weekday</v>
      </c>
    </row>
    <row r="1037" spans="1:16" x14ac:dyDescent="0.3">
      <c r="A1037" s="1">
        <v>42676</v>
      </c>
      <c r="B1037">
        <v>4</v>
      </c>
      <c r="C1037">
        <v>3.7029999999999998</v>
      </c>
      <c r="D1037">
        <v>4.0999999999999996</v>
      </c>
      <c r="E1037">
        <v>42.2</v>
      </c>
      <c r="F1037">
        <v>1</v>
      </c>
      <c r="G1037">
        <v>0</v>
      </c>
      <c r="H1037">
        <v>2</v>
      </c>
      <c r="I1037">
        <v>3</v>
      </c>
      <c r="J1037">
        <v>2016</v>
      </c>
      <c r="K1037">
        <v>11</v>
      </c>
      <c r="L1037">
        <v>276</v>
      </c>
      <c r="M1037" t="s">
        <v>18</v>
      </c>
      <c r="N1037">
        <f t="shared" si="48"/>
        <v>60.003</v>
      </c>
      <c r="O1037" t="str">
        <f t="shared" si="49"/>
        <v>November</v>
      </c>
      <c r="P1037" t="str">
        <f t="shared" si="50"/>
        <v>Weekday</v>
      </c>
    </row>
    <row r="1038" spans="1:16" x14ac:dyDescent="0.3">
      <c r="A1038" s="1">
        <v>42677</v>
      </c>
      <c r="B1038">
        <v>2</v>
      </c>
      <c r="C1038">
        <v>1</v>
      </c>
      <c r="D1038">
        <v>3</v>
      </c>
      <c r="E1038">
        <v>42.5</v>
      </c>
      <c r="F1038">
        <v>3</v>
      </c>
      <c r="G1038">
        <v>0</v>
      </c>
      <c r="H1038">
        <v>0</v>
      </c>
      <c r="I1038">
        <v>1</v>
      </c>
      <c r="J1038">
        <v>2016</v>
      </c>
      <c r="K1038">
        <v>11</v>
      </c>
      <c r="L1038">
        <v>276</v>
      </c>
      <c r="M1038" t="s">
        <v>12</v>
      </c>
      <c r="N1038">
        <f t="shared" si="48"/>
        <v>52.5</v>
      </c>
      <c r="O1038" t="str">
        <f t="shared" si="49"/>
        <v>November</v>
      </c>
      <c r="P1038" t="str">
        <f t="shared" si="50"/>
        <v>Weekday</v>
      </c>
    </row>
    <row r="1039" spans="1:16" x14ac:dyDescent="0.3">
      <c r="A1039" s="1">
        <v>42678</v>
      </c>
      <c r="B1039">
        <v>8.33</v>
      </c>
      <c r="C1039">
        <v>4.3730000000000002</v>
      </c>
      <c r="D1039">
        <v>3.6</v>
      </c>
      <c r="E1039">
        <v>24.3</v>
      </c>
      <c r="F1039">
        <v>14</v>
      </c>
      <c r="G1039">
        <v>1</v>
      </c>
      <c r="H1039">
        <v>6</v>
      </c>
      <c r="I1039">
        <v>4.2</v>
      </c>
      <c r="J1039">
        <v>2016</v>
      </c>
      <c r="K1039">
        <v>11</v>
      </c>
      <c r="L1039">
        <v>276</v>
      </c>
      <c r="M1039" t="s">
        <v>13</v>
      </c>
      <c r="N1039">
        <f t="shared" si="48"/>
        <v>65.802999999999997</v>
      </c>
      <c r="O1039" t="str">
        <f t="shared" si="49"/>
        <v>November</v>
      </c>
      <c r="P1039" t="str">
        <f t="shared" si="50"/>
        <v>Weekday</v>
      </c>
    </row>
    <row r="1040" spans="1:16" x14ac:dyDescent="0.3">
      <c r="A1040" s="1">
        <v>42679</v>
      </c>
      <c r="B1040">
        <v>7.6666666670000003</v>
      </c>
      <c r="C1040">
        <v>3.02</v>
      </c>
      <c r="D1040">
        <v>5.8</v>
      </c>
      <c r="E1040">
        <v>35.4</v>
      </c>
      <c r="F1040">
        <v>9</v>
      </c>
      <c r="G1040">
        <v>0</v>
      </c>
      <c r="H1040">
        <v>0</v>
      </c>
      <c r="I1040">
        <v>2</v>
      </c>
      <c r="J1040">
        <v>2016</v>
      </c>
      <c r="K1040">
        <v>11</v>
      </c>
      <c r="L1040">
        <v>276</v>
      </c>
      <c r="M1040" t="s">
        <v>14</v>
      </c>
      <c r="N1040">
        <f t="shared" si="48"/>
        <v>62.886666667</v>
      </c>
      <c r="O1040" t="str">
        <f t="shared" si="49"/>
        <v>November</v>
      </c>
      <c r="P1040" t="str">
        <f t="shared" si="50"/>
        <v>Weekend</v>
      </c>
    </row>
    <row r="1041" spans="1:16" x14ac:dyDescent="0.3">
      <c r="A1041" s="1">
        <v>42680</v>
      </c>
      <c r="B1041">
        <v>8</v>
      </c>
      <c r="C1041">
        <v>4.34</v>
      </c>
      <c r="D1041">
        <v>3</v>
      </c>
      <c r="E1041">
        <v>42.45</v>
      </c>
      <c r="F1041">
        <v>3</v>
      </c>
      <c r="G1041">
        <v>2</v>
      </c>
      <c r="H1041">
        <v>11</v>
      </c>
      <c r="I1041">
        <v>5</v>
      </c>
      <c r="J1041">
        <v>2016</v>
      </c>
      <c r="K1041">
        <v>11</v>
      </c>
      <c r="L1041">
        <v>276</v>
      </c>
      <c r="M1041" t="s">
        <v>15</v>
      </c>
      <c r="N1041">
        <f t="shared" si="48"/>
        <v>78.790000000000006</v>
      </c>
      <c r="O1041" t="str">
        <f t="shared" si="49"/>
        <v>November</v>
      </c>
      <c r="P1041" t="str">
        <f t="shared" si="50"/>
        <v>Weekend</v>
      </c>
    </row>
    <row r="1042" spans="1:16" x14ac:dyDescent="0.3">
      <c r="A1042" s="1">
        <v>42681</v>
      </c>
      <c r="B1042">
        <v>5</v>
      </c>
      <c r="C1042">
        <v>2.726</v>
      </c>
      <c r="D1042">
        <v>6.3</v>
      </c>
      <c r="E1042">
        <v>35</v>
      </c>
      <c r="F1042">
        <v>9</v>
      </c>
      <c r="G1042">
        <v>0</v>
      </c>
      <c r="H1042">
        <v>5</v>
      </c>
      <c r="I1042">
        <v>1</v>
      </c>
      <c r="J1042">
        <v>2016</v>
      </c>
      <c r="K1042">
        <v>11</v>
      </c>
      <c r="L1042">
        <v>276</v>
      </c>
      <c r="M1042" t="s">
        <v>16</v>
      </c>
      <c r="N1042">
        <f t="shared" si="48"/>
        <v>64.025999999999996</v>
      </c>
      <c r="O1042" t="str">
        <f t="shared" si="49"/>
        <v>November</v>
      </c>
      <c r="P1042" t="str">
        <f t="shared" si="50"/>
        <v>Weekday</v>
      </c>
    </row>
    <row r="1043" spans="1:16" x14ac:dyDescent="0.3">
      <c r="A1043" s="1">
        <v>42682</v>
      </c>
      <c r="B1043">
        <v>7</v>
      </c>
      <c r="C1043">
        <v>2.35</v>
      </c>
      <c r="D1043">
        <v>8</v>
      </c>
      <c r="E1043">
        <v>20</v>
      </c>
      <c r="F1043">
        <v>19.166666670000001</v>
      </c>
      <c r="G1043">
        <v>2</v>
      </c>
      <c r="H1043">
        <v>8</v>
      </c>
      <c r="I1043">
        <v>3</v>
      </c>
      <c r="J1043">
        <v>2016</v>
      </c>
      <c r="K1043">
        <v>11</v>
      </c>
      <c r="L1043">
        <v>276</v>
      </c>
      <c r="M1043" t="s">
        <v>17</v>
      </c>
      <c r="N1043">
        <f t="shared" si="48"/>
        <v>69.516666670000006</v>
      </c>
      <c r="O1043" t="str">
        <f t="shared" si="49"/>
        <v>November</v>
      </c>
      <c r="P1043" t="str">
        <f t="shared" si="50"/>
        <v>Weekday</v>
      </c>
    </row>
    <row r="1044" spans="1:16" x14ac:dyDescent="0.3">
      <c r="A1044" s="1">
        <v>42683</v>
      </c>
      <c r="B1044">
        <v>2.34</v>
      </c>
      <c r="C1044">
        <v>5.66</v>
      </c>
      <c r="D1044">
        <v>1.4</v>
      </c>
      <c r="E1044">
        <v>25</v>
      </c>
      <c r="F1044">
        <v>18</v>
      </c>
      <c r="G1044">
        <v>0</v>
      </c>
      <c r="H1044">
        <v>4</v>
      </c>
      <c r="I1044">
        <v>0</v>
      </c>
      <c r="J1044">
        <v>2016</v>
      </c>
      <c r="K1044">
        <v>11</v>
      </c>
      <c r="L1044">
        <v>276</v>
      </c>
      <c r="M1044" t="s">
        <v>18</v>
      </c>
      <c r="N1044">
        <f t="shared" si="48"/>
        <v>56.4</v>
      </c>
      <c r="O1044" t="str">
        <f t="shared" si="49"/>
        <v>November</v>
      </c>
      <c r="P1044" t="str">
        <f t="shared" si="50"/>
        <v>Weekday</v>
      </c>
    </row>
    <row r="1045" spans="1:16" x14ac:dyDescent="0.3">
      <c r="A1045" s="1">
        <v>42684</v>
      </c>
      <c r="B1045">
        <v>7.33</v>
      </c>
      <c r="C1045">
        <v>6.33</v>
      </c>
      <c r="D1045">
        <v>7</v>
      </c>
      <c r="E1045">
        <v>31.1</v>
      </c>
      <c r="F1045">
        <v>5</v>
      </c>
      <c r="G1045">
        <v>2</v>
      </c>
      <c r="H1045">
        <v>12</v>
      </c>
      <c r="I1045">
        <v>3.4</v>
      </c>
      <c r="J1045">
        <v>2016</v>
      </c>
      <c r="K1045">
        <v>11</v>
      </c>
      <c r="L1045">
        <v>276</v>
      </c>
      <c r="M1045" t="s">
        <v>12</v>
      </c>
      <c r="N1045">
        <f t="shared" si="48"/>
        <v>74.160000000000011</v>
      </c>
      <c r="O1045" t="str">
        <f t="shared" si="49"/>
        <v>November</v>
      </c>
      <c r="P1045" t="str">
        <f t="shared" si="50"/>
        <v>Weekday</v>
      </c>
    </row>
    <row r="1046" spans="1:16" x14ac:dyDescent="0.3">
      <c r="A1046" s="1">
        <v>42685</v>
      </c>
      <c r="B1046">
        <v>10.66</v>
      </c>
      <c r="C1046">
        <v>1.7589999999999999</v>
      </c>
      <c r="D1046">
        <v>4</v>
      </c>
      <c r="E1046">
        <v>33</v>
      </c>
      <c r="F1046">
        <v>6</v>
      </c>
      <c r="G1046">
        <v>0</v>
      </c>
      <c r="H1046">
        <v>1</v>
      </c>
      <c r="I1046">
        <v>1</v>
      </c>
      <c r="J1046">
        <v>2016</v>
      </c>
      <c r="K1046">
        <v>11</v>
      </c>
      <c r="L1046">
        <v>276</v>
      </c>
      <c r="M1046" t="s">
        <v>13</v>
      </c>
      <c r="N1046">
        <f t="shared" si="48"/>
        <v>57.418999999999997</v>
      </c>
      <c r="O1046" t="str">
        <f t="shared" si="49"/>
        <v>November</v>
      </c>
      <c r="P1046" t="str">
        <f t="shared" si="50"/>
        <v>Weekday</v>
      </c>
    </row>
    <row r="1047" spans="1:16" x14ac:dyDescent="0.3">
      <c r="A1047" s="1">
        <v>42686</v>
      </c>
      <c r="B1047">
        <v>8</v>
      </c>
      <c r="C1047">
        <v>3.8250000000000002</v>
      </c>
      <c r="D1047">
        <v>7</v>
      </c>
      <c r="E1047">
        <v>56.5</v>
      </c>
      <c r="F1047">
        <v>10</v>
      </c>
      <c r="G1047">
        <v>0</v>
      </c>
      <c r="H1047">
        <v>1</v>
      </c>
      <c r="I1047">
        <v>1.2</v>
      </c>
      <c r="J1047">
        <v>2016</v>
      </c>
      <c r="K1047">
        <v>11</v>
      </c>
      <c r="L1047">
        <v>276</v>
      </c>
      <c r="M1047" t="s">
        <v>14</v>
      </c>
      <c r="N1047">
        <f t="shared" si="48"/>
        <v>87.525000000000006</v>
      </c>
      <c r="O1047" t="str">
        <f t="shared" si="49"/>
        <v>November</v>
      </c>
      <c r="P1047" t="str">
        <f t="shared" si="50"/>
        <v>Weekend</v>
      </c>
    </row>
    <row r="1048" spans="1:16" x14ac:dyDescent="0.3">
      <c r="A1048" s="1">
        <v>42687</v>
      </c>
      <c r="B1048">
        <v>6</v>
      </c>
      <c r="C1048">
        <v>11.32</v>
      </c>
      <c r="D1048">
        <v>3.6</v>
      </c>
      <c r="E1048">
        <v>60.2</v>
      </c>
      <c r="F1048">
        <v>0</v>
      </c>
      <c r="G1048">
        <v>0</v>
      </c>
      <c r="H1048">
        <v>5</v>
      </c>
      <c r="I1048">
        <v>1</v>
      </c>
      <c r="J1048">
        <v>2016</v>
      </c>
      <c r="K1048">
        <v>11</v>
      </c>
      <c r="L1048">
        <v>276</v>
      </c>
      <c r="M1048" t="s">
        <v>15</v>
      </c>
      <c r="N1048">
        <f t="shared" si="48"/>
        <v>87.12</v>
      </c>
      <c r="O1048" t="str">
        <f t="shared" si="49"/>
        <v>November</v>
      </c>
      <c r="P1048" t="str">
        <f t="shared" si="50"/>
        <v>Weekend</v>
      </c>
    </row>
    <row r="1049" spans="1:16" x14ac:dyDescent="0.3">
      <c r="A1049" s="1">
        <v>42688</v>
      </c>
      <c r="B1049">
        <v>10</v>
      </c>
      <c r="C1049">
        <v>4.726</v>
      </c>
      <c r="D1049">
        <v>3.8</v>
      </c>
      <c r="E1049">
        <v>50.5</v>
      </c>
      <c r="F1049">
        <v>5</v>
      </c>
      <c r="G1049">
        <v>3</v>
      </c>
      <c r="H1049">
        <v>1</v>
      </c>
      <c r="I1049">
        <v>1</v>
      </c>
      <c r="J1049">
        <v>2016</v>
      </c>
      <c r="K1049">
        <v>11</v>
      </c>
      <c r="L1049">
        <v>276</v>
      </c>
      <c r="M1049" t="s">
        <v>16</v>
      </c>
      <c r="N1049">
        <f t="shared" si="48"/>
        <v>79.025999999999996</v>
      </c>
      <c r="O1049" t="str">
        <f t="shared" si="49"/>
        <v>November</v>
      </c>
      <c r="P1049" t="str">
        <f t="shared" si="50"/>
        <v>Weekday</v>
      </c>
    </row>
    <row r="1050" spans="1:16" x14ac:dyDescent="0.3">
      <c r="A1050" s="1">
        <v>42689</v>
      </c>
      <c r="B1050">
        <v>5.33</v>
      </c>
      <c r="C1050">
        <v>0.33</v>
      </c>
      <c r="D1050">
        <v>4</v>
      </c>
      <c r="E1050">
        <v>30.1</v>
      </c>
      <c r="F1050">
        <v>27</v>
      </c>
      <c r="G1050">
        <v>5</v>
      </c>
      <c r="H1050">
        <v>5</v>
      </c>
      <c r="I1050">
        <v>1</v>
      </c>
      <c r="J1050">
        <v>2016</v>
      </c>
      <c r="K1050">
        <v>11</v>
      </c>
      <c r="L1050">
        <v>276</v>
      </c>
      <c r="M1050" t="s">
        <v>17</v>
      </c>
      <c r="N1050">
        <f t="shared" si="48"/>
        <v>77.760000000000005</v>
      </c>
      <c r="O1050" t="str">
        <f t="shared" si="49"/>
        <v>November</v>
      </c>
      <c r="P1050" t="str">
        <f t="shared" si="50"/>
        <v>Weekday</v>
      </c>
    </row>
    <row r="1051" spans="1:16" x14ac:dyDescent="0.3">
      <c r="A1051" s="1">
        <v>42690</v>
      </c>
      <c r="B1051">
        <v>4</v>
      </c>
      <c r="C1051">
        <v>3.1669999999999998</v>
      </c>
      <c r="D1051">
        <v>4</v>
      </c>
      <c r="E1051">
        <v>38.911999999999999</v>
      </c>
      <c r="F1051">
        <v>5</v>
      </c>
      <c r="G1051">
        <v>0</v>
      </c>
      <c r="H1051">
        <v>10</v>
      </c>
      <c r="I1051">
        <v>1</v>
      </c>
      <c r="J1051">
        <v>2016</v>
      </c>
      <c r="K1051">
        <v>11</v>
      </c>
      <c r="L1051">
        <v>276</v>
      </c>
      <c r="M1051" t="s">
        <v>18</v>
      </c>
      <c r="N1051">
        <f t="shared" si="48"/>
        <v>66.079000000000008</v>
      </c>
      <c r="O1051" t="str">
        <f t="shared" si="49"/>
        <v>November</v>
      </c>
      <c r="P1051" t="str">
        <f t="shared" si="50"/>
        <v>Weekday</v>
      </c>
    </row>
    <row r="1052" spans="1:16" x14ac:dyDescent="0.3">
      <c r="A1052" s="1">
        <v>42691</v>
      </c>
      <c r="B1052">
        <v>5</v>
      </c>
      <c r="C1052">
        <v>2.726</v>
      </c>
      <c r="D1052">
        <v>5.7</v>
      </c>
      <c r="E1052">
        <v>41.4</v>
      </c>
      <c r="F1052">
        <v>0</v>
      </c>
      <c r="G1052">
        <v>0</v>
      </c>
      <c r="H1052">
        <v>1</v>
      </c>
      <c r="I1052">
        <v>1.4</v>
      </c>
      <c r="J1052">
        <v>2016</v>
      </c>
      <c r="K1052">
        <v>11</v>
      </c>
      <c r="L1052">
        <v>276</v>
      </c>
      <c r="M1052" t="s">
        <v>12</v>
      </c>
      <c r="N1052">
        <f t="shared" si="48"/>
        <v>57.225999999999999</v>
      </c>
      <c r="O1052" t="str">
        <f t="shared" si="49"/>
        <v>November</v>
      </c>
      <c r="P1052" t="str">
        <f t="shared" si="50"/>
        <v>Weekday</v>
      </c>
    </row>
    <row r="1053" spans="1:16" x14ac:dyDescent="0.3">
      <c r="A1053" s="1">
        <v>42692</v>
      </c>
      <c r="B1053">
        <v>1.33</v>
      </c>
      <c r="C1053">
        <v>4.33</v>
      </c>
      <c r="D1053">
        <v>6.25</v>
      </c>
      <c r="E1053">
        <v>31</v>
      </c>
      <c r="F1053">
        <v>7</v>
      </c>
      <c r="G1053">
        <v>1</v>
      </c>
      <c r="H1053">
        <v>2</v>
      </c>
      <c r="I1053">
        <v>2</v>
      </c>
      <c r="J1053">
        <v>2016</v>
      </c>
      <c r="K1053">
        <v>11</v>
      </c>
      <c r="L1053">
        <v>276</v>
      </c>
      <c r="M1053" t="s">
        <v>13</v>
      </c>
      <c r="N1053">
        <f t="shared" si="48"/>
        <v>54.91</v>
      </c>
      <c r="O1053" t="str">
        <f t="shared" si="49"/>
        <v>November</v>
      </c>
      <c r="P1053" t="str">
        <f t="shared" si="50"/>
        <v>Weekday</v>
      </c>
    </row>
    <row r="1054" spans="1:16" x14ac:dyDescent="0.3">
      <c r="A1054" s="1">
        <v>42693</v>
      </c>
      <c r="B1054">
        <v>5</v>
      </c>
      <c r="C1054">
        <v>2.7</v>
      </c>
      <c r="D1054">
        <v>4</v>
      </c>
      <c r="E1054">
        <v>35.4</v>
      </c>
      <c r="F1054">
        <v>3</v>
      </c>
      <c r="G1054">
        <v>0</v>
      </c>
      <c r="H1054">
        <v>3</v>
      </c>
      <c r="I1054">
        <v>2</v>
      </c>
      <c r="J1054">
        <v>2016</v>
      </c>
      <c r="K1054">
        <v>11</v>
      </c>
      <c r="L1054">
        <v>276</v>
      </c>
      <c r="M1054" t="s">
        <v>14</v>
      </c>
      <c r="N1054">
        <f t="shared" si="48"/>
        <v>55.099999999999994</v>
      </c>
      <c r="O1054" t="str">
        <f t="shared" si="49"/>
        <v>November</v>
      </c>
      <c r="P1054" t="str">
        <f t="shared" si="50"/>
        <v>Weekend</v>
      </c>
    </row>
    <row r="1055" spans="1:16" x14ac:dyDescent="0.3">
      <c r="A1055" s="1">
        <v>42694</v>
      </c>
      <c r="B1055">
        <v>7</v>
      </c>
      <c r="C1055">
        <v>4.34</v>
      </c>
      <c r="D1055">
        <v>5</v>
      </c>
      <c r="E1055">
        <v>25.5</v>
      </c>
      <c r="F1055">
        <v>3</v>
      </c>
      <c r="G1055">
        <v>0</v>
      </c>
      <c r="H1055">
        <v>0</v>
      </c>
      <c r="I1055">
        <v>2</v>
      </c>
      <c r="J1055">
        <v>2016</v>
      </c>
      <c r="K1055">
        <v>11</v>
      </c>
      <c r="L1055">
        <v>276</v>
      </c>
      <c r="M1055" t="s">
        <v>15</v>
      </c>
      <c r="N1055">
        <f t="shared" si="48"/>
        <v>46.84</v>
      </c>
      <c r="O1055" t="str">
        <f t="shared" si="49"/>
        <v>November</v>
      </c>
      <c r="P1055" t="str">
        <f t="shared" si="50"/>
        <v>Weekend</v>
      </c>
    </row>
    <row r="1056" spans="1:16" x14ac:dyDescent="0.3">
      <c r="A1056" s="1">
        <v>42695</v>
      </c>
      <c r="B1056">
        <v>1.34</v>
      </c>
      <c r="C1056">
        <v>3.34</v>
      </c>
      <c r="D1056">
        <v>5.25</v>
      </c>
      <c r="E1056">
        <v>30</v>
      </c>
      <c r="F1056">
        <v>1</v>
      </c>
      <c r="G1056">
        <v>0</v>
      </c>
      <c r="H1056">
        <v>13</v>
      </c>
      <c r="I1056">
        <v>3</v>
      </c>
      <c r="J1056">
        <v>2016</v>
      </c>
      <c r="K1056">
        <v>11</v>
      </c>
      <c r="L1056">
        <v>276</v>
      </c>
      <c r="M1056" t="s">
        <v>16</v>
      </c>
      <c r="N1056">
        <f t="shared" si="48"/>
        <v>56.93</v>
      </c>
      <c r="O1056" t="str">
        <f t="shared" si="49"/>
        <v>November</v>
      </c>
      <c r="P1056" t="str">
        <f t="shared" si="50"/>
        <v>Weekday</v>
      </c>
    </row>
    <row r="1057" spans="1:16" x14ac:dyDescent="0.3">
      <c r="A1057" s="1">
        <v>42696</v>
      </c>
      <c r="B1057">
        <v>4.01</v>
      </c>
      <c r="C1057">
        <v>4.7030000000000003</v>
      </c>
      <c r="D1057">
        <v>1.1000000000000001</v>
      </c>
      <c r="E1057">
        <v>23</v>
      </c>
      <c r="F1057">
        <v>3</v>
      </c>
      <c r="G1057">
        <v>2</v>
      </c>
      <c r="H1057">
        <v>7</v>
      </c>
      <c r="I1057">
        <v>2</v>
      </c>
      <c r="J1057">
        <v>2016</v>
      </c>
      <c r="K1057">
        <v>11</v>
      </c>
      <c r="L1057">
        <v>276</v>
      </c>
      <c r="M1057" t="s">
        <v>17</v>
      </c>
      <c r="N1057">
        <f t="shared" si="48"/>
        <v>46.813000000000002</v>
      </c>
      <c r="O1057" t="str">
        <f t="shared" si="49"/>
        <v>November</v>
      </c>
      <c r="P1057" t="str">
        <f t="shared" si="50"/>
        <v>Weekday</v>
      </c>
    </row>
    <row r="1058" spans="1:16" x14ac:dyDescent="0.3">
      <c r="A1058" s="1">
        <v>42697</v>
      </c>
      <c r="B1058">
        <v>3</v>
      </c>
      <c r="C1058">
        <v>4.33</v>
      </c>
      <c r="D1058">
        <v>3.7</v>
      </c>
      <c r="E1058">
        <v>44.124000000000002</v>
      </c>
      <c r="F1058">
        <v>5</v>
      </c>
      <c r="G1058">
        <v>0</v>
      </c>
      <c r="H1058">
        <v>0</v>
      </c>
      <c r="I1058">
        <v>1</v>
      </c>
      <c r="J1058">
        <v>2016</v>
      </c>
      <c r="K1058">
        <v>11</v>
      </c>
      <c r="L1058">
        <v>276</v>
      </c>
      <c r="M1058" t="s">
        <v>18</v>
      </c>
      <c r="N1058">
        <f t="shared" si="48"/>
        <v>61.154000000000003</v>
      </c>
      <c r="O1058" t="str">
        <f t="shared" si="49"/>
        <v>November</v>
      </c>
      <c r="P1058" t="str">
        <f t="shared" si="50"/>
        <v>Weekday</v>
      </c>
    </row>
    <row r="1059" spans="1:16" x14ac:dyDescent="0.3">
      <c r="A1059" s="1">
        <v>42698</v>
      </c>
      <c r="B1059">
        <v>8.67</v>
      </c>
      <c r="C1059">
        <v>4.3330000000000002</v>
      </c>
      <c r="D1059">
        <v>6</v>
      </c>
      <c r="E1059">
        <v>28</v>
      </c>
      <c r="F1059">
        <v>2</v>
      </c>
      <c r="G1059">
        <v>0</v>
      </c>
      <c r="H1059">
        <v>10</v>
      </c>
      <c r="I1059">
        <v>3</v>
      </c>
      <c r="J1059">
        <v>2016</v>
      </c>
      <c r="K1059">
        <v>11</v>
      </c>
      <c r="L1059">
        <v>276</v>
      </c>
      <c r="M1059" t="s">
        <v>12</v>
      </c>
      <c r="N1059">
        <f t="shared" si="48"/>
        <v>62.003</v>
      </c>
      <c r="O1059" t="str">
        <f t="shared" si="49"/>
        <v>November</v>
      </c>
      <c r="P1059" t="str">
        <f t="shared" si="50"/>
        <v>Weekday</v>
      </c>
    </row>
    <row r="1060" spans="1:16" x14ac:dyDescent="0.3">
      <c r="A1060" s="1">
        <v>42699</v>
      </c>
      <c r="B1060">
        <v>7.34</v>
      </c>
      <c r="C1060">
        <v>5</v>
      </c>
      <c r="D1060">
        <v>7</v>
      </c>
      <c r="E1060">
        <v>21</v>
      </c>
      <c r="F1060">
        <v>20</v>
      </c>
      <c r="G1060">
        <v>4</v>
      </c>
      <c r="H1060">
        <v>5</v>
      </c>
      <c r="I1060">
        <v>1</v>
      </c>
      <c r="J1060">
        <v>2016</v>
      </c>
      <c r="K1060">
        <v>11</v>
      </c>
      <c r="L1060">
        <v>276</v>
      </c>
      <c r="M1060" t="s">
        <v>13</v>
      </c>
      <c r="N1060">
        <f t="shared" si="48"/>
        <v>70.34</v>
      </c>
      <c r="O1060" t="str">
        <f t="shared" si="49"/>
        <v>November</v>
      </c>
      <c r="P1060" t="str">
        <f t="shared" si="50"/>
        <v>Weekday</v>
      </c>
    </row>
    <row r="1061" spans="1:16" x14ac:dyDescent="0.3">
      <c r="A1061" s="1">
        <v>42700</v>
      </c>
      <c r="B1061">
        <v>3.33</v>
      </c>
      <c r="C1061">
        <v>5</v>
      </c>
      <c r="D1061">
        <v>4</v>
      </c>
      <c r="E1061">
        <v>36</v>
      </c>
      <c r="F1061">
        <v>9</v>
      </c>
      <c r="G1061">
        <v>3</v>
      </c>
      <c r="H1061">
        <v>12</v>
      </c>
      <c r="I1061">
        <v>2</v>
      </c>
      <c r="J1061">
        <v>2016</v>
      </c>
      <c r="K1061">
        <v>11</v>
      </c>
      <c r="L1061">
        <v>276</v>
      </c>
      <c r="M1061" t="s">
        <v>14</v>
      </c>
      <c r="N1061">
        <f t="shared" si="48"/>
        <v>74.33</v>
      </c>
      <c r="O1061" t="str">
        <f t="shared" si="49"/>
        <v>November</v>
      </c>
      <c r="P1061" t="str">
        <f t="shared" si="50"/>
        <v>Weekend</v>
      </c>
    </row>
    <row r="1062" spans="1:16" x14ac:dyDescent="0.3">
      <c r="A1062" s="1">
        <v>42701</v>
      </c>
      <c r="B1062">
        <v>9.33</v>
      </c>
      <c r="C1062">
        <v>5.6929999999999996</v>
      </c>
      <c r="D1062">
        <v>3.9</v>
      </c>
      <c r="E1062">
        <v>61</v>
      </c>
      <c r="F1062">
        <v>5</v>
      </c>
      <c r="G1062">
        <v>0</v>
      </c>
      <c r="H1062">
        <v>1</v>
      </c>
      <c r="I1062">
        <v>0</v>
      </c>
      <c r="J1062">
        <v>2016</v>
      </c>
      <c r="K1062">
        <v>11</v>
      </c>
      <c r="L1062">
        <v>276</v>
      </c>
      <c r="M1062" t="s">
        <v>15</v>
      </c>
      <c r="N1062">
        <f t="shared" si="48"/>
        <v>85.923000000000002</v>
      </c>
      <c r="O1062" t="str">
        <f t="shared" si="49"/>
        <v>November</v>
      </c>
      <c r="P1062" t="str">
        <f t="shared" si="50"/>
        <v>Weekend</v>
      </c>
    </row>
    <row r="1063" spans="1:16" x14ac:dyDescent="0.3">
      <c r="A1063" s="1">
        <v>42702</v>
      </c>
      <c r="B1063">
        <v>4.5</v>
      </c>
      <c r="C1063">
        <v>1.363</v>
      </c>
      <c r="D1063">
        <v>2.0499999999999998</v>
      </c>
      <c r="E1063">
        <v>23</v>
      </c>
      <c r="F1063">
        <v>5</v>
      </c>
      <c r="G1063">
        <v>0</v>
      </c>
      <c r="H1063">
        <v>12</v>
      </c>
      <c r="I1063">
        <v>0</v>
      </c>
      <c r="J1063">
        <v>2016</v>
      </c>
      <c r="K1063">
        <v>11</v>
      </c>
      <c r="L1063">
        <v>276</v>
      </c>
      <c r="M1063" t="s">
        <v>16</v>
      </c>
      <c r="N1063">
        <f t="shared" si="48"/>
        <v>47.912999999999997</v>
      </c>
      <c r="O1063" t="str">
        <f t="shared" si="49"/>
        <v>November</v>
      </c>
      <c r="P1063" t="str">
        <f t="shared" si="50"/>
        <v>Weekday</v>
      </c>
    </row>
    <row r="1064" spans="1:16" x14ac:dyDescent="0.3">
      <c r="A1064" s="1">
        <v>42703</v>
      </c>
      <c r="B1064">
        <v>5.68</v>
      </c>
      <c r="C1064">
        <v>5.67</v>
      </c>
      <c r="D1064">
        <v>3</v>
      </c>
      <c r="E1064">
        <v>45.6</v>
      </c>
      <c r="F1064">
        <v>6</v>
      </c>
      <c r="G1064">
        <v>2</v>
      </c>
      <c r="H1064">
        <v>0</v>
      </c>
      <c r="I1064">
        <v>0</v>
      </c>
      <c r="J1064">
        <v>2016</v>
      </c>
      <c r="K1064">
        <v>11</v>
      </c>
      <c r="L1064">
        <v>276</v>
      </c>
      <c r="M1064" t="s">
        <v>17</v>
      </c>
      <c r="N1064">
        <f t="shared" si="48"/>
        <v>67.95</v>
      </c>
      <c r="O1064" t="str">
        <f t="shared" si="49"/>
        <v>November</v>
      </c>
      <c r="P1064" t="str">
        <f t="shared" si="50"/>
        <v>Weekday</v>
      </c>
    </row>
    <row r="1065" spans="1:16" x14ac:dyDescent="0.3">
      <c r="A1065" s="1">
        <v>42704</v>
      </c>
      <c r="B1065">
        <v>3.33</v>
      </c>
      <c r="C1065">
        <v>2.99</v>
      </c>
      <c r="D1065">
        <v>4.3</v>
      </c>
      <c r="E1065">
        <v>24.6</v>
      </c>
      <c r="F1065">
        <v>13</v>
      </c>
      <c r="G1065">
        <v>0</v>
      </c>
      <c r="H1065">
        <v>7</v>
      </c>
      <c r="I1065">
        <v>0</v>
      </c>
      <c r="J1065">
        <v>2016</v>
      </c>
      <c r="K1065">
        <v>11</v>
      </c>
      <c r="L1065">
        <v>276</v>
      </c>
      <c r="M1065" t="s">
        <v>18</v>
      </c>
      <c r="N1065">
        <f t="shared" si="48"/>
        <v>55.22</v>
      </c>
      <c r="O1065" t="str">
        <f t="shared" si="49"/>
        <v>November</v>
      </c>
      <c r="P1065" t="str">
        <f t="shared" si="50"/>
        <v>Weekday</v>
      </c>
    </row>
    <row r="1066" spans="1:16" x14ac:dyDescent="0.3">
      <c r="A1066" s="1">
        <v>42705</v>
      </c>
      <c r="B1066">
        <v>4.5</v>
      </c>
      <c r="C1066">
        <v>2.363</v>
      </c>
      <c r="D1066">
        <v>1.5</v>
      </c>
      <c r="E1066">
        <v>55.661999999999999</v>
      </c>
      <c r="F1066">
        <v>8</v>
      </c>
      <c r="G1066">
        <v>0</v>
      </c>
      <c r="H1066">
        <v>9</v>
      </c>
      <c r="I1066">
        <v>0</v>
      </c>
      <c r="J1066">
        <v>2016</v>
      </c>
      <c r="K1066">
        <v>12</v>
      </c>
      <c r="L1066">
        <v>276</v>
      </c>
      <c r="M1066" t="s">
        <v>12</v>
      </c>
      <c r="N1066">
        <f t="shared" si="48"/>
        <v>81.025000000000006</v>
      </c>
      <c r="O1066" t="str">
        <f t="shared" si="49"/>
        <v>December</v>
      </c>
      <c r="P1066" t="str">
        <f t="shared" si="50"/>
        <v>Weekday</v>
      </c>
    </row>
    <row r="1067" spans="1:16" x14ac:dyDescent="0.3">
      <c r="A1067" s="1">
        <v>42706</v>
      </c>
      <c r="B1067">
        <v>6</v>
      </c>
      <c r="C1067">
        <v>1.0760000000000001</v>
      </c>
      <c r="D1067">
        <v>3.2</v>
      </c>
      <c r="E1067">
        <v>43</v>
      </c>
      <c r="F1067">
        <v>14</v>
      </c>
      <c r="G1067">
        <v>0</v>
      </c>
      <c r="H1067">
        <v>26</v>
      </c>
      <c r="I1067">
        <v>0.2</v>
      </c>
      <c r="J1067">
        <v>2016</v>
      </c>
      <c r="K1067">
        <v>12</v>
      </c>
      <c r="L1067">
        <v>276</v>
      </c>
      <c r="M1067" t="s">
        <v>13</v>
      </c>
      <c r="N1067">
        <f t="shared" si="48"/>
        <v>93.475999999999999</v>
      </c>
      <c r="O1067" t="str">
        <f t="shared" si="49"/>
        <v>December</v>
      </c>
      <c r="P1067" t="str">
        <f t="shared" si="50"/>
        <v>Weekday</v>
      </c>
    </row>
    <row r="1068" spans="1:16" x14ac:dyDescent="0.3">
      <c r="A1068" s="1">
        <v>42707</v>
      </c>
      <c r="B1068">
        <v>3.17</v>
      </c>
      <c r="C1068">
        <v>2.68</v>
      </c>
      <c r="D1068">
        <v>3</v>
      </c>
      <c r="E1068">
        <v>43.3</v>
      </c>
      <c r="F1068">
        <v>2</v>
      </c>
      <c r="G1068">
        <v>0</v>
      </c>
      <c r="H1068">
        <v>1</v>
      </c>
      <c r="I1068">
        <v>4</v>
      </c>
      <c r="J1068">
        <v>2016</v>
      </c>
      <c r="K1068">
        <v>12</v>
      </c>
      <c r="L1068">
        <v>276</v>
      </c>
      <c r="M1068" t="s">
        <v>14</v>
      </c>
      <c r="N1068">
        <f t="shared" si="48"/>
        <v>59.15</v>
      </c>
      <c r="O1068" t="str">
        <f t="shared" si="49"/>
        <v>December</v>
      </c>
      <c r="P1068" t="str">
        <f t="shared" si="50"/>
        <v>Weekend</v>
      </c>
    </row>
    <row r="1069" spans="1:16" x14ac:dyDescent="0.3">
      <c r="A1069" s="1">
        <v>42708</v>
      </c>
      <c r="B1069">
        <v>7</v>
      </c>
      <c r="C1069">
        <v>9.1229999999999993</v>
      </c>
      <c r="D1069">
        <v>2.9</v>
      </c>
      <c r="E1069">
        <v>67</v>
      </c>
      <c r="F1069">
        <v>4</v>
      </c>
      <c r="G1069">
        <v>0</v>
      </c>
      <c r="H1069">
        <v>0</v>
      </c>
      <c r="I1069">
        <v>0</v>
      </c>
      <c r="J1069">
        <v>2016</v>
      </c>
      <c r="K1069">
        <v>12</v>
      </c>
      <c r="L1069">
        <v>276</v>
      </c>
      <c r="M1069" t="s">
        <v>15</v>
      </c>
      <c r="N1069">
        <f t="shared" si="48"/>
        <v>90.022999999999996</v>
      </c>
      <c r="O1069" t="str">
        <f t="shared" si="49"/>
        <v>December</v>
      </c>
      <c r="P1069" t="str">
        <f t="shared" si="50"/>
        <v>Weekend</v>
      </c>
    </row>
    <row r="1070" spans="1:16" x14ac:dyDescent="0.3">
      <c r="A1070" s="1">
        <v>42709</v>
      </c>
      <c r="B1070">
        <v>9.5</v>
      </c>
      <c r="C1070">
        <v>1.68</v>
      </c>
      <c r="D1070">
        <v>4</v>
      </c>
      <c r="E1070">
        <v>23</v>
      </c>
      <c r="F1070">
        <v>6</v>
      </c>
      <c r="G1070">
        <v>1</v>
      </c>
      <c r="H1070">
        <v>13</v>
      </c>
      <c r="I1070">
        <v>2</v>
      </c>
      <c r="J1070">
        <v>2016</v>
      </c>
      <c r="K1070">
        <v>12</v>
      </c>
      <c r="L1070">
        <v>276</v>
      </c>
      <c r="M1070" t="s">
        <v>16</v>
      </c>
      <c r="N1070">
        <f t="shared" si="48"/>
        <v>60.18</v>
      </c>
      <c r="O1070" t="str">
        <f t="shared" si="49"/>
        <v>December</v>
      </c>
      <c r="P1070" t="str">
        <f t="shared" si="50"/>
        <v>Weekday</v>
      </c>
    </row>
    <row r="1071" spans="1:16" x14ac:dyDescent="0.3">
      <c r="A1071" s="1">
        <v>42710</v>
      </c>
      <c r="B1071">
        <v>6</v>
      </c>
      <c r="C1071">
        <v>5.09</v>
      </c>
      <c r="D1071">
        <v>4.4000000000000004</v>
      </c>
      <c r="E1071">
        <v>27.2</v>
      </c>
      <c r="F1071">
        <v>4</v>
      </c>
      <c r="G1071">
        <v>0</v>
      </c>
      <c r="H1071">
        <v>20</v>
      </c>
      <c r="I1071">
        <v>1</v>
      </c>
      <c r="J1071">
        <v>2016</v>
      </c>
      <c r="K1071">
        <v>12</v>
      </c>
      <c r="L1071">
        <v>276</v>
      </c>
      <c r="M1071" t="s">
        <v>17</v>
      </c>
      <c r="N1071">
        <f t="shared" si="48"/>
        <v>67.69</v>
      </c>
      <c r="O1071" t="str">
        <f t="shared" si="49"/>
        <v>December</v>
      </c>
      <c r="P1071" t="str">
        <f t="shared" si="50"/>
        <v>Weekday</v>
      </c>
    </row>
    <row r="1072" spans="1:16" x14ac:dyDescent="0.3">
      <c r="A1072" s="1">
        <v>42711</v>
      </c>
      <c r="B1072">
        <v>4.34</v>
      </c>
      <c r="C1072">
        <v>2.726</v>
      </c>
      <c r="D1072">
        <v>1.7</v>
      </c>
      <c r="E1072">
        <v>47</v>
      </c>
      <c r="F1072">
        <v>8</v>
      </c>
      <c r="G1072">
        <v>3</v>
      </c>
      <c r="H1072">
        <v>7</v>
      </c>
      <c r="I1072">
        <v>3</v>
      </c>
      <c r="J1072">
        <v>2016</v>
      </c>
      <c r="K1072">
        <v>12</v>
      </c>
      <c r="L1072">
        <v>276</v>
      </c>
      <c r="M1072" t="s">
        <v>18</v>
      </c>
      <c r="N1072">
        <f t="shared" si="48"/>
        <v>76.765999999999991</v>
      </c>
      <c r="O1072" t="str">
        <f t="shared" si="49"/>
        <v>December</v>
      </c>
      <c r="P1072" t="str">
        <f t="shared" si="50"/>
        <v>Weekday</v>
      </c>
    </row>
    <row r="1073" spans="1:16" x14ac:dyDescent="0.3">
      <c r="A1073" s="1">
        <v>42712</v>
      </c>
      <c r="B1073">
        <v>5.67</v>
      </c>
      <c r="C1073">
        <v>1.67</v>
      </c>
      <c r="D1073">
        <v>5</v>
      </c>
      <c r="E1073">
        <v>35.700000000000003</v>
      </c>
      <c r="F1073">
        <v>9</v>
      </c>
      <c r="G1073">
        <v>0</v>
      </c>
      <c r="H1073">
        <v>2</v>
      </c>
      <c r="I1073">
        <v>0</v>
      </c>
      <c r="J1073">
        <v>2016</v>
      </c>
      <c r="K1073">
        <v>12</v>
      </c>
      <c r="L1073">
        <v>276</v>
      </c>
      <c r="M1073" t="s">
        <v>12</v>
      </c>
      <c r="N1073">
        <f t="shared" si="48"/>
        <v>59.040000000000006</v>
      </c>
      <c r="O1073" t="str">
        <f t="shared" si="49"/>
        <v>December</v>
      </c>
      <c r="P1073" t="str">
        <f t="shared" si="50"/>
        <v>Weekday</v>
      </c>
    </row>
    <row r="1074" spans="1:16" x14ac:dyDescent="0.3">
      <c r="A1074" s="1">
        <v>42713</v>
      </c>
      <c r="B1074">
        <v>5.66</v>
      </c>
      <c r="C1074">
        <v>1.67</v>
      </c>
      <c r="D1074">
        <v>4</v>
      </c>
      <c r="E1074">
        <v>35.061999999999998</v>
      </c>
      <c r="F1074">
        <v>2</v>
      </c>
      <c r="G1074">
        <v>0</v>
      </c>
      <c r="H1074">
        <v>0</v>
      </c>
      <c r="I1074">
        <v>2</v>
      </c>
      <c r="J1074">
        <v>2016</v>
      </c>
      <c r="K1074">
        <v>12</v>
      </c>
      <c r="L1074">
        <v>276</v>
      </c>
      <c r="M1074" t="s">
        <v>13</v>
      </c>
      <c r="N1074">
        <f t="shared" si="48"/>
        <v>50.391999999999996</v>
      </c>
      <c r="O1074" t="str">
        <f t="shared" si="49"/>
        <v>December</v>
      </c>
      <c r="P1074" t="str">
        <f t="shared" si="50"/>
        <v>Weekday</v>
      </c>
    </row>
    <row r="1075" spans="1:16" x14ac:dyDescent="0.3">
      <c r="A1075" s="1">
        <v>42714</v>
      </c>
      <c r="B1075">
        <v>7.34</v>
      </c>
      <c r="C1075">
        <v>6.33</v>
      </c>
      <c r="D1075">
        <v>10.1</v>
      </c>
      <c r="E1075">
        <v>45.4</v>
      </c>
      <c r="F1075">
        <v>1</v>
      </c>
      <c r="G1075">
        <v>0</v>
      </c>
      <c r="H1075">
        <v>15</v>
      </c>
      <c r="I1075">
        <v>2</v>
      </c>
      <c r="J1075">
        <v>2016</v>
      </c>
      <c r="K1075">
        <v>12</v>
      </c>
      <c r="L1075">
        <v>276</v>
      </c>
      <c r="M1075" t="s">
        <v>14</v>
      </c>
      <c r="N1075">
        <f t="shared" si="48"/>
        <v>87.17</v>
      </c>
      <c r="O1075" t="str">
        <f t="shared" si="49"/>
        <v>December</v>
      </c>
      <c r="P1075" t="str">
        <f t="shared" si="50"/>
        <v>Weekend</v>
      </c>
    </row>
    <row r="1076" spans="1:16" x14ac:dyDescent="0.3">
      <c r="A1076" s="1">
        <v>42715</v>
      </c>
      <c r="B1076">
        <v>3.34</v>
      </c>
      <c r="C1076">
        <v>4.726</v>
      </c>
      <c r="D1076">
        <v>8.5500000000000007</v>
      </c>
      <c r="E1076">
        <v>62.061999999999998</v>
      </c>
      <c r="F1076">
        <v>7</v>
      </c>
      <c r="G1076">
        <v>0</v>
      </c>
      <c r="H1076">
        <v>14</v>
      </c>
      <c r="I1076">
        <v>1</v>
      </c>
      <c r="J1076">
        <v>2016</v>
      </c>
      <c r="K1076">
        <v>12</v>
      </c>
      <c r="L1076">
        <v>276</v>
      </c>
      <c r="M1076" t="s">
        <v>15</v>
      </c>
      <c r="N1076">
        <f t="shared" si="48"/>
        <v>100.678</v>
      </c>
      <c r="O1076" t="str">
        <f t="shared" si="49"/>
        <v>December</v>
      </c>
      <c r="P1076" t="str">
        <f t="shared" si="50"/>
        <v>Weekend</v>
      </c>
    </row>
    <row r="1077" spans="1:16" x14ac:dyDescent="0.3">
      <c r="A1077" s="1">
        <v>42716</v>
      </c>
      <c r="B1077">
        <v>3.66</v>
      </c>
      <c r="C1077">
        <v>2.4289999999999998</v>
      </c>
      <c r="D1077">
        <v>3.1</v>
      </c>
      <c r="E1077">
        <v>44.5</v>
      </c>
      <c r="F1077">
        <v>28.333333329999999</v>
      </c>
      <c r="G1077">
        <v>3</v>
      </c>
      <c r="H1077">
        <v>21</v>
      </c>
      <c r="I1077">
        <v>4</v>
      </c>
      <c r="J1077">
        <v>2016</v>
      </c>
      <c r="K1077">
        <v>12</v>
      </c>
      <c r="L1077">
        <v>276</v>
      </c>
      <c r="M1077" t="s">
        <v>16</v>
      </c>
      <c r="N1077">
        <f t="shared" si="48"/>
        <v>110.02233333</v>
      </c>
      <c r="O1077" t="str">
        <f t="shared" si="49"/>
        <v>December</v>
      </c>
      <c r="P1077" t="str">
        <f t="shared" si="50"/>
        <v>Weekday</v>
      </c>
    </row>
    <row r="1078" spans="1:16" x14ac:dyDescent="0.3">
      <c r="A1078" s="1">
        <v>42717</v>
      </c>
      <c r="B1078">
        <v>1</v>
      </c>
      <c r="C1078">
        <v>4</v>
      </c>
      <c r="D1078">
        <v>5.0999999999999996</v>
      </c>
      <c r="E1078">
        <v>43.6</v>
      </c>
      <c r="F1078">
        <v>0</v>
      </c>
      <c r="G1078">
        <v>0</v>
      </c>
      <c r="H1078">
        <v>18</v>
      </c>
      <c r="I1078">
        <v>0</v>
      </c>
      <c r="J1078">
        <v>2016</v>
      </c>
      <c r="K1078">
        <v>12</v>
      </c>
      <c r="L1078">
        <v>276</v>
      </c>
      <c r="M1078" t="s">
        <v>17</v>
      </c>
      <c r="N1078">
        <f t="shared" si="48"/>
        <v>71.7</v>
      </c>
      <c r="O1078" t="str">
        <f t="shared" si="49"/>
        <v>December</v>
      </c>
      <c r="P1078" t="str">
        <f t="shared" si="50"/>
        <v>Weekday</v>
      </c>
    </row>
    <row r="1079" spans="1:16" x14ac:dyDescent="0.3">
      <c r="A1079" s="1">
        <v>42718</v>
      </c>
      <c r="B1079">
        <v>5.83</v>
      </c>
      <c r="C1079">
        <v>3.78</v>
      </c>
      <c r="D1079">
        <v>5.65</v>
      </c>
      <c r="E1079">
        <v>32.200000000000003</v>
      </c>
      <c r="F1079">
        <v>21</v>
      </c>
      <c r="G1079">
        <v>0</v>
      </c>
      <c r="H1079">
        <v>10</v>
      </c>
      <c r="I1079">
        <v>1.2</v>
      </c>
      <c r="J1079">
        <v>2016</v>
      </c>
      <c r="K1079">
        <v>12</v>
      </c>
      <c r="L1079">
        <v>276</v>
      </c>
      <c r="M1079" t="s">
        <v>18</v>
      </c>
      <c r="N1079">
        <f t="shared" si="48"/>
        <v>79.660000000000011</v>
      </c>
      <c r="O1079" t="str">
        <f t="shared" si="49"/>
        <v>December</v>
      </c>
      <c r="P1079" t="str">
        <f t="shared" si="50"/>
        <v>Weekday</v>
      </c>
    </row>
    <row r="1080" spans="1:16" x14ac:dyDescent="0.3">
      <c r="A1080" s="1">
        <v>42719</v>
      </c>
      <c r="B1080">
        <v>9.66</v>
      </c>
      <c r="C1080">
        <v>3.33</v>
      </c>
      <c r="D1080">
        <v>1</v>
      </c>
      <c r="E1080">
        <v>22.8</v>
      </c>
      <c r="F1080">
        <v>8</v>
      </c>
      <c r="G1080">
        <v>0</v>
      </c>
      <c r="H1080">
        <v>5</v>
      </c>
      <c r="I1080">
        <v>1</v>
      </c>
      <c r="J1080">
        <v>2016</v>
      </c>
      <c r="K1080">
        <v>12</v>
      </c>
      <c r="L1080">
        <v>276</v>
      </c>
      <c r="M1080" t="s">
        <v>12</v>
      </c>
      <c r="N1080">
        <f t="shared" si="48"/>
        <v>50.79</v>
      </c>
      <c r="O1080" t="str">
        <f t="shared" si="49"/>
        <v>December</v>
      </c>
      <c r="P1080" t="str">
        <f t="shared" si="50"/>
        <v>Weekday</v>
      </c>
    </row>
    <row r="1081" spans="1:16" x14ac:dyDescent="0.3">
      <c r="A1081" s="1">
        <v>42720</v>
      </c>
      <c r="B1081">
        <v>7.33</v>
      </c>
      <c r="C1081">
        <v>6.32</v>
      </c>
      <c r="D1081">
        <v>2.2000000000000002</v>
      </c>
      <c r="E1081">
        <v>39.774999999999999</v>
      </c>
      <c r="F1081">
        <v>8</v>
      </c>
      <c r="G1081">
        <v>3</v>
      </c>
      <c r="H1081">
        <v>23</v>
      </c>
      <c r="I1081">
        <v>1</v>
      </c>
      <c r="J1081">
        <v>2016</v>
      </c>
      <c r="K1081">
        <v>12</v>
      </c>
      <c r="L1081">
        <v>276</v>
      </c>
      <c r="M1081" t="s">
        <v>13</v>
      </c>
      <c r="N1081">
        <f t="shared" si="48"/>
        <v>90.625</v>
      </c>
      <c r="O1081" t="str">
        <f t="shared" si="49"/>
        <v>December</v>
      </c>
      <c r="P1081" t="str">
        <f t="shared" si="50"/>
        <v>Weekday</v>
      </c>
    </row>
    <row r="1082" spans="1:16" x14ac:dyDescent="0.3">
      <c r="A1082" s="1">
        <v>42721</v>
      </c>
      <c r="B1082">
        <v>5.99</v>
      </c>
      <c r="C1082">
        <v>2.66</v>
      </c>
      <c r="D1082">
        <v>4.1500000000000004</v>
      </c>
      <c r="E1082">
        <v>59.95</v>
      </c>
      <c r="F1082">
        <v>10</v>
      </c>
      <c r="G1082">
        <v>0</v>
      </c>
      <c r="H1082">
        <v>6</v>
      </c>
      <c r="I1082">
        <v>1</v>
      </c>
      <c r="J1082">
        <v>2016</v>
      </c>
      <c r="K1082">
        <v>12</v>
      </c>
      <c r="L1082">
        <v>276</v>
      </c>
      <c r="M1082" t="s">
        <v>14</v>
      </c>
      <c r="N1082">
        <f t="shared" si="48"/>
        <v>89.75</v>
      </c>
      <c r="O1082" t="str">
        <f t="shared" si="49"/>
        <v>December</v>
      </c>
      <c r="P1082" t="str">
        <f t="shared" si="50"/>
        <v>Weekend</v>
      </c>
    </row>
    <row r="1083" spans="1:16" x14ac:dyDescent="0.3">
      <c r="A1083" s="1">
        <v>42722</v>
      </c>
      <c r="B1083">
        <v>1.67</v>
      </c>
      <c r="C1083">
        <v>5.0199999999999996</v>
      </c>
      <c r="D1083">
        <v>4.2</v>
      </c>
      <c r="E1083">
        <v>60.7</v>
      </c>
      <c r="F1083">
        <v>13</v>
      </c>
      <c r="G1083">
        <v>0</v>
      </c>
      <c r="H1083">
        <v>5</v>
      </c>
      <c r="I1083">
        <v>1</v>
      </c>
      <c r="J1083">
        <v>2016</v>
      </c>
      <c r="K1083">
        <v>12</v>
      </c>
      <c r="L1083">
        <v>276</v>
      </c>
      <c r="M1083" t="s">
        <v>15</v>
      </c>
      <c r="N1083">
        <f t="shared" si="48"/>
        <v>90.59</v>
      </c>
      <c r="O1083" t="str">
        <f t="shared" si="49"/>
        <v>December</v>
      </c>
      <c r="P1083" t="str">
        <f t="shared" si="50"/>
        <v>Weekend</v>
      </c>
    </row>
    <row r="1084" spans="1:16" x14ac:dyDescent="0.3">
      <c r="A1084" s="1">
        <v>42723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2016</v>
      </c>
      <c r="K1084">
        <v>12</v>
      </c>
      <c r="L1084">
        <v>276</v>
      </c>
      <c r="M1084" t="s">
        <v>16</v>
      </c>
      <c r="N1084">
        <f t="shared" si="48"/>
        <v>0</v>
      </c>
      <c r="O1084" t="str">
        <f t="shared" si="49"/>
        <v>December</v>
      </c>
      <c r="P1084" t="str">
        <f t="shared" si="50"/>
        <v>Weekday</v>
      </c>
    </row>
    <row r="1085" spans="1:16" x14ac:dyDescent="0.3">
      <c r="A1085" s="1">
        <v>42724</v>
      </c>
      <c r="B1085">
        <v>6.33</v>
      </c>
      <c r="C1085">
        <v>3.66</v>
      </c>
      <c r="D1085">
        <v>4</v>
      </c>
      <c r="E1085">
        <v>46</v>
      </c>
      <c r="F1085">
        <v>12</v>
      </c>
      <c r="G1085">
        <v>2</v>
      </c>
      <c r="H1085">
        <v>1</v>
      </c>
      <c r="I1085">
        <v>0</v>
      </c>
      <c r="J1085">
        <v>2016</v>
      </c>
      <c r="K1085">
        <v>12</v>
      </c>
      <c r="L1085">
        <v>276</v>
      </c>
      <c r="M1085" t="s">
        <v>17</v>
      </c>
      <c r="N1085">
        <f t="shared" si="48"/>
        <v>74.990000000000009</v>
      </c>
      <c r="O1085" t="str">
        <f t="shared" si="49"/>
        <v>December</v>
      </c>
      <c r="P1085" t="str">
        <f t="shared" si="50"/>
        <v>Weekday</v>
      </c>
    </row>
    <row r="1086" spans="1:16" x14ac:dyDescent="0.3">
      <c r="A1086" s="1">
        <v>42725</v>
      </c>
      <c r="B1086">
        <v>1.34</v>
      </c>
      <c r="C1086">
        <v>2.8119999999999998</v>
      </c>
      <c r="D1086">
        <v>0.25</v>
      </c>
      <c r="E1086">
        <v>37</v>
      </c>
      <c r="F1086">
        <v>5</v>
      </c>
      <c r="G1086">
        <v>0</v>
      </c>
      <c r="H1086">
        <v>6</v>
      </c>
      <c r="I1086">
        <v>2.5</v>
      </c>
      <c r="J1086">
        <v>2016</v>
      </c>
      <c r="K1086">
        <v>12</v>
      </c>
      <c r="L1086">
        <v>276</v>
      </c>
      <c r="M1086" t="s">
        <v>18</v>
      </c>
      <c r="N1086">
        <f t="shared" si="48"/>
        <v>54.902000000000001</v>
      </c>
      <c r="O1086" t="str">
        <f t="shared" si="49"/>
        <v>December</v>
      </c>
      <c r="P1086" t="str">
        <f t="shared" si="50"/>
        <v>Weekday</v>
      </c>
    </row>
    <row r="1087" spans="1:16" x14ac:dyDescent="0.3">
      <c r="A1087" s="1">
        <v>42726</v>
      </c>
      <c r="B1087">
        <v>4.34</v>
      </c>
      <c r="C1087">
        <v>4.165</v>
      </c>
      <c r="D1087">
        <v>3.8</v>
      </c>
      <c r="E1087">
        <v>38.4</v>
      </c>
      <c r="F1087">
        <v>1</v>
      </c>
      <c r="G1087">
        <v>0</v>
      </c>
      <c r="H1087">
        <v>5</v>
      </c>
      <c r="I1087">
        <v>0</v>
      </c>
      <c r="J1087">
        <v>2016</v>
      </c>
      <c r="K1087">
        <v>12</v>
      </c>
      <c r="L1087">
        <v>276</v>
      </c>
      <c r="M1087" t="s">
        <v>12</v>
      </c>
      <c r="N1087">
        <f t="shared" si="48"/>
        <v>56.704999999999998</v>
      </c>
      <c r="O1087" t="str">
        <f t="shared" si="49"/>
        <v>December</v>
      </c>
      <c r="P1087" t="str">
        <f t="shared" si="50"/>
        <v>Weekday</v>
      </c>
    </row>
    <row r="1088" spans="1:16" x14ac:dyDescent="0.3">
      <c r="A1088" s="1">
        <v>42727</v>
      </c>
      <c r="B1088">
        <v>5.33</v>
      </c>
      <c r="C1088">
        <v>4.67</v>
      </c>
      <c r="D1088">
        <v>1.1499999999999999</v>
      </c>
      <c r="E1088">
        <v>32</v>
      </c>
      <c r="F1088">
        <v>6</v>
      </c>
      <c r="G1088">
        <v>0</v>
      </c>
      <c r="H1088">
        <v>8</v>
      </c>
      <c r="I1088">
        <v>2</v>
      </c>
      <c r="J1088">
        <v>2016</v>
      </c>
      <c r="K1088">
        <v>12</v>
      </c>
      <c r="L1088">
        <v>276</v>
      </c>
      <c r="M1088" t="s">
        <v>13</v>
      </c>
      <c r="N1088">
        <f t="shared" si="48"/>
        <v>59.15</v>
      </c>
      <c r="O1088" t="str">
        <f t="shared" si="49"/>
        <v>December</v>
      </c>
      <c r="P1088" t="str">
        <f t="shared" si="50"/>
        <v>Weekday</v>
      </c>
    </row>
    <row r="1089" spans="1:16" x14ac:dyDescent="0.3">
      <c r="A1089" s="1">
        <v>42728</v>
      </c>
      <c r="B1089">
        <v>6.33</v>
      </c>
      <c r="C1089">
        <v>6.7</v>
      </c>
      <c r="D1089">
        <v>4.2</v>
      </c>
      <c r="E1089">
        <v>82</v>
      </c>
      <c r="F1089">
        <v>4</v>
      </c>
      <c r="G1089">
        <v>1</v>
      </c>
      <c r="H1089">
        <v>2</v>
      </c>
      <c r="I1089">
        <v>1</v>
      </c>
      <c r="J1089">
        <v>2016</v>
      </c>
      <c r="K1089">
        <v>12</v>
      </c>
      <c r="L1089">
        <v>276</v>
      </c>
      <c r="M1089" t="s">
        <v>14</v>
      </c>
      <c r="N1089">
        <f t="shared" si="48"/>
        <v>107.23</v>
      </c>
      <c r="O1089" t="str">
        <f t="shared" si="49"/>
        <v>December</v>
      </c>
      <c r="P1089" t="str">
        <f t="shared" si="50"/>
        <v>Weekend</v>
      </c>
    </row>
    <row r="1090" spans="1:16" x14ac:dyDescent="0.3">
      <c r="A1090" s="1">
        <v>42729</v>
      </c>
      <c r="B1090">
        <v>2.33</v>
      </c>
      <c r="C1090">
        <v>7.6269999999999998</v>
      </c>
      <c r="D1090">
        <v>5.7</v>
      </c>
      <c r="E1090">
        <v>79.8</v>
      </c>
      <c r="F1090">
        <v>0</v>
      </c>
      <c r="G1090">
        <v>0</v>
      </c>
      <c r="H1090">
        <v>9</v>
      </c>
      <c r="I1090">
        <v>1</v>
      </c>
      <c r="J1090">
        <v>2016</v>
      </c>
      <c r="K1090">
        <v>12</v>
      </c>
      <c r="L1090">
        <v>276</v>
      </c>
      <c r="M1090" t="s">
        <v>15</v>
      </c>
      <c r="N1090">
        <f t="shared" si="48"/>
        <v>105.45699999999999</v>
      </c>
      <c r="O1090" t="str">
        <f t="shared" si="49"/>
        <v>December</v>
      </c>
      <c r="P1090" t="str">
        <f t="shared" si="50"/>
        <v>Weekend</v>
      </c>
    </row>
    <row r="1091" spans="1:16" x14ac:dyDescent="0.3">
      <c r="A1091" s="1">
        <v>42730</v>
      </c>
      <c r="B1091">
        <v>10.33</v>
      </c>
      <c r="C1091">
        <v>4.66</v>
      </c>
      <c r="D1091">
        <v>2</v>
      </c>
      <c r="E1091">
        <v>58.923999999999999</v>
      </c>
      <c r="F1091">
        <v>6</v>
      </c>
      <c r="G1091">
        <v>0</v>
      </c>
      <c r="H1091">
        <v>2</v>
      </c>
      <c r="I1091">
        <v>2</v>
      </c>
      <c r="J1091">
        <v>2016</v>
      </c>
      <c r="K1091">
        <v>12</v>
      </c>
      <c r="L1091">
        <v>276</v>
      </c>
      <c r="M1091" t="s">
        <v>16</v>
      </c>
      <c r="N1091">
        <f t="shared" ref="N1091:N1154" si="51">SUM(B1091:I1091)</f>
        <v>85.914000000000001</v>
      </c>
      <c r="O1091" t="str">
        <f t="shared" ref="O1091:O1154" si="52">TEXT(A1091,"mmmm")</f>
        <v>December</v>
      </c>
      <c r="P1091" t="str">
        <f t="shared" ref="P1091:P1154" si="53">IF(OR(M1091="Saturday",M1091="Sunday"),"Weekend","Weekday")</f>
        <v>Weekday</v>
      </c>
    </row>
    <row r="1092" spans="1:16" x14ac:dyDescent="0.3">
      <c r="A1092" s="1">
        <v>42731</v>
      </c>
      <c r="B1092">
        <v>6</v>
      </c>
      <c r="C1092">
        <v>5</v>
      </c>
      <c r="D1092">
        <v>0.41666666699999999</v>
      </c>
      <c r="E1092">
        <v>54.2</v>
      </c>
      <c r="F1092">
        <v>8</v>
      </c>
      <c r="G1092">
        <v>2</v>
      </c>
      <c r="H1092">
        <v>13</v>
      </c>
      <c r="I1092">
        <v>0</v>
      </c>
      <c r="J1092">
        <v>2016</v>
      </c>
      <c r="K1092">
        <v>12</v>
      </c>
      <c r="L1092">
        <v>276</v>
      </c>
      <c r="M1092" t="s">
        <v>17</v>
      </c>
      <c r="N1092">
        <f t="shared" si="51"/>
        <v>88.616666667000004</v>
      </c>
      <c r="O1092" t="str">
        <f t="shared" si="52"/>
        <v>December</v>
      </c>
      <c r="P1092" t="str">
        <f t="shared" si="53"/>
        <v>Weekday</v>
      </c>
    </row>
    <row r="1093" spans="1:16" x14ac:dyDescent="0.3">
      <c r="A1093" s="1">
        <v>42732</v>
      </c>
      <c r="B1093">
        <v>4.34</v>
      </c>
      <c r="C1093">
        <v>6.33</v>
      </c>
      <c r="D1093">
        <v>6.45</v>
      </c>
      <c r="E1093">
        <v>57.2</v>
      </c>
      <c r="F1093">
        <v>7</v>
      </c>
      <c r="G1093">
        <v>0</v>
      </c>
      <c r="H1093">
        <v>13</v>
      </c>
      <c r="I1093">
        <v>0</v>
      </c>
      <c r="J1093">
        <v>2016</v>
      </c>
      <c r="K1093">
        <v>12</v>
      </c>
      <c r="L1093">
        <v>276</v>
      </c>
      <c r="M1093" t="s">
        <v>18</v>
      </c>
      <c r="N1093">
        <f t="shared" si="51"/>
        <v>94.320000000000007</v>
      </c>
      <c r="O1093" t="str">
        <f t="shared" si="52"/>
        <v>December</v>
      </c>
      <c r="P1093" t="str">
        <f t="shared" si="53"/>
        <v>Weekday</v>
      </c>
    </row>
    <row r="1094" spans="1:16" x14ac:dyDescent="0.3">
      <c r="A1094" s="1">
        <v>42733</v>
      </c>
      <c r="B1094">
        <v>11</v>
      </c>
      <c r="C1094">
        <v>6.01</v>
      </c>
      <c r="D1094">
        <v>6.35</v>
      </c>
      <c r="E1094">
        <v>81.2</v>
      </c>
      <c r="F1094">
        <v>4</v>
      </c>
      <c r="G1094">
        <v>3</v>
      </c>
      <c r="H1094">
        <v>6</v>
      </c>
      <c r="I1094">
        <v>2</v>
      </c>
      <c r="J1094">
        <v>2016</v>
      </c>
      <c r="K1094">
        <v>12</v>
      </c>
      <c r="L1094">
        <v>276</v>
      </c>
      <c r="M1094" t="s">
        <v>12</v>
      </c>
      <c r="N1094">
        <f t="shared" si="51"/>
        <v>119.56</v>
      </c>
      <c r="O1094" t="str">
        <f t="shared" si="52"/>
        <v>December</v>
      </c>
      <c r="P1094" t="str">
        <f t="shared" si="53"/>
        <v>Weekday</v>
      </c>
    </row>
    <row r="1095" spans="1:16" x14ac:dyDescent="0.3">
      <c r="A1095" s="1">
        <v>42734</v>
      </c>
      <c r="B1095">
        <v>5.66</v>
      </c>
      <c r="C1095">
        <v>8.99</v>
      </c>
      <c r="D1095">
        <v>7.3</v>
      </c>
      <c r="E1095">
        <v>161</v>
      </c>
      <c r="F1095">
        <v>13</v>
      </c>
      <c r="G1095">
        <v>0</v>
      </c>
      <c r="H1095">
        <v>3</v>
      </c>
      <c r="I1095">
        <v>0</v>
      </c>
      <c r="J1095">
        <v>2016</v>
      </c>
      <c r="K1095">
        <v>12</v>
      </c>
      <c r="L1095">
        <v>276</v>
      </c>
      <c r="M1095" t="s">
        <v>13</v>
      </c>
      <c r="N1095">
        <f t="shared" si="51"/>
        <v>198.95</v>
      </c>
      <c r="O1095" t="str">
        <f t="shared" si="52"/>
        <v>December</v>
      </c>
      <c r="P1095" t="str">
        <f t="shared" si="53"/>
        <v>Weekday</v>
      </c>
    </row>
    <row r="1096" spans="1:16" x14ac:dyDescent="0.3">
      <c r="A1096" s="1">
        <v>42735</v>
      </c>
      <c r="B1096">
        <v>8.33</v>
      </c>
      <c r="C1096">
        <v>7.7590000000000003</v>
      </c>
      <c r="D1096">
        <v>7.45</v>
      </c>
      <c r="E1096">
        <v>108.7</v>
      </c>
      <c r="F1096">
        <v>7</v>
      </c>
      <c r="G1096">
        <v>0</v>
      </c>
      <c r="H1096">
        <v>12</v>
      </c>
      <c r="I1096">
        <v>0</v>
      </c>
      <c r="J1096">
        <v>2016</v>
      </c>
      <c r="K1096">
        <v>12</v>
      </c>
      <c r="L1096">
        <v>276</v>
      </c>
      <c r="M1096" t="s">
        <v>14</v>
      </c>
      <c r="N1096">
        <f t="shared" si="51"/>
        <v>151.239</v>
      </c>
      <c r="O1096" t="str">
        <f t="shared" si="52"/>
        <v>December</v>
      </c>
      <c r="P1096" t="str">
        <f t="shared" si="53"/>
        <v>Weekend</v>
      </c>
    </row>
    <row r="1097" spans="1:16" x14ac:dyDescent="0.3">
      <c r="A1097" s="1">
        <v>42736</v>
      </c>
      <c r="B1097">
        <v>3.5437500000000002</v>
      </c>
      <c r="C1097">
        <v>3.9562499999999998</v>
      </c>
      <c r="D1097">
        <v>1.5625</v>
      </c>
      <c r="E1097">
        <v>25.675000000000001</v>
      </c>
      <c r="F1097">
        <v>8.75</v>
      </c>
      <c r="G1097">
        <v>1.875</v>
      </c>
      <c r="H1097">
        <v>6.25</v>
      </c>
      <c r="I1097">
        <v>0.625</v>
      </c>
      <c r="J1097">
        <v>2017</v>
      </c>
      <c r="K1097">
        <v>1</v>
      </c>
      <c r="L1097">
        <v>276</v>
      </c>
      <c r="M1097" t="s">
        <v>15</v>
      </c>
      <c r="N1097">
        <f t="shared" si="51"/>
        <v>52.237499999999997</v>
      </c>
      <c r="O1097" t="str">
        <f t="shared" si="52"/>
        <v>January</v>
      </c>
      <c r="P1097" t="str">
        <f t="shared" si="53"/>
        <v>Weekend</v>
      </c>
    </row>
    <row r="1098" spans="1:16" x14ac:dyDescent="0.3">
      <c r="A1098" s="1">
        <v>42737</v>
      </c>
      <c r="B1098">
        <v>0.21249999999999999</v>
      </c>
      <c r="C1098">
        <v>0.63749999999999996</v>
      </c>
      <c r="D1098">
        <v>0.625</v>
      </c>
      <c r="E1098">
        <v>32</v>
      </c>
      <c r="F1098">
        <v>0</v>
      </c>
      <c r="G1098">
        <v>0.625</v>
      </c>
      <c r="H1098">
        <v>3.125</v>
      </c>
      <c r="I1098">
        <v>3.125</v>
      </c>
      <c r="J1098">
        <v>2017</v>
      </c>
      <c r="K1098">
        <v>1</v>
      </c>
      <c r="L1098">
        <v>276</v>
      </c>
      <c r="M1098" t="s">
        <v>16</v>
      </c>
      <c r="N1098">
        <f t="shared" si="51"/>
        <v>40.35</v>
      </c>
      <c r="O1098" t="str">
        <f t="shared" si="52"/>
        <v>January</v>
      </c>
      <c r="P1098" t="str">
        <f t="shared" si="53"/>
        <v>Weekday</v>
      </c>
    </row>
    <row r="1099" spans="1:16" x14ac:dyDescent="0.3">
      <c r="A1099" s="1">
        <v>42738</v>
      </c>
      <c r="B1099">
        <v>6.25</v>
      </c>
      <c r="C1099">
        <v>5.8312499999999998</v>
      </c>
      <c r="D1099">
        <v>4.625</v>
      </c>
      <c r="E1099">
        <v>66.8125</v>
      </c>
      <c r="F1099">
        <v>8.75</v>
      </c>
      <c r="G1099">
        <v>0</v>
      </c>
      <c r="H1099">
        <v>7.03125</v>
      </c>
      <c r="I1099">
        <v>1.875</v>
      </c>
      <c r="J1099">
        <v>2017</v>
      </c>
      <c r="K1099">
        <v>1</v>
      </c>
      <c r="L1099">
        <v>276</v>
      </c>
      <c r="M1099" t="s">
        <v>17</v>
      </c>
      <c r="N1099">
        <f t="shared" si="51"/>
        <v>101.175</v>
      </c>
      <c r="O1099" t="str">
        <f t="shared" si="52"/>
        <v>January</v>
      </c>
      <c r="P1099" t="str">
        <f t="shared" si="53"/>
        <v>Weekday</v>
      </c>
    </row>
    <row r="1100" spans="1:16" x14ac:dyDescent="0.3">
      <c r="A1100" s="1">
        <v>42739</v>
      </c>
      <c r="B1100">
        <v>6.8041666669999996</v>
      </c>
      <c r="C1100">
        <v>5.9708333329999999</v>
      </c>
      <c r="D1100">
        <v>6.4166666670000003</v>
      </c>
      <c r="E1100">
        <v>56.766666669999999</v>
      </c>
      <c r="F1100">
        <v>10</v>
      </c>
      <c r="G1100">
        <v>1.25</v>
      </c>
      <c r="H1100">
        <v>5</v>
      </c>
      <c r="I1100">
        <v>2.9166666669999999</v>
      </c>
      <c r="J1100">
        <v>2017</v>
      </c>
      <c r="K1100">
        <v>1</v>
      </c>
      <c r="L1100">
        <v>276</v>
      </c>
      <c r="M1100" t="s">
        <v>18</v>
      </c>
      <c r="N1100">
        <f t="shared" si="51"/>
        <v>95.125000004</v>
      </c>
      <c r="O1100" t="str">
        <f t="shared" si="52"/>
        <v>January</v>
      </c>
      <c r="P1100" t="str">
        <f t="shared" si="53"/>
        <v>Weekday</v>
      </c>
    </row>
    <row r="1101" spans="1:16" x14ac:dyDescent="0.3">
      <c r="A1101" s="1">
        <v>42740</v>
      </c>
      <c r="B1101">
        <v>7.5041666669999998</v>
      </c>
      <c r="C1101">
        <v>7.8791666669999998</v>
      </c>
      <c r="D1101">
        <v>5.2083333329999997</v>
      </c>
      <c r="E1101">
        <v>62.208333330000002</v>
      </c>
      <c r="F1101">
        <v>14.58333333</v>
      </c>
      <c r="G1101">
        <v>0</v>
      </c>
      <c r="H1101">
        <v>11.25</v>
      </c>
      <c r="I1101">
        <v>2.5</v>
      </c>
      <c r="J1101">
        <v>2017</v>
      </c>
      <c r="K1101">
        <v>1</v>
      </c>
      <c r="L1101">
        <v>276</v>
      </c>
      <c r="M1101" t="s">
        <v>12</v>
      </c>
      <c r="N1101">
        <f t="shared" si="51"/>
        <v>111.133333327</v>
      </c>
      <c r="O1101" t="str">
        <f t="shared" si="52"/>
        <v>January</v>
      </c>
      <c r="P1101" t="str">
        <f t="shared" si="53"/>
        <v>Weekday</v>
      </c>
    </row>
    <row r="1102" spans="1:16" x14ac:dyDescent="0.3">
      <c r="A1102" s="1">
        <v>42741</v>
      </c>
      <c r="B1102">
        <v>4.5833333329999997</v>
      </c>
      <c r="C1102">
        <v>3.05</v>
      </c>
      <c r="D1102">
        <v>5.625</v>
      </c>
      <c r="E1102">
        <v>65.5625</v>
      </c>
      <c r="F1102">
        <v>10.83333333</v>
      </c>
      <c r="G1102">
        <v>0</v>
      </c>
      <c r="H1102">
        <v>15.41666667</v>
      </c>
      <c r="I1102">
        <v>2.5</v>
      </c>
      <c r="J1102">
        <v>2017</v>
      </c>
      <c r="K1102">
        <v>1</v>
      </c>
      <c r="L1102">
        <v>276</v>
      </c>
      <c r="M1102" t="s">
        <v>13</v>
      </c>
      <c r="N1102">
        <f t="shared" si="51"/>
        <v>107.570833333</v>
      </c>
      <c r="O1102" t="str">
        <f t="shared" si="52"/>
        <v>January</v>
      </c>
      <c r="P1102" t="str">
        <f t="shared" si="53"/>
        <v>Weekday</v>
      </c>
    </row>
    <row r="1103" spans="1:16" x14ac:dyDescent="0.3">
      <c r="A1103" s="1">
        <v>42742</v>
      </c>
      <c r="B1103">
        <v>2.9166666669999999</v>
      </c>
      <c r="C1103">
        <v>5.1541666670000001</v>
      </c>
      <c r="D1103">
        <v>5.9583333329999997</v>
      </c>
      <c r="E1103">
        <v>34.625</v>
      </c>
      <c r="F1103">
        <v>8.75</v>
      </c>
      <c r="G1103">
        <v>0</v>
      </c>
      <c r="H1103">
        <v>2.5</v>
      </c>
      <c r="I1103">
        <v>0</v>
      </c>
      <c r="J1103">
        <v>2017</v>
      </c>
      <c r="K1103">
        <v>1</v>
      </c>
      <c r="L1103">
        <v>276</v>
      </c>
      <c r="M1103" t="s">
        <v>14</v>
      </c>
      <c r="N1103">
        <f t="shared" si="51"/>
        <v>59.904166666999998</v>
      </c>
      <c r="O1103" t="str">
        <f t="shared" si="52"/>
        <v>January</v>
      </c>
      <c r="P1103" t="str">
        <f t="shared" si="53"/>
        <v>Weekend</v>
      </c>
    </row>
    <row r="1104" spans="1:16" x14ac:dyDescent="0.3">
      <c r="A1104" s="1">
        <v>42743</v>
      </c>
      <c r="B1104">
        <v>5.4166666670000003</v>
      </c>
      <c r="C1104">
        <v>1.859583333</v>
      </c>
      <c r="D1104">
        <v>5.0833333329999997</v>
      </c>
      <c r="E1104">
        <v>25.375</v>
      </c>
      <c r="F1104">
        <v>10</v>
      </c>
      <c r="G1104">
        <v>2.0833333330000001</v>
      </c>
      <c r="H1104">
        <v>3.3333333330000001</v>
      </c>
      <c r="I1104">
        <v>1.6666666670000001</v>
      </c>
      <c r="J1104">
        <v>2017</v>
      </c>
      <c r="K1104">
        <v>1</v>
      </c>
      <c r="L1104">
        <v>276</v>
      </c>
      <c r="M1104" t="s">
        <v>15</v>
      </c>
      <c r="N1104">
        <f t="shared" si="51"/>
        <v>54.817916666000002</v>
      </c>
      <c r="O1104" t="str">
        <f t="shared" si="52"/>
        <v>January</v>
      </c>
      <c r="P1104" t="str">
        <f t="shared" si="53"/>
        <v>Weekend</v>
      </c>
    </row>
    <row r="1105" spans="1:16" x14ac:dyDescent="0.3">
      <c r="A1105" s="1">
        <v>42744</v>
      </c>
      <c r="B1105">
        <v>3.8875000000000002</v>
      </c>
      <c r="C1105">
        <v>4.0570833329999996</v>
      </c>
      <c r="D1105">
        <v>2.5833333330000001</v>
      </c>
      <c r="E1105">
        <v>56.125</v>
      </c>
      <c r="F1105">
        <v>9.1666666669999994</v>
      </c>
      <c r="G1105">
        <v>0.41666666699999999</v>
      </c>
      <c r="H1105">
        <v>1.6666666670000001</v>
      </c>
      <c r="I1105">
        <v>2.0833333330000001</v>
      </c>
      <c r="J1105">
        <v>2017</v>
      </c>
      <c r="K1105">
        <v>1</v>
      </c>
      <c r="L1105">
        <v>276</v>
      </c>
      <c r="M1105" t="s">
        <v>16</v>
      </c>
      <c r="N1105">
        <f t="shared" si="51"/>
        <v>79.986249999999998</v>
      </c>
      <c r="O1105" t="str">
        <f t="shared" si="52"/>
        <v>January</v>
      </c>
      <c r="P1105" t="str">
        <f t="shared" si="53"/>
        <v>Weekday</v>
      </c>
    </row>
    <row r="1106" spans="1:16" x14ac:dyDescent="0.3">
      <c r="A1106" s="1">
        <v>42745</v>
      </c>
      <c r="B1106">
        <v>6.3875000000000002</v>
      </c>
      <c r="C1106">
        <v>4.7387499999999996</v>
      </c>
      <c r="D1106">
        <v>13.29166667</v>
      </c>
      <c r="E1106">
        <v>54.25</v>
      </c>
      <c r="F1106">
        <v>25</v>
      </c>
      <c r="G1106">
        <v>1.6666666670000001</v>
      </c>
      <c r="H1106">
        <v>7.5</v>
      </c>
      <c r="I1106">
        <v>0.83333333300000001</v>
      </c>
      <c r="J1106">
        <v>2017</v>
      </c>
      <c r="K1106">
        <v>1</v>
      </c>
      <c r="L1106">
        <v>276</v>
      </c>
      <c r="M1106" t="s">
        <v>17</v>
      </c>
      <c r="N1106">
        <f t="shared" si="51"/>
        <v>113.66791667</v>
      </c>
      <c r="O1106" t="str">
        <f t="shared" si="52"/>
        <v>January</v>
      </c>
      <c r="P1106" t="str">
        <f t="shared" si="53"/>
        <v>Weekday</v>
      </c>
    </row>
    <row r="1107" spans="1:16" x14ac:dyDescent="0.3">
      <c r="A1107" s="1">
        <v>42746</v>
      </c>
      <c r="B1107">
        <v>9.3083333330000002</v>
      </c>
      <c r="C1107">
        <v>5.5016666670000003</v>
      </c>
      <c r="D1107">
        <v>9.1666666669999994</v>
      </c>
      <c r="E1107">
        <v>51.041666669999998</v>
      </c>
      <c r="F1107">
        <v>20</v>
      </c>
      <c r="G1107">
        <v>1.25</v>
      </c>
      <c r="H1107">
        <v>1.6666666670000001</v>
      </c>
      <c r="I1107">
        <v>2.9166666669999999</v>
      </c>
      <c r="J1107">
        <v>2017</v>
      </c>
      <c r="K1107">
        <v>1</v>
      </c>
      <c r="L1107">
        <v>276</v>
      </c>
      <c r="M1107" t="s">
        <v>18</v>
      </c>
      <c r="N1107">
        <f t="shared" si="51"/>
        <v>100.851666671</v>
      </c>
      <c r="O1107" t="str">
        <f t="shared" si="52"/>
        <v>January</v>
      </c>
      <c r="P1107" t="str">
        <f t="shared" si="53"/>
        <v>Weekday</v>
      </c>
    </row>
    <row r="1108" spans="1:16" x14ac:dyDescent="0.3">
      <c r="A1108" s="1">
        <v>42747</v>
      </c>
      <c r="B1108">
        <v>8.3333333330000006</v>
      </c>
      <c r="C1108">
        <v>5.1966666669999997</v>
      </c>
      <c r="D1108">
        <v>8.75</v>
      </c>
      <c r="E1108">
        <v>65.9375</v>
      </c>
      <c r="F1108">
        <v>14.16666667</v>
      </c>
      <c r="G1108">
        <v>1.25</v>
      </c>
      <c r="H1108">
        <v>4.5833333329999997</v>
      </c>
      <c r="I1108">
        <v>1.6666666670000001</v>
      </c>
      <c r="J1108">
        <v>2017</v>
      </c>
      <c r="K1108">
        <v>1</v>
      </c>
      <c r="L1108">
        <v>276</v>
      </c>
      <c r="M1108" t="s">
        <v>12</v>
      </c>
      <c r="N1108">
        <f t="shared" si="51"/>
        <v>109.88416667</v>
      </c>
      <c r="O1108" t="str">
        <f t="shared" si="52"/>
        <v>January</v>
      </c>
      <c r="P1108" t="str">
        <f t="shared" si="53"/>
        <v>Weekday</v>
      </c>
    </row>
    <row r="1109" spans="1:16" x14ac:dyDescent="0.3">
      <c r="A1109" s="1">
        <v>42748</v>
      </c>
      <c r="B1109">
        <v>6.8041666669999996</v>
      </c>
      <c r="C1109">
        <v>3.891666667</v>
      </c>
      <c r="D1109">
        <v>9.5416666669999994</v>
      </c>
      <c r="E1109">
        <v>54.416666669999998</v>
      </c>
      <c r="F1109">
        <v>19.583333329999999</v>
      </c>
      <c r="G1109">
        <v>0</v>
      </c>
      <c r="H1109">
        <v>3.3333333330000001</v>
      </c>
      <c r="I1109">
        <v>1.3333333329999999</v>
      </c>
      <c r="J1109">
        <v>2017</v>
      </c>
      <c r="K1109">
        <v>1</v>
      </c>
      <c r="L1109">
        <v>276</v>
      </c>
      <c r="M1109" t="s">
        <v>13</v>
      </c>
      <c r="N1109">
        <f t="shared" si="51"/>
        <v>98.904166666999998</v>
      </c>
      <c r="O1109" t="str">
        <f t="shared" si="52"/>
        <v>January</v>
      </c>
      <c r="P1109" t="str">
        <f t="shared" si="53"/>
        <v>Weekday</v>
      </c>
    </row>
    <row r="1110" spans="1:16" x14ac:dyDescent="0.3">
      <c r="A1110" s="1">
        <v>42749</v>
      </c>
      <c r="B1110">
        <v>5.9749999999999996</v>
      </c>
      <c r="C1110">
        <v>4.3645833329999997</v>
      </c>
      <c r="D1110">
        <v>7.7083333329999997</v>
      </c>
      <c r="E1110">
        <v>47.916666669999998</v>
      </c>
      <c r="F1110">
        <v>16.666666670000001</v>
      </c>
      <c r="G1110">
        <v>0.83333333300000001</v>
      </c>
      <c r="H1110">
        <v>5.4166666670000003</v>
      </c>
      <c r="I1110">
        <v>2.0833333330000001</v>
      </c>
      <c r="J1110">
        <v>2017</v>
      </c>
      <c r="K1110">
        <v>1</v>
      </c>
      <c r="L1110">
        <v>276</v>
      </c>
      <c r="M1110" t="s">
        <v>14</v>
      </c>
      <c r="N1110">
        <f t="shared" si="51"/>
        <v>90.964583339000001</v>
      </c>
      <c r="O1110" t="str">
        <f t="shared" si="52"/>
        <v>January</v>
      </c>
      <c r="P1110" t="str">
        <f t="shared" si="53"/>
        <v>Weekend</v>
      </c>
    </row>
    <row r="1111" spans="1:16" x14ac:dyDescent="0.3">
      <c r="A1111" s="1">
        <v>42750</v>
      </c>
      <c r="B1111">
        <v>8.0500000000000007</v>
      </c>
      <c r="C1111">
        <v>6.5250000000000004</v>
      </c>
      <c r="D1111">
        <v>9.0833333330000006</v>
      </c>
      <c r="E1111">
        <v>38.791666669999998</v>
      </c>
      <c r="F1111">
        <v>15.41666667</v>
      </c>
      <c r="G1111">
        <v>0</v>
      </c>
      <c r="H1111">
        <v>7.5</v>
      </c>
      <c r="I1111">
        <v>1.25</v>
      </c>
      <c r="J1111">
        <v>2017</v>
      </c>
      <c r="K1111">
        <v>1</v>
      </c>
      <c r="L1111">
        <v>276</v>
      </c>
      <c r="M1111" t="s">
        <v>15</v>
      </c>
      <c r="N1111">
        <f t="shared" si="51"/>
        <v>86.616666672999997</v>
      </c>
      <c r="O1111" t="str">
        <f t="shared" si="52"/>
        <v>January</v>
      </c>
      <c r="P1111" t="str">
        <f t="shared" si="53"/>
        <v>Weekend</v>
      </c>
    </row>
    <row r="1112" spans="1:16" x14ac:dyDescent="0.3">
      <c r="A1112" s="1">
        <v>42751</v>
      </c>
      <c r="B1112">
        <v>6.670833333</v>
      </c>
      <c r="C1112">
        <v>4.0291666670000001</v>
      </c>
      <c r="D1112">
        <v>8.0416666669999994</v>
      </c>
      <c r="E1112">
        <v>63.5625</v>
      </c>
      <c r="F1112">
        <v>12.5</v>
      </c>
      <c r="G1112">
        <v>0.41666666699999999</v>
      </c>
      <c r="H1112">
        <v>7.0833333329999997</v>
      </c>
      <c r="I1112">
        <v>2.0833333330000001</v>
      </c>
      <c r="J1112">
        <v>2017</v>
      </c>
      <c r="K1112">
        <v>1</v>
      </c>
      <c r="L1112">
        <v>276</v>
      </c>
      <c r="M1112" t="s">
        <v>16</v>
      </c>
      <c r="N1112">
        <f t="shared" si="51"/>
        <v>104.3875</v>
      </c>
      <c r="O1112" t="str">
        <f t="shared" si="52"/>
        <v>January</v>
      </c>
      <c r="P1112" t="str">
        <f t="shared" si="53"/>
        <v>Weekday</v>
      </c>
    </row>
    <row r="1113" spans="1:16" x14ac:dyDescent="0.3">
      <c r="A1113" s="1">
        <v>42752</v>
      </c>
      <c r="B1113">
        <v>7.2249999999999996</v>
      </c>
      <c r="C1113">
        <v>4.1391666669999996</v>
      </c>
      <c r="D1113">
        <v>5.2916666670000003</v>
      </c>
      <c r="E1113">
        <v>48.458333330000002</v>
      </c>
      <c r="F1113">
        <v>13.33333333</v>
      </c>
      <c r="G1113">
        <v>1.6666666670000001</v>
      </c>
      <c r="H1113">
        <v>3.75</v>
      </c>
      <c r="I1113">
        <v>2.5</v>
      </c>
      <c r="J1113">
        <v>2017</v>
      </c>
      <c r="K1113">
        <v>1</v>
      </c>
      <c r="L1113">
        <v>276</v>
      </c>
      <c r="M1113" t="s">
        <v>17</v>
      </c>
      <c r="N1113">
        <f t="shared" si="51"/>
        <v>86.364166661000013</v>
      </c>
      <c r="O1113" t="str">
        <f t="shared" si="52"/>
        <v>January</v>
      </c>
      <c r="P1113" t="str">
        <f t="shared" si="53"/>
        <v>Weekday</v>
      </c>
    </row>
    <row r="1114" spans="1:16" x14ac:dyDescent="0.3">
      <c r="A1114" s="1">
        <v>42753</v>
      </c>
      <c r="B1114">
        <v>6.7416666669999996</v>
      </c>
      <c r="C1114">
        <v>4.4458333330000004</v>
      </c>
      <c r="D1114">
        <v>6.5</v>
      </c>
      <c r="E1114">
        <v>45.958333330000002</v>
      </c>
      <c r="F1114">
        <v>16.666666670000001</v>
      </c>
      <c r="G1114">
        <v>1.25</v>
      </c>
      <c r="H1114">
        <v>5.8333333329999997</v>
      </c>
      <c r="I1114">
        <v>0.83333333300000001</v>
      </c>
      <c r="J1114">
        <v>2017</v>
      </c>
      <c r="K1114">
        <v>1</v>
      </c>
      <c r="L1114">
        <v>276</v>
      </c>
      <c r="M1114" t="s">
        <v>18</v>
      </c>
      <c r="N1114">
        <f t="shared" si="51"/>
        <v>88.229166665999998</v>
      </c>
      <c r="O1114" t="str">
        <f t="shared" si="52"/>
        <v>January</v>
      </c>
      <c r="P1114" t="str">
        <f t="shared" si="53"/>
        <v>Weekday</v>
      </c>
    </row>
    <row r="1115" spans="1:16" x14ac:dyDescent="0.3">
      <c r="A1115" s="1">
        <v>42754</v>
      </c>
      <c r="B1115">
        <v>5</v>
      </c>
      <c r="C1115">
        <v>5.7</v>
      </c>
      <c r="D1115">
        <v>7.8333333329999997</v>
      </c>
      <c r="E1115">
        <v>37.75</v>
      </c>
      <c r="F1115">
        <v>15.83333333</v>
      </c>
      <c r="G1115">
        <v>0</v>
      </c>
      <c r="H1115">
        <v>2.5</v>
      </c>
      <c r="I1115">
        <v>3.3333333330000001</v>
      </c>
      <c r="J1115">
        <v>2017</v>
      </c>
      <c r="K1115">
        <v>1</v>
      </c>
      <c r="L1115">
        <v>276</v>
      </c>
      <c r="M1115" t="s">
        <v>12</v>
      </c>
      <c r="N1115">
        <f t="shared" si="51"/>
        <v>77.949999996000003</v>
      </c>
      <c r="O1115" t="str">
        <f t="shared" si="52"/>
        <v>January</v>
      </c>
      <c r="P1115" t="str">
        <f t="shared" si="53"/>
        <v>Weekday</v>
      </c>
    </row>
    <row r="1116" spans="1:16" x14ac:dyDescent="0.3">
      <c r="A1116" s="1">
        <v>42755</v>
      </c>
      <c r="B1116">
        <v>3.608333333</v>
      </c>
      <c r="C1116">
        <v>4.7387499999999996</v>
      </c>
      <c r="D1116">
        <v>4.125</v>
      </c>
      <c r="E1116">
        <v>37.625</v>
      </c>
      <c r="F1116">
        <v>23.333333329999999</v>
      </c>
      <c r="G1116">
        <v>2.9166666669999999</v>
      </c>
      <c r="H1116">
        <v>12.5</v>
      </c>
      <c r="I1116">
        <v>2.5</v>
      </c>
      <c r="J1116">
        <v>2017</v>
      </c>
      <c r="K1116">
        <v>1</v>
      </c>
      <c r="L1116">
        <v>276</v>
      </c>
      <c r="M1116" t="s">
        <v>13</v>
      </c>
      <c r="N1116">
        <f t="shared" si="51"/>
        <v>91.347083330000004</v>
      </c>
      <c r="O1116" t="str">
        <f t="shared" si="52"/>
        <v>January</v>
      </c>
      <c r="P1116" t="str">
        <f t="shared" si="53"/>
        <v>Weekday</v>
      </c>
    </row>
    <row r="1117" spans="1:16" x14ac:dyDescent="0.3">
      <c r="A1117" s="1">
        <v>42756</v>
      </c>
      <c r="B1117">
        <v>5.6958333330000004</v>
      </c>
      <c r="C1117">
        <v>2.4</v>
      </c>
      <c r="D1117">
        <v>4.5833333329999997</v>
      </c>
      <c r="E1117">
        <v>50.208333330000002</v>
      </c>
      <c r="F1117">
        <v>15</v>
      </c>
      <c r="G1117">
        <v>2.0833333330000001</v>
      </c>
      <c r="H1117">
        <v>4.5833333329999997</v>
      </c>
      <c r="I1117">
        <v>2.9166666669999999</v>
      </c>
      <c r="J1117">
        <v>2017</v>
      </c>
      <c r="K1117">
        <v>1</v>
      </c>
      <c r="L1117">
        <v>276</v>
      </c>
      <c r="M1117" t="s">
        <v>14</v>
      </c>
      <c r="N1117">
        <f t="shared" si="51"/>
        <v>87.470833329000001</v>
      </c>
      <c r="O1117" t="str">
        <f t="shared" si="52"/>
        <v>January</v>
      </c>
      <c r="P1117" t="str">
        <f t="shared" si="53"/>
        <v>Weekend</v>
      </c>
    </row>
    <row r="1118" spans="1:16" x14ac:dyDescent="0.3">
      <c r="A1118" s="1">
        <v>42757</v>
      </c>
      <c r="B1118">
        <v>4.5125000000000002</v>
      </c>
      <c r="C1118">
        <v>5.0075000000000003</v>
      </c>
      <c r="D1118">
        <v>5.125</v>
      </c>
      <c r="E1118">
        <v>37.020833330000002</v>
      </c>
      <c r="F1118">
        <v>19.166666670000001</v>
      </c>
      <c r="G1118">
        <v>1.25</v>
      </c>
      <c r="H1118">
        <v>9.1666666669999994</v>
      </c>
      <c r="I1118">
        <v>1.6666666670000001</v>
      </c>
      <c r="J1118">
        <v>2017</v>
      </c>
      <c r="K1118">
        <v>1</v>
      </c>
      <c r="L1118">
        <v>276</v>
      </c>
      <c r="M1118" t="s">
        <v>15</v>
      </c>
      <c r="N1118">
        <f t="shared" si="51"/>
        <v>82.915833333999998</v>
      </c>
      <c r="O1118" t="str">
        <f t="shared" si="52"/>
        <v>January</v>
      </c>
      <c r="P1118" t="str">
        <f t="shared" si="53"/>
        <v>Weekend</v>
      </c>
    </row>
    <row r="1119" spans="1:16" x14ac:dyDescent="0.3">
      <c r="A1119" s="1">
        <v>42758</v>
      </c>
      <c r="B1119">
        <v>5.1375000000000002</v>
      </c>
      <c r="C1119">
        <v>4.5049999999999999</v>
      </c>
      <c r="D1119">
        <v>6.2916666670000003</v>
      </c>
      <c r="E1119">
        <v>41.75</v>
      </c>
      <c r="F1119">
        <v>15.83333333</v>
      </c>
      <c r="G1119">
        <v>0.83333333300000001</v>
      </c>
      <c r="H1119">
        <v>2.5</v>
      </c>
      <c r="I1119">
        <v>1.6666666670000001</v>
      </c>
      <c r="J1119">
        <v>2017</v>
      </c>
      <c r="K1119">
        <v>1</v>
      </c>
      <c r="L1119">
        <v>276</v>
      </c>
      <c r="M1119" t="s">
        <v>16</v>
      </c>
      <c r="N1119">
        <f t="shared" si="51"/>
        <v>78.517499997000002</v>
      </c>
      <c r="O1119" t="str">
        <f t="shared" si="52"/>
        <v>January</v>
      </c>
      <c r="P1119" t="str">
        <f t="shared" si="53"/>
        <v>Weekday</v>
      </c>
    </row>
    <row r="1120" spans="1:16" x14ac:dyDescent="0.3">
      <c r="A1120" s="1">
        <v>42759</v>
      </c>
      <c r="B1120">
        <v>6.1124999999999998</v>
      </c>
      <c r="C1120">
        <v>5.7708333329999997</v>
      </c>
      <c r="D1120">
        <v>10.95833333</v>
      </c>
      <c r="E1120">
        <v>40.083333330000002</v>
      </c>
      <c r="F1120">
        <v>11.25</v>
      </c>
      <c r="G1120">
        <v>0</v>
      </c>
      <c r="H1120">
        <v>10</v>
      </c>
      <c r="I1120">
        <v>2.9166666669999999</v>
      </c>
      <c r="J1120">
        <v>2017</v>
      </c>
      <c r="K1120">
        <v>1</v>
      </c>
      <c r="L1120">
        <v>276</v>
      </c>
      <c r="M1120" t="s">
        <v>17</v>
      </c>
      <c r="N1120">
        <f t="shared" si="51"/>
        <v>87.091666660000001</v>
      </c>
      <c r="O1120" t="str">
        <f t="shared" si="52"/>
        <v>January</v>
      </c>
      <c r="P1120" t="str">
        <f t="shared" si="53"/>
        <v>Weekday</v>
      </c>
    </row>
    <row r="1121" spans="1:16" x14ac:dyDescent="0.3">
      <c r="A1121" s="1">
        <v>42760</v>
      </c>
      <c r="B1121">
        <v>7.7791666670000001</v>
      </c>
      <c r="C1121">
        <v>5.108333333</v>
      </c>
      <c r="D1121">
        <v>7.6666666670000003</v>
      </c>
      <c r="E1121">
        <v>51.1875</v>
      </c>
      <c r="F1121">
        <v>18.75</v>
      </c>
      <c r="G1121">
        <v>2.0833333330000001</v>
      </c>
      <c r="H1121">
        <v>13.75</v>
      </c>
      <c r="I1121">
        <v>2.2916666669999999</v>
      </c>
      <c r="J1121">
        <v>2017</v>
      </c>
      <c r="K1121">
        <v>1</v>
      </c>
      <c r="L1121">
        <v>276</v>
      </c>
      <c r="M1121" t="s">
        <v>18</v>
      </c>
      <c r="N1121">
        <f t="shared" si="51"/>
        <v>108.616666667</v>
      </c>
      <c r="O1121" t="str">
        <f t="shared" si="52"/>
        <v>January</v>
      </c>
      <c r="P1121" t="str">
        <f t="shared" si="53"/>
        <v>Weekday</v>
      </c>
    </row>
    <row r="1122" spans="1:16" x14ac:dyDescent="0.3">
      <c r="A1122" s="1">
        <v>42761</v>
      </c>
      <c r="B1122">
        <v>5.9791666670000003</v>
      </c>
      <c r="C1122">
        <v>5.224583333</v>
      </c>
      <c r="D1122">
        <v>7.0416666670000003</v>
      </c>
      <c r="E1122">
        <v>36.625</v>
      </c>
      <c r="F1122">
        <v>13.75</v>
      </c>
      <c r="G1122">
        <v>0.83333333300000001</v>
      </c>
      <c r="H1122">
        <v>8.3333333330000006</v>
      </c>
      <c r="I1122">
        <v>0</v>
      </c>
      <c r="J1122">
        <v>2017</v>
      </c>
      <c r="K1122">
        <v>1</v>
      </c>
      <c r="L1122">
        <v>276</v>
      </c>
      <c r="M1122" t="s">
        <v>12</v>
      </c>
      <c r="N1122">
        <f t="shared" si="51"/>
        <v>77.787083332999998</v>
      </c>
      <c r="O1122" t="str">
        <f t="shared" si="52"/>
        <v>January</v>
      </c>
      <c r="P1122" t="str">
        <f t="shared" si="53"/>
        <v>Weekday</v>
      </c>
    </row>
    <row r="1123" spans="1:16" x14ac:dyDescent="0.3">
      <c r="A1123" s="1">
        <v>42762</v>
      </c>
      <c r="B1123">
        <v>7.85</v>
      </c>
      <c r="C1123">
        <v>7.5412499999999998</v>
      </c>
      <c r="D1123">
        <v>5.1666666670000003</v>
      </c>
      <c r="E1123">
        <v>42.60916667</v>
      </c>
      <c r="F1123">
        <v>21.25</v>
      </c>
      <c r="G1123">
        <v>2.0833333330000001</v>
      </c>
      <c r="H1123">
        <v>9.5833333330000006</v>
      </c>
      <c r="I1123">
        <v>1.25</v>
      </c>
      <c r="J1123">
        <v>2017</v>
      </c>
      <c r="K1123">
        <v>1</v>
      </c>
      <c r="L1123">
        <v>276</v>
      </c>
      <c r="M1123" t="s">
        <v>13</v>
      </c>
      <c r="N1123">
        <f t="shared" si="51"/>
        <v>97.333750003000006</v>
      </c>
      <c r="O1123" t="str">
        <f t="shared" si="52"/>
        <v>January</v>
      </c>
      <c r="P1123" t="str">
        <f t="shared" si="53"/>
        <v>Weekday</v>
      </c>
    </row>
    <row r="1124" spans="1:16" x14ac:dyDescent="0.3">
      <c r="A1124" s="1">
        <v>42763</v>
      </c>
      <c r="B1124">
        <v>5.9708333329999999</v>
      </c>
      <c r="C1124">
        <v>6.1124999999999998</v>
      </c>
      <c r="D1124">
        <v>2.25</v>
      </c>
      <c r="E1124">
        <v>32.083333330000002</v>
      </c>
      <c r="F1124">
        <v>9.1666666669999994</v>
      </c>
      <c r="G1124">
        <v>0</v>
      </c>
      <c r="H1124">
        <v>1.6666666670000001</v>
      </c>
      <c r="I1124">
        <v>1.25</v>
      </c>
      <c r="J1124">
        <v>2017</v>
      </c>
      <c r="K1124">
        <v>1</v>
      </c>
      <c r="L1124">
        <v>276</v>
      </c>
      <c r="M1124" t="s">
        <v>14</v>
      </c>
      <c r="N1124">
        <f t="shared" si="51"/>
        <v>58.499999997000003</v>
      </c>
      <c r="O1124" t="str">
        <f t="shared" si="52"/>
        <v>January</v>
      </c>
      <c r="P1124" t="str">
        <f t="shared" si="53"/>
        <v>Weekend</v>
      </c>
    </row>
    <row r="1125" spans="1:16" x14ac:dyDescent="0.3">
      <c r="A1125" s="1">
        <v>42764</v>
      </c>
      <c r="B1125">
        <v>5.141666667</v>
      </c>
      <c r="C1125">
        <v>7.7833333329999999</v>
      </c>
      <c r="D1125">
        <v>5.3333333329999997</v>
      </c>
      <c r="E1125">
        <v>54.166666669999998</v>
      </c>
      <c r="F1125">
        <v>15.83333333</v>
      </c>
      <c r="G1125">
        <v>2.5</v>
      </c>
      <c r="H1125">
        <v>9.5833333330000006</v>
      </c>
      <c r="I1125">
        <v>3.3333333330000001</v>
      </c>
      <c r="J1125">
        <v>2017</v>
      </c>
      <c r="K1125">
        <v>1</v>
      </c>
      <c r="L1125">
        <v>276</v>
      </c>
      <c r="M1125" t="s">
        <v>15</v>
      </c>
      <c r="N1125">
        <f t="shared" si="51"/>
        <v>103.67499999899999</v>
      </c>
      <c r="O1125" t="str">
        <f t="shared" si="52"/>
        <v>January</v>
      </c>
      <c r="P1125" t="str">
        <f t="shared" si="53"/>
        <v>Weekend</v>
      </c>
    </row>
    <row r="1126" spans="1:16" x14ac:dyDescent="0.3">
      <c r="A1126" s="1">
        <v>42765</v>
      </c>
      <c r="B1126">
        <v>8.0583333330000002</v>
      </c>
      <c r="C1126">
        <v>5.61625</v>
      </c>
      <c r="D1126">
        <v>7</v>
      </c>
      <c r="E1126">
        <v>35.517499999999998</v>
      </c>
      <c r="F1126">
        <v>17.083333329999999</v>
      </c>
      <c r="G1126">
        <v>4.1666666670000003</v>
      </c>
      <c r="H1126">
        <v>7.0833333329999997</v>
      </c>
      <c r="I1126">
        <v>4.1666666670000003</v>
      </c>
      <c r="J1126">
        <v>2017</v>
      </c>
      <c r="K1126">
        <v>1</v>
      </c>
      <c r="L1126">
        <v>276</v>
      </c>
      <c r="M1126" t="s">
        <v>16</v>
      </c>
      <c r="N1126">
        <f t="shared" si="51"/>
        <v>88.692083330000003</v>
      </c>
      <c r="O1126" t="str">
        <f t="shared" si="52"/>
        <v>January</v>
      </c>
      <c r="P1126" t="str">
        <f t="shared" si="53"/>
        <v>Weekday</v>
      </c>
    </row>
    <row r="1127" spans="1:16" x14ac:dyDescent="0.3">
      <c r="A1127" s="1">
        <v>42766</v>
      </c>
      <c r="B1127">
        <v>4.4416666669999998</v>
      </c>
      <c r="C1127">
        <v>4.2545833330000002</v>
      </c>
      <c r="D1127">
        <v>2.8333333330000001</v>
      </c>
      <c r="E1127">
        <v>47.25</v>
      </c>
      <c r="F1127">
        <v>13.33333333</v>
      </c>
      <c r="G1127">
        <v>0.83333333300000001</v>
      </c>
      <c r="H1127">
        <v>2.9166666669999999</v>
      </c>
      <c r="I1127">
        <v>1.6666666670000001</v>
      </c>
      <c r="J1127">
        <v>2017</v>
      </c>
      <c r="K1127">
        <v>1</v>
      </c>
      <c r="L1127">
        <v>276</v>
      </c>
      <c r="M1127" t="s">
        <v>17</v>
      </c>
      <c r="N1127">
        <f t="shared" si="51"/>
        <v>77.529583329999994</v>
      </c>
      <c r="O1127" t="str">
        <f t="shared" si="52"/>
        <v>January</v>
      </c>
      <c r="P1127" t="str">
        <f t="shared" si="53"/>
        <v>Weekday</v>
      </c>
    </row>
    <row r="1128" spans="1:16" x14ac:dyDescent="0.3">
      <c r="A1128" s="1">
        <v>42767</v>
      </c>
      <c r="B1128">
        <v>7.375</v>
      </c>
      <c r="C1128">
        <v>5.1883333330000001</v>
      </c>
      <c r="D1128">
        <v>6.0416666670000003</v>
      </c>
      <c r="E1128">
        <v>31.625</v>
      </c>
      <c r="F1128">
        <v>10.83333333</v>
      </c>
      <c r="G1128">
        <v>0.41666666699999999</v>
      </c>
      <c r="H1128">
        <v>8.3333333330000006</v>
      </c>
      <c r="I1128">
        <v>2.0833333330000001</v>
      </c>
      <c r="J1128">
        <v>2017</v>
      </c>
      <c r="K1128">
        <v>2</v>
      </c>
      <c r="L1128">
        <v>276</v>
      </c>
      <c r="M1128" t="s">
        <v>18</v>
      </c>
      <c r="N1128">
        <f t="shared" si="51"/>
        <v>71.896666663000005</v>
      </c>
      <c r="O1128" t="str">
        <f t="shared" si="52"/>
        <v>February</v>
      </c>
      <c r="P1128" t="str">
        <f t="shared" si="53"/>
        <v>Weekday</v>
      </c>
    </row>
    <row r="1129" spans="1:16" x14ac:dyDescent="0.3">
      <c r="A1129" s="1">
        <v>42768</v>
      </c>
      <c r="B1129">
        <v>8.1958333329999995</v>
      </c>
      <c r="C1129">
        <v>6.2116666670000003</v>
      </c>
      <c r="D1129">
        <v>6.4166666670000003</v>
      </c>
      <c r="E1129">
        <v>42.291666669999998</v>
      </c>
      <c r="F1129">
        <v>9.1666666669999994</v>
      </c>
      <c r="G1129">
        <v>0.41666666699999999</v>
      </c>
      <c r="H1129">
        <v>0.41666666699999999</v>
      </c>
      <c r="I1129">
        <v>0.83333333300000001</v>
      </c>
      <c r="J1129">
        <v>2017</v>
      </c>
      <c r="K1129">
        <v>2</v>
      </c>
      <c r="L1129">
        <v>276</v>
      </c>
      <c r="M1129" t="s">
        <v>12</v>
      </c>
      <c r="N1129">
        <f t="shared" si="51"/>
        <v>73.949166671</v>
      </c>
      <c r="O1129" t="str">
        <f t="shared" si="52"/>
        <v>February</v>
      </c>
      <c r="P1129" t="str">
        <f t="shared" si="53"/>
        <v>Weekday</v>
      </c>
    </row>
    <row r="1130" spans="1:16" x14ac:dyDescent="0.3">
      <c r="A1130" s="1">
        <v>42769</v>
      </c>
      <c r="B1130">
        <v>7.6375000000000002</v>
      </c>
      <c r="C1130">
        <v>6.2554166670000004</v>
      </c>
      <c r="D1130">
        <v>9</v>
      </c>
      <c r="E1130">
        <v>42.900833329999998</v>
      </c>
      <c r="F1130">
        <v>15.83333333</v>
      </c>
      <c r="G1130">
        <v>2.5</v>
      </c>
      <c r="H1130">
        <v>7.0833333329999997</v>
      </c>
      <c r="I1130">
        <v>0.83333333300000001</v>
      </c>
      <c r="J1130">
        <v>2017</v>
      </c>
      <c r="K1130">
        <v>2</v>
      </c>
      <c r="L1130">
        <v>276</v>
      </c>
      <c r="M1130" t="s">
        <v>13</v>
      </c>
      <c r="N1130">
        <f t="shared" si="51"/>
        <v>92.043749992999992</v>
      </c>
      <c r="O1130" t="str">
        <f t="shared" si="52"/>
        <v>February</v>
      </c>
      <c r="P1130" t="str">
        <f t="shared" si="53"/>
        <v>Weekday</v>
      </c>
    </row>
    <row r="1131" spans="1:16" x14ac:dyDescent="0.3">
      <c r="A1131" s="1">
        <v>42770</v>
      </c>
      <c r="B1131">
        <v>7.7791666670000001</v>
      </c>
      <c r="C1131">
        <v>4.1666666670000003</v>
      </c>
      <c r="D1131">
        <v>4.4166666670000003</v>
      </c>
      <c r="E1131">
        <v>27.708333329999999</v>
      </c>
      <c r="F1131">
        <v>12.08333333</v>
      </c>
      <c r="G1131">
        <v>0.83333333300000001</v>
      </c>
      <c r="H1131">
        <v>7.5</v>
      </c>
      <c r="I1131">
        <v>3.75</v>
      </c>
      <c r="J1131">
        <v>2017</v>
      </c>
      <c r="K1131">
        <v>2</v>
      </c>
      <c r="L1131">
        <v>276</v>
      </c>
      <c r="M1131" t="s">
        <v>14</v>
      </c>
      <c r="N1131">
        <f t="shared" si="51"/>
        <v>68.237499994000004</v>
      </c>
      <c r="O1131" t="str">
        <f t="shared" si="52"/>
        <v>February</v>
      </c>
      <c r="P1131" t="str">
        <f t="shared" si="53"/>
        <v>Weekend</v>
      </c>
    </row>
    <row r="1132" spans="1:16" x14ac:dyDescent="0.3">
      <c r="A1132" s="1">
        <v>42771</v>
      </c>
      <c r="B1132">
        <v>10.67</v>
      </c>
      <c r="C1132">
        <v>10.725</v>
      </c>
      <c r="D1132">
        <v>5</v>
      </c>
      <c r="E1132">
        <v>38.6</v>
      </c>
      <c r="F1132">
        <v>1</v>
      </c>
      <c r="G1132">
        <v>0</v>
      </c>
      <c r="H1132">
        <v>11</v>
      </c>
      <c r="I1132">
        <v>1.1000000000000001</v>
      </c>
      <c r="J1132">
        <v>2017</v>
      </c>
      <c r="K1132">
        <v>2</v>
      </c>
      <c r="L1132">
        <v>276</v>
      </c>
      <c r="M1132" t="s">
        <v>15</v>
      </c>
      <c r="N1132">
        <f t="shared" si="51"/>
        <v>78.094999999999999</v>
      </c>
      <c r="O1132" t="str">
        <f t="shared" si="52"/>
        <v>February</v>
      </c>
      <c r="P1132" t="str">
        <f t="shared" si="53"/>
        <v>Weekend</v>
      </c>
    </row>
    <row r="1133" spans="1:16" x14ac:dyDescent="0.3">
      <c r="A1133" s="1">
        <v>42772</v>
      </c>
      <c r="B1133">
        <v>10</v>
      </c>
      <c r="C1133">
        <v>5</v>
      </c>
      <c r="D1133">
        <v>4.4000000000000004</v>
      </c>
      <c r="E1133">
        <v>13</v>
      </c>
      <c r="F1133">
        <v>3</v>
      </c>
      <c r="G1133">
        <v>2</v>
      </c>
      <c r="H1133">
        <v>5</v>
      </c>
      <c r="I1133">
        <v>0</v>
      </c>
      <c r="J1133">
        <v>2017</v>
      </c>
      <c r="K1133">
        <v>2</v>
      </c>
      <c r="L1133">
        <v>276</v>
      </c>
      <c r="M1133" t="s">
        <v>16</v>
      </c>
      <c r="N1133">
        <f t="shared" si="51"/>
        <v>42.4</v>
      </c>
      <c r="O1133" t="str">
        <f t="shared" si="52"/>
        <v>February</v>
      </c>
      <c r="P1133" t="str">
        <f t="shared" si="53"/>
        <v>Weekday</v>
      </c>
    </row>
    <row r="1134" spans="1:16" x14ac:dyDescent="0.3">
      <c r="A1134" s="1">
        <v>42773</v>
      </c>
      <c r="B1134">
        <v>3</v>
      </c>
      <c r="C1134">
        <v>0.33</v>
      </c>
      <c r="D1134">
        <v>3.5</v>
      </c>
      <c r="E1134">
        <v>13.8</v>
      </c>
      <c r="F1134">
        <v>3</v>
      </c>
      <c r="G1134">
        <v>0</v>
      </c>
      <c r="H1134">
        <v>7</v>
      </c>
      <c r="I1134">
        <v>2</v>
      </c>
      <c r="J1134">
        <v>2017</v>
      </c>
      <c r="K1134">
        <v>2</v>
      </c>
      <c r="L1134">
        <v>276</v>
      </c>
      <c r="M1134" t="s">
        <v>17</v>
      </c>
      <c r="N1134">
        <f t="shared" si="51"/>
        <v>32.630000000000003</v>
      </c>
      <c r="O1134" t="str">
        <f t="shared" si="52"/>
        <v>February</v>
      </c>
      <c r="P1134" t="str">
        <f t="shared" si="53"/>
        <v>Weekday</v>
      </c>
    </row>
    <row r="1135" spans="1:16" x14ac:dyDescent="0.3">
      <c r="A1135" s="1">
        <v>42774</v>
      </c>
      <c r="B1135">
        <v>11</v>
      </c>
      <c r="C1135">
        <v>1.67</v>
      </c>
      <c r="D1135">
        <v>4</v>
      </c>
      <c r="E1135">
        <v>36</v>
      </c>
      <c r="F1135">
        <v>7</v>
      </c>
      <c r="G1135">
        <v>0</v>
      </c>
      <c r="H1135">
        <v>10</v>
      </c>
      <c r="I1135">
        <v>2</v>
      </c>
      <c r="J1135">
        <v>2017</v>
      </c>
      <c r="K1135">
        <v>2</v>
      </c>
      <c r="L1135">
        <v>276</v>
      </c>
      <c r="M1135" t="s">
        <v>18</v>
      </c>
      <c r="N1135">
        <f t="shared" si="51"/>
        <v>71.67</v>
      </c>
      <c r="O1135" t="str">
        <f t="shared" si="52"/>
        <v>February</v>
      </c>
      <c r="P1135" t="str">
        <f t="shared" si="53"/>
        <v>Weekday</v>
      </c>
    </row>
    <row r="1136" spans="1:16" x14ac:dyDescent="0.3">
      <c r="A1136" s="1">
        <v>42775</v>
      </c>
      <c r="B1136">
        <v>3.9824999999999999</v>
      </c>
      <c r="C1136">
        <v>1.76</v>
      </c>
      <c r="D1136">
        <v>4</v>
      </c>
      <c r="E1136">
        <v>20.399999999999999</v>
      </c>
      <c r="F1136">
        <v>6</v>
      </c>
      <c r="G1136">
        <v>0</v>
      </c>
      <c r="H1136">
        <v>0</v>
      </c>
      <c r="I1136">
        <v>1</v>
      </c>
      <c r="J1136">
        <v>2017</v>
      </c>
      <c r="K1136">
        <v>2</v>
      </c>
      <c r="L1136">
        <v>276</v>
      </c>
      <c r="M1136" t="s">
        <v>12</v>
      </c>
      <c r="N1136">
        <f t="shared" si="51"/>
        <v>37.142499999999998</v>
      </c>
      <c r="O1136" t="str">
        <f t="shared" si="52"/>
        <v>February</v>
      </c>
      <c r="P1136" t="str">
        <f t="shared" si="53"/>
        <v>Weekday</v>
      </c>
    </row>
    <row r="1137" spans="1:16" x14ac:dyDescent="0.3">
      <c r="A1137" s="1">
        <v>42776</v>
      </c>
      <c r="B1137">
        <v>4.01</v>
      </c>
      <c r="C1137">
        <v>3.34</v>
      </c>
      <c r="D1137">
        <v>4.75</v>
      </c>
      <c r="E1137">
        <v>23.2</v>
      </c>
      <c r="F1137">
        <v>5</v>
      </c>
      <c r="G1137">
        <v>0</v>
      </c>
      <c r="H1137">
        <v>2</v>
      </c>
      <c r="I1137">
        <v>0</v>
      </c>
      <c r="J1137">
        <v>2017</v>
      </c>
      <c r="K1137">
        <v>2</v>
      </c>
      <c r="L1137">
        <v>276</v>
      </c>
      <c r="M1137" t="s">
        <v>13</v>
      </c>
      <c r="N1137">
        <f t="shared" si="51"/>
        <v>42.3</v>
      </c>
      <c r="O1137" t="str">
        <f t="shared" si="52"/>
        <v>February</v>
      </c>
      <c r="P1137" t="str">
        <f t="shared" si="53"/>
        <v>Weekday</v>
      </c>
    </row>
    <row r="1138" spans="1:16" x14ac:dyDescent="0.3">
      <c r="A1138" s="1">
        <v>42777</v>
      </c>
      <c r="B1138">
        <v>5.33</v>
      </c>
      <c r="C1138">
        <v>6.32</v>
      </c>
      <c r="D1138">
        <v>5.0999999999999996</v>
      </c>
      <c r="E1138">
        <v>12.4</v>
      </c>
      <c r="F1138">
        <v>11</v>
      </c>
      <c r="G1138">
        <v>1</v>
      </c>
      <c r="H1138">
        <v>1</v>
      </c>
      <c r="I1138">
        <v>3</v>
      </c>
      <c r="J1138">
        <v>2017</v>
      </c>
      <c r="K1138">
        <v>2</v>
      </c>
      <c r="L1138">
        <v>276</v>
      </c>
      <c r="M1138" t="s">
        <v>14</v>
      </c>
      <c r="N1138">
        <f t="shared" si="51"/>
        <v>45.15</v>
      </c>
      <c r="O1138" t="str">
        <f t="shared" si="52"/>
        <v>February</v>
      </c>
      <c r="P1138" t="str">
        <f t="shared" si="53"/>
        <v>Weekend</v>
      </c>
    </row>
    <row r="1139" spans="1:16" x14ac:dyDescent="0.3">
      <c r="A1139" s="1">
        <v>42778</v>
      </c>
      <c r="B1139">
        <v>10</v>
      </c>
      <c r="C1139">
        <v>10.67</v>
      </c>
      <c r="D1139">
        <v>7.8</v>
      </c>
      <c r="E1139">
        <v>27.4</v>
      </c>
      <c r="F1139">
        <v>4</v>
      </c>
      <c r="G1139">
        <v>0</v>
      </c>
      <c r="H1139">
        <v>2</v>
      </c>
      <c r="I1139">
        <v>1</v>
      </c>
      <c r="J1139">
        <v>2017</v>
      </c>
      <c r="K1139">
        <v>2</v>
      </c>
      <c r="L1139">
        <v>276</v>
      </c>
      <c r="M1139" t="s">
        <v>15</v>
      </c>
      <c r="N1139">
        <f t="shared" si="51"/>
        <v>62.870000000000005</v>
      </c>
      <c r="O1139" t="str">
        <f t="shared" si="52"/>
        <v>February</v>
      </c>
      <c r="P1139" t="str">
        <f t="shared" si="53"/>
        <v>Weekend</v>
      </c>
    </row>
    <row r="1140" spans="1:16" x14ac:dyDescent="0.3">
      <c r="A1140" s="1">
        <v>42779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2017</v>
      </c>
      <c r="K1140">
        <v>2</v>
      </c>
      <c r="L1140">
        <v>276</v>
      </c>
      <c r="M1140" t="s">
        <v>16</v>
      </c>
      <c r="N1140">
        <f t="shared" si="51"/>
        <v>0</v>
      </c>
      <c r="O1140" t="str">
        <f t="shared" si="52"/>
        <v>February</v>
      </c>
      <c r="P1140" t="str">
        <f t="shared" si="53"/>
        <v>Weekday</v>
      </c>
    </row>
    <row r="1141" spans="1:16" x14ac:dyDescent="0.3">
      <c r="A1141" s="1">
        <v>42780</v>
      </c>
      <c r="B1141">
        <v>4.33</v>
      </c>
      <c r="C1141">
        <v>5</v>
      </c>
      <c r="D1141">
        <v>2.1</v>
      </c>
      <c r="E1141">
        <v>22</v>
      </c>
      <c r="F1141">
        <v>0</v>
      </c>
      <c r="G1141">
        <v>0</v>
      </c>
      <c r="H1141">
        <v>1</v>
      </c>
      <c r="I1141">
        <v>1</v>
      </c>
      <c r="J1141">
        <v>2017</v>
      </c>
      <c r="K1141">
        <v>2</v>
      </c>
      <c r="L1141">
        <v>276</v>
      </c>
      <c r="M1141" t="s">
        <v>17</v>
      </c>
      <c r="N1141">
        <f t="shared" si="51"/>
        <v>35.43</v>
      </c>
      <c r="O1141" t="str">
        <f t="shared" si="52"/>
        <v>February</v>
      </c>
      <c r="P1141" t="str">
        <f t="shared" si="53"/>
        <v>Weekday</v>
      </c>
    </row>
    <row r="1142" spans="1:16" x14ac:dyDescent="0.3">
      <c r="A1142" s="1">
        <v>42781</v>
      </c>
      <c r="B1142">
        <v>6</v>
      </c>
      <c r="C1142">
        <v>2.67</v>
      </c>
      <c r="D1142">
        <v>2</v>
      </c>
      <c r="E1142">
        <v>19.2</v>
      </c>
      <c r="F1142">
        <v>1</v>
      </c>
      <c r="G1142">
        <v>0</v>
      </c>
      <c r="H1142">
        <v>1</v>
      </c>
      <c r="I1142">
        <v>1</v>
      </c>
      <c r="J1142">
        <v>2017</v>
      </c>
      <c r="K1142">
        <v>2</v>
      </c>
      <c r="L1142">
        <v>276</v>
      </c>
      <c r="M1142" t="s">
        <v>18</v>
      </c>
      <c r="N1142">
        <f t="shared" si="51"/>
        <v>32.869999999999997</v>
      </c>
      <c r="O1142" t="str">
        <f t="shared" si="52"/>
        <v>February</v>
      </c>
      <c r="P1142" t="str">
        <f t="shared" si="53"/>
        <v>Weekday</v>
      </c>
    </row>
    <row r="1143" spans="1:16" x14ac:dyDescent="0.3">
      <c r="A1143" s="1">
        <v>42782</v>
      </c>
      <c r="B1143">
        <v>3.66</v>
      </c>
      <c r="C1143">
        <v>4.66</v>
      </c>
      <c r="D1143">
        <v>1</v>
      </c>
      <c r="E1143">
        <v>31.6</v>
      </c>
      <c r="F1143">
        <v>2</v>
      </c>
      <c r="G1143">
        <v>0</v>
      </c>
      <c r="H1143">
        <v>0</v>
      </c>
      <c r="I1143">
        <v>3</v>
      </c>
      <c r="J1143">
        <v>2017</v>
      </c>
      <c r="K1143">
        <v>2</v>
      </c>
      <c r="L1143">
        <v>276</v>
      </c>
      <c r="M1143" t="s">
        <v>12</v>
      </c>
      <c r="N1143">
        <f t="shared" si="51"/>
        <v>45.92</v>
      </c>
      <c r="O1143" t="str">
        <f t="shared" si="52"/>
        <v>February</v>
      </c>
      <c r="P1143" t="str">
        <f t="shared" si="53"/>
        <v>Weekday</v>
      </c>
    </row>
    <row r="1144" spans="1:16" x14ac:dyDescent="0.3">
      <c r="A1144" s="1">
        <v>42783</v>
      </c>
      <c r="B1144">
        <v>3</v>
      </c>
      <c r="C1144">
        <v>2.802</v>
      </c>
      <c r="D1144">
        <v>2.1</v>
      </c>
      <c r="E1144">
        <v>12.25</v>
      </c>
      <c r="F1144">
        <v>4</v>
      </c>
      <c r="G1144">
        <v>0</v>
      </c>
      <c r="H1144">
        <v>8</v>
      </c>
      <c r="I1144">
        <v>1.2</v>
      </c>
      <c r="J1144">
        <v>2017</v>
      </c>
      <c r="K1144">
        <v>2</v>
      </c>
      <c r="L1144">
        <v>276</v>
      </c>
      <c r="M1144" t="s">
        <v>13</v>
      </c>
      <c r="N1144">
        <f t="shared" si="51"/>
        <v>33.352000000000004</v>
      </c>
      <c r="O1144" t="str">
        <f t="shared" si="52"/>
        <v>February</v>
      </c>
      <c r="P1144" t="str">
        <f t="shared" si="53"/>
        <v>Weekday</v>
      </c>
    </row>
    <row r="1145" spans="1:16" x14ac:dyDescent="0.3">
      <c r="A1145" s="1">
        <v>42784</v>
      </c>
      <c r="B1145">
        <v>7</v>
      </c>
      <c r="C1145">
        <v>4</v>
      </c>
      <c r="D1145">
        <v>2.35</v>
      </c>
      <c r="E1145">
        <v>30</v>
      </c>
      <c r="F1145">
        <v>10</v>
      </c>
      <c r="G1145">
        <v>0</v>
      </c>
      <c r="H1145">
        <v>0</v>
      </c>
      <c r="I1145">
        <v>3.1</v>
      </c>
      <c r="J1145">
        <v>2017</v>
      </c>
      <c r="K1145">
        <v>2</v>
      </c>
      <c r="L1145">
        <v>276</v>
      </c>
      <c r="M1145" t="s">
        <v>14</v>
      </c>
      <c r="N1145">
        <f t="shared" si="51"/>
        <v>56.45</v>
      </c>
      <c r="O1145" t="str">
        <f t="shared" si="52"/>
        <v>February</v>
      </c>
      <c r="P1145" t="str">
        <f t="shared" si="53"/>
        <v>Weekend</v>
      </c>
    </row>
    <row r="1146" spans="1:16" x14ac:dyDescent="0.3">
      <c r="A1146" s="1">
        <v>42785</v>
      </c>
      <c r="B1146">
        <v>3.34</v>
      </c>
      <c r="C1146">
        <v>3.516</v>
      </c>
      <c r="D1146">
        <v>2.2000000000000002</v>
      </c>
      <c r="E1146">
        <v>13</v>
      </c>
      <c r="F1146">
        <v>1</v>
      </c>
      <c r="G1146">
        <v>0</v>
      </c>
      <c r="H1146">
        <v>8</v>
      </c>
      <c r="I1146">
        <v>1</v>
      </c>
      <c r="J1146">
        <v>2017</v>
      </c>
      <c r="K1146">
        <v>2</v>
      </c>
      <c r="L1146">
        <v>276</v>
      </c>
      <c r="M1146" t="s">
        <v>15</v>
      </c>
      <c r="N1146">
        <f t="shared" si="51"/>
        <v>32.055999999999997</v>
      </c>
      <c r="O1146" t="str">
        <f t="shared" si="52"/>
        <v>February</v>
      </c>
      <c r="P1146" t="str">
        <f t="shared" si="53"/>
        <v>Weekend</v>
      </c>
    </row>
    <row r="1147" spans="1:16" x14ac:dyDescent="0.3">
      <c r="A1147" s="1">
        <v>42786</v>
      </c>
      <c r="B1147">
        <v>5</v>
      </c>
      <c r="C1147">
        <v>3.76</v>
      </c>
      <c r="D1147">
        <v>4.5</v>
      </c>
      <c r="E1147">
        <v>33.1</v>
      </c>
      <c r="F1147">
        <v>2</v>
      </c>
      <c r="G1147">
        <v>0</v>
      </c>
      <c r="H1147">
        <v>1</v>
      </c>
      <c r="I1147">
        <v>3</v>
      </c>
      <c r="J1147">
        <v>2017</v>
      </c>
      <c r="K1147">
        <v>2</v>
      </c>
      <c r="L1147">
        <v>276</v>
      </c>
      <c r="M1147" t="s">
        <v>16</v>
      </c>
      <c r="N1147">
        <f t="shared" si="51"/>
        <v>52.36</v>
      </c>
      <c r="O1147" t="str">
        <f t="shared" si="52"/>
        <v>February</v>
      </c>
      <c r="P1147" t="str">
        <f t="shared" si="53"/>
        <v>Weekday</v>
      </c>
    </row>
    <row r="1148" spans="1:16" x14ac:dyDescent="0.3">
      <c r="A1148" s="1">
        <v>42787</v>
      </c>
      <c r="B1148">
        <v>5</v>
      </c>
      <c r="C1148">
        <v>4.1550000000000002</v>
      </c>
      <c r="D1148">
        <v>4</v>
      </c>
      <c r="E1148">
        <v>22.9</v>
      </c>
      <c r="F1148">
        <v>14</v>
      </c>
      <c r="G1148">
        <v>0</v>
      </c>
      <c r="H1148">
        <v>8</v>
      </c>
      <c r="I1148">
        <v>1</v>
      </c>
      <c r="J1148">
        <v>2017</v>
      </c>
      <c r="K1148">
        <v>2</v>
      </c>
      <c r="L1148">
        <v>276</v>
      </c>
      <c r="M1148" t="s">
        <v>17</v>
      </c>
      <c r="N1148">
        <f t="shared" si="51"/>
        <v>59.055</v>
      </c>
      <c r="O1148" t="str">
        <f t="shared" si="52"/>
        <v>February</v>
      </c>
      <c r="P1148" t="str">
        <f t="shared" si="53"/>
        <v>Weekday</v>
      </c>
    </row>
    <row r="1149" spans="1:16" x14ac:dyDescent="0.3">
      <c r="A1149" s="1">
        <v>42788</v>
      </c>
      <c r="B1149">
        <v>3.67</v>
      </c>
      <c r="C1149">
        <v>2.4289999999999998</v>
      </c>
      <c r="D1149">
        <v>7.2</v>
      </c>
      <c r="E1149">
        <v>21.1</v>
      </c>
      <c r="F1149">
        <v>9</v>
      </c>
      <c r="G1149">
        <v>0</v>
      </c>
      <c r="H1149">
        <v>5</v>
      </c>
      <c r="I1149">
        <v>0</v>
      </c>
      <c r="J1149">
        <v>2017</v>
      </c>
      <c r="K1149">
        <v>2</v>
      </c>
      <c r="L1149">
        <v>276</v>
      </c>
      <c r="M1149" t="s">
        <v>18</v>
      </c>
      <c r="N1149">
        <f t="shared" si="51"/>
        <v>48.399000000000001</v>
      </c>
      <c r="O1149" t="str">
        <f t="shared" si="52"/>
        <v>February</v>
      </c>
      <c r="P1149" t="str">
        <f t="shared" si="53"/>
        <v>Weekday</v>
      </c>
    </row>
    <row r="1150" spans="1:16" x14ac:dyDescent="0.3">
      <c r="A1150" s="1">
        <v>42789</v>
      </c>
      <c r="B1150">
        <v>6.67</v>
      </c>
      <c r="C1150">
        <v>5.67</v>
      </c>
      <c r="D1150">
        <v>4.05</v>
      </c>
      <c r="E1150">
        <v>24.1</v>
      </c>
      <c r="F1150">
        <v>5</v>
      </c>
      <c r="G1150">
        <v>1</v>
      </c>
      <c r="H1150">
        <v>8</v>
      </c>
      <c r="I1150">
        <v>2</v>
      </c>
      <c r="J1150">
        <v>2017</v>
      </c>
      <c r="K1150">
        <v>2</v>
      </c>
      <c r="L1150">
        <v>276</v>
      </c>
      <c r="M1150" t="s">
        <v>12</v>
      </c>
      <c r="N1150">
        <f t="shared" si="51"/>
        <v>56.49</v>
      </c>
      <c r="O1150" t="str">
        <f t="shared" si="52"/>
        <v>February</v>
      </c>
      <c r="P1150" t="str">
        <f t="shared" si="53"/>
        <v>Weekday</v>
      </c>
    </row>
    <row r="1151" spans="1:16" x14ac:dyDescent="0.3">
      <c r="A1151" s="1">
        <v>42790</v>
      </c>
      <c r="B1151">
        <v>1</v>
      </c>
      <c r="C1151">
        <v>4.67</v>
      </c>
      <c r="D1151">
        <v>4</v>
      </c>
      <c r="E1151">
        <v>29.8</v>
      </c>
      <c r="F1151">
        <v>10</v>
      </c>
      <c r="G1151">
        <v>1</v>
      </c>
      <c r="H1151">
        <v>7</v>
      </c>
      <c r="I1151">
        <v>1</v>
      </c>
      <c r="J1151">
        <v>2017</v>
      </c>
      <c r="K1151">
        <v>2</v>
      </c>
      <c r="L1151">
        <v>276</v>
      </c>
      <c r="M1151" t="s">
        <v>13</v>
      </c>
      <c r="N1151">
        <f t="shared" si="51"/>
        <v>58.47</v>
      </c>
      <c r="O1151" t="str">
        <f t="shared" si="52"/>
        <v>February</v>
      </c>
      <c r="P1151" t="str">
        <f t="shared" si="53"/>
        <v>Weekday</v>
      </c>
    </row>
    <row r="1152" spans="1:16" x14ac:dyDescent="0.3">
      <c r="A1152" s="1">
        <v>42791</v>
      </c>
      <c r="B1152">
        <v>6</v>
      </c>
      <c r="C1152">
        <v>6.34</v>
      </c>
      <c r="D1152">
        <v>5.25</v>
      </c>
      <c r="E1152">
        <v>24</v>
      </c>
      <c r="F1152">
        <v>6.875</v>
      </c>
      <c r="G1152">
        <v>0</v>
      </c>
      <c r="H1152">
        <v>2</v>
      </c>
      <c r="I1152">
        <v>0</v>
      </c>
      <c r="J1152">
        <v>2017</v>
      </c>
      <c r="K1152">
        <v>2</v>
      </c>
      <c r="L1152">
        <v>276</v>
      </c>
      <c r="M1152" t="s">
        <v>14</v>
      </c>
      <c r="N1152">
        <f t="shared" si="51"/>
        <v>50.465000000000003</v>
      </c>
      <c r="O1152" t="str">
        <f t="shared" si="52"/>
        <v>February</v>
      </c>
      <c r="P1152" t="str">
        <f t="shared" si="53"/>
        <v>Weekend</v>
      </c>
    </row>
    <row r="1153" spans="1:16" x14ac:dyDescent="0.3">
      <c r="A1153" s="1">
        <v>42792</v>
      </c>
      <c r="B1153">
        <v>5.33</v>
      </c>
      <c r="C1153">
        <v>5.33</v>
      </c>
      <c r="D1153">
        <v>3.2</v>
      </c>
      <c r="E1153">
        <v>15.7</v>
      </c>
      <c r="F1153">
        <v>3</v>
      </c>
      <c r="G1153">
        <v>0</v>
      </c>
      <c r="H1153">
        <v>5</v>
      </c>
      <c r="I1153">
        <v>1.2</v>
      </c>
      <c r="J1153">
        <v>2017</v>
      </c>
      <c r="K1153">
        <v>2</v>
      </c>
      <c r="L1153">
        <v>276</v>
      </c>
      <c r="M1153" t="s">
        <v>15</v>
      </c>
      <c r="N1153">
        <f t="shared" si="51"/>
        <v>38.760000000000005</v>
      </c>
      <c r="O1153" t="str">
        <f t="shared" si="52"/>
        <v>February</v>
      </c>
      <c r="P1153" t="str">
        <f t="shared" si="53"/>
        <v>Weekend</v>
      </c>
    </row>
    <row r="1154" spans="1:16" x14ac:dyDescent="0.3">
      <c r="A1154" s="1">
        <v>42793</v>
      </c>
      <c r="B1154">
        <v>5.67</v>
      </c>
      <c r="C1154">
        <v>3.68</v>
      </c>
      <c r="D1154">
        <v>7</v>
      </c>
      <c r="E1154">
        <v>16.399999999999999</v>
      </c>
      <c r="F1154">
        <v>14</v>
      </c>
      <c r="G1154">
        <v>0</v>
      </c>
      <c r="H1154">
        <v>7</v>
      </c>
      <c r="I1154">
        <v>2</v>
      </c>
      <c r="J1154">
        <v>2017</v>
      </c>
      <c r="K1154">
        <v>2</v>
      </c>
      <c r="L1154">
        <v>276</v>
      </c>
      <c r="M1154" t="s">
        <v>16</v>
      </c>
      <c r="N1154">
        <f t="shared" si="51"/>
        <v>55.75</v>
      </c>
      <c r="O1154" t="str">
        <f t="shared" si="52"/>
        <v>February</v>
      </c>
      <c r="P1154" t="str">
        <f t="shared" si="53"/>
        <v>Weekday</v>
      </c>
    </row>
    <row r="1155" spans="1:16" x14ac:dyDescent="0.3">
      <c r="A1155" s="1">
        <v>42794</v>
      </c>
      <c r="B1155">
        <v>5.34</v>
      </c>
      <c r="C1155">
        <v>5.0199999999999996</v>
      </c>
      <c r="D1155">
        <v>7.5</v>
      </c>
      <c r="E1155">
        <v>26.4</v>
      </c>
      <c r="F1155">
        <v>9</v>
      </c>
      <c r="G1155">
        <v>2</v>
      </c>
      <c r="H1155">
        <v>18</v>
      </c>
      <c r="I1155">
        <v>0</v>
      </c>
      <c r="J1155">
        <v>2017</v>
      </c>
      <c r="K1155">
        <v>2</v>
      </c>
      <c r="L1155">
        <v>276</v>
      </c>
      <c r="M1155" t="s">
        <v>17</v>
      </c>
      <c r="N1155">
        <f t="shared" ref="N1155:N1218" si="54">SUM(B1155:I1155)</f>
        <v>73.259999999999991</v>
      </c>
      <c r="O1155" t="str">
        <f t="shared" ref="O1155:O1218" si="55">TEXT(A1155,"mmmm")</f>
        <v>February</v>
      </c>
      <c r="P1155" t="str">
        <f t="shared" ref="P1155:P1218" si="56">IF(OR(M1155="Saturday",M1155="Sunday"),"Weekend","Weekday")</f>
        <v>Weekday</v>
      </c>
    </row>
    <row r="1156" spans="1:16" x14ac:dyDescent="0.3">
      <c r="A1156" s="1">
        <v>42795</v>
      </c>
      <c r="B1156">
        <v>4</v>
      </c>
      <c r="C1156">
        <v>4.66</v>
      </c>
      <c r="D1156">
        <v>5</v>
      </c>
      <c r="E1156">
        <v>15.1</v>
      </c>
      <c r="F1156">
        <v>17</v>
      </c>
      <c r="G1156">
        <v>0</v>
      </c>
      <c r="H1156">
        <v>5</v>
      </c>
      <c r="I1156">
        <v>2</v>
      </c>
      <c r="J1156">
        <v>2017</v>
      </c>
      <c r="K1156">
        <v>3</v>
      </c>
      <c r="L1156">
        <v>276</v>
      </c>
      <c r="M1156" t="s">
        <v>18</v>
      </c>
      <c r="N1156">
        <f t="shared" si="54"/>
        <v>52.76</v>
      </c>
      <c r="O1156" t="str">
        <f t="shared" si="55"/>
        <v>March</v>
      </c>
      <c r="P1156" t="str">
        <f t="shared" si="56"/>
        <v>Weekday</v>
      </c>
    </row>
    <row r="1157" spans="1:16" x14ac:dyDescent="0.3">
      <c r="A1157" s="1">
        <v>42796</v>
      </c>
      <c r="B1157">
        <v>5</v>
      </c>
      <c r="C1157">
        <v>7.13</v>
      </c>
      <c r="D1157">
        <v>3</v>
      </c>
      <c r="E1157">
        <v>13</v>
      </c>
      <c r="F1157">
        <v>1</v>
      </c>
      <c r="G1157">
        <v>1</v>
      </c>
      <c r="H1157">
        <v>1</v>
      </c>
      <c r="I1157">
        <v>2</v>
      </c>
      <c r="J1157">
        <v>2017</v>
      </c>
      <c r="K1157">
        <v>3</v>
      </c>
      <c r="L1157">
        <v>276</v>
      </c>
      <c r="M1157" t="s">
        <v>12</v>
      </c>
      <c r="N1157">
        <f t="shared" si="54"/>
        <v>33.129999999999995</v>
      </c>
      <c r="O1157" t="str">
        <f t="shared" si="55"/>
        <v>March</v>
      </c>
      <c r="P1157" t="str">
        <f t="shared" si="56"/>
        <v>Weekday</v>
      </c>
    </row>
    <row r="1158" spans="1:16" x14ac:dyDescent="0.3">
      <c r="A1158" s="1">
        <v>42797</v>
      </c>
      <c r="B1158">
        <v>9</v>
      </c>
      <c r="C1158">
        <v>2.99</v>
      </c>
      <c r="D1158">
        <v>4</v>
      </c>
      <c r="E1158">
        <v>12.9</v>
      </c>
      <c r="F1158">
        <v>9</v>
      </c>
      <c r="G1158">
        <v>1</v>
      </c>
      <c r="H1158">
        <v>6</v>
      </c>
      <c r="I1158">
        <v>4</v>
      </c>
      <c r="J1158">
        <v>2017</v>
      </c>
      <c r="K1158">
        <v>3</v>
      </c>
      <c r="L1158">
        <v>276</v>
      </c>
      <c r="M1158" t="s">
        <v>13</v>
      </c>
      <c r="N1158">
        <f t="shared" si="54"/>
        <v>48.89</v>
      </c>
      <c r="O1158" t="str">
        <f t="shared" si="55"/>
        <v>March</v>
      </c>
      <c r="P1158" t="str">
        <f t="shared" si="56"/>
        <v>Weekday</v>
      </c>
    </row>
    <row r="1159" spans="1:16" x14ac:dyDescent="0.3">
      <c r="A1159" s="1">
        <v>42798</v>
      </c>
      <c r="B1159">
        <v>5.01</v>
      </c>
      <c r="C1159">
        <v>3.67</v>
      </c>
      <c r="D1159">
        <v>3.1</v>
      </c>
      <c r="E1159">
        <v>17</v>
      </c>
      <c r="F1159">
        <v>0</v>
      </c>
      <c r="G1159">
        <v>0</v>
      </c>
      <c r="H1159">
        <v>5</v>
      </c>
      <c r="I1159">
        <v>4.5</v>
      </c>
      <c r="J1159">
        <v>2017</v>
      </c>
      <c r="K1159">
        <v>3</v>
      </c>
      <c r="L1159">
        <v>276</v>
      </c>
      <c r="M1159" t="s">
        <v>14</v>
      </c>
      <c r="N1159">
        <f t="shared" si="54"/>
        <v>38.28</v>
      </c>
      <c r="O1159" t="str">
        <f t="shared" si="55"/>
        <v>March</v>
      </c>
      <c r="P1159" t="str">
        <f t="shared" si="56"/>
        <v>Weekend</v>
      </c>
    </row>
    <row r="1160" spans="1:16" x14ac:dyDescent="0.3">
      <c r="A1160" s="1">
        <v>42799</v>
      </c>
      <c r="B1160">
        <v>12.33</v>
      </c>
      <c r="C1160">
        <v>4.33</v>
      </c>
      <c r="D1160">
        <v>5</v>
      </c>
      <c r="E1160">
        <v>33.9</v>
      </c>
      <c r="F1160">
        <v>3</v>
      </c>
      <c r="G1160">
        <v>0</v>
      </c>
      <c r="H1160">
        <v>6</v>
      </c>
      <c r="I1160">
        <v>5</v>
      </c>
      <c r="J1160">
        <v>2017</v>
      </c>
      <c r="K1160">
        <v>3</v>
      </c>
      <c r="L1160">
        <v>276</v>
      </c>
      <c r="M1160" t="s">
        <v>15</v>
      </c>
      <c r="N1160">
        <f t="shared" si="54"/>
        <v>69.56</v>
      </c>
      <c r="O1160" t="str">
        <f t="shared" si="55"/>
        <v>March</v>
      </c>
      <c r="P1160" t="str">
        <f t="shared" si="56"/>
        <v>Weekend</v>
      </c>
    </row>
    <row r="1161" spans="1:16" x14ac:dyDescent="0.3">
      <c r="A1161" s="1">
        <v>42800</v>
      </c>
      <c r="B1161">
        <v>6.83</v>
      </c>
      <c r="C1161">
        <v>2.33</v>
      </c>
      <c r="D1161">
        <v>1.1000000000000001</v>
      </c>
      <c r="E1161">
        <v>19.600000000000001</v>
      </c>
      <c r="F1161">
        <v>1</v>
      </c>
      <c r="G1161">
        <v>0</v>
      </c>
      <c r="H1161">
        <v>0</v>
      </c>
      <c r="I1161">
        <v>3</v>
      </c>
      <c r="J1161">
        <v>2017</v>
      </c>
      <c r="K1161">
        <v>3</v>
      </c>
      <c r="L1161">
        <v>276</v>
      </c>
      <c r="M1161" t="s">
        <v>16</v>
      </c>
      <c r="N1161">
        <f t="shared" si="54"/>
        <v>33.86</v>
      </c>
      <c r="O1161" t="str">
        <f t="shared" si="55"/>
        <v>March</v>
      </c>
      <c r="P1161" t="str">
        <f t="shared" si="56"/>
        <v>Weekday</v>
      </c>
    </row>
    <row r="1162" spans="1:16" x14ac:dyDescent="0.3">
      <c r="A1162" s="1">
        <v>42801</v>
      </c>
      <c r="B1162">
        <v>2.34</v>
      </c>
      <c r="C1162">
        <v>5.33</v>
      </c>
      <c r="D1162">
        <v>6.5</v>
      </c>
      <c r="E1162">
        <v>15</v>
      </c>
      <c r="F1162">
        <v>4</v>
      </c>
      <c r="G1162">
        <v>0</v>
      </c>
      <c r="H1162">
        <v>0</v>
      </c>
      <c r="I1162">
        <v>2</v>
      </c>
      <c r="J1162">
        <v>2017</v>
      </c>
      <c r="K1162">
        <v>3</v>
      </c>
      <c r="L1162">
        <v>276</v>
      </c>
      <c r="M1162" t="s">
        <v>17</v>
      </c>
      <c r="N1162">
        <f t="shared" si="54"/>
        <v>35.17</v>
      </c>
      <c r="O1162" t="str">
        <f t="shared" si="55"/>
        <v>March</v>
      </c>
      <c r="P1162" t="str">
        <f t="shared" si="56"/>
        <v>Weekday</v>
      </c>
    </row>
    <row r="1163" spans="1:16" x14ac:dyDescent="0.3">
      <c r="A1163" s="1">
        <v>42802</v>
      </c>
      <c r="B1163">
        <v>1</v>
      </c>
      <c r="C1163">
        <v>2.34</v>
      </c>
      <c r="D1163">
        <v>0</v>
      </c>
      <c r="E1163">
        <v>15.2</v>
      </c>
      <c r="F1163">
        <v>4</v>
      </c>
      <c r="G1163">
        <v>0</v>
      </c>
      <c r="H1163">
        <v>0</v>
      </c>
      <c r="I1163">
        <v>3</v>
      </c>
      <c r="J1163">
        <v>2017</v>
      </c>
      <c r="K1163">
        <v>3</v>
      </c>
      <c r="L1163">
        <v>276</v>
      </c>
      <c r="M1163" t="s">
        <v>18</v>
      </c>
      <c r="N1163">
        <f t="shared" si="54"/>
        <v>25.54</v>
      </c>
      <c r="O1163" t="str">
        <f t="shared" si="55"/>
        <v>March</v>
      </c>
      <c r="P1163" t="str">
        <f t="shared" si="56"/>
        <v>Weekday</v>
      </c>
    </row>
    <row r="1164" spans="1:16" x14ac:dyDescent="0.3">
      <c r="A1164" s="1">
        <v>42803</v>
      </c>
      <c r="B1164">
        <v>11.33</v>
      </c>
      <c r="C1164">
        <v>2.33</v>
      </c>
      <c r="D1164">
        <v>6</v>
      </c>
      <c r="E1164">
        <v>26.9</v>
      </c>
      <c r="F1164">
        <v>6</v>
      </c>
      <c r="G1164">
        <v>1</v>
      </c>
      <c r="H1164">
        <v>0</v>
      </c>
      <c r="I1164">
        <v>2.5</v>
      </c>
      <c r="J1164">
        <v>2017</v>
      </c>
      <c r="K1164">
        <v>3</v>
      </c>
      <c r="L1164">
        <v>276</v>
      </c>
      <c r="M1164" t="s">
        <v>12</v>
      </c>
      <c r="N1164">
        <f t="shared" si="54"/>
        <v>56.06</v>
      </c>
      <c r="O1164" t="str">
        <f t="shared" si="55"/>
        <v>March</v>
      </c>
      <c r="P1164" t="str">
        <f t="shared" si="56"/>
        <v>Weekday</v>
      </c>
    </row>
    <row r="1165" spans="1:16" x14ac:dyDescent="0.3">
      <c r="A1165" s="1">
        <v>42804</v>
      </c>
      <c r="B1165">
        <v>2</v>
      </c>
      <c r="C1165">
        <v>4.33</v>
      </c>
      <c r="D1165">
        <v>4.5999999999999996</v>
      </c>
      <c r="E1165">
        <v>26.3</v>
      </c>
      <c r="F1165">
        <v>8</v>
      </c>
      <c r="G1165">
        <v>1</v>
      </c>
      <c r="H1165">
        <v>0</v>
      </c>
      <c r="I1165">
        <v>1</v>
      </c>
      <c r="J1165">
        <v>2017</v>
      </c>
      <c r="K1165">
        <v>3</v>
      </c>
      <c r="L1165">
        <v>276</v>
      </c>
      <c r="M1165" t="s">
        <v>13</v>
      </c>
      <c r="N1165">
        <f t="shared" si="54"/>
        <v>47.230000000000004</v>
      </c>
      <c r="O1165" t="str">
        <f t="shared" si="55"/>
        <v>March</v>
      </c>
      <c r="P1165" t="str">
        <f t="shared" si="56"/>
        <v>Weekday</v>
      </c>
    </row>
    <row r="1166" spans="1:16" x14ac:dyDescent="0.3">
      <c r="A1166" s="1">
        <v>42805</v>
      </c>
      <c r="B1166">
        <v>6.33</v>
      </c>
      <c r="C1166">
        <v>4.0659999999999998</v>
      </c>
      <c r="D1166">
        <v>6</v>
      </c>
      <c r="E1166">
        <v>20.100000000000001</v>
      </c>
      <c r="F1166">
        <v>2</v>
      </c>
      <c r="G1166">
        <v>1</v>
      </c>
      <c r="H1166">
        <v>5</v>
      </c>
      <c r="I1166">
        <v>3.5</v>
      </c>
      <c r="J1166">
        <v>2017</v>
      </c>
      <c r="K1166">
        <v>3</v>
      </c>
      <c r="L1166">
        <v>276</v>
      </c>
      <c r="M1166" t="s">
        <v>14</v>
      </c>
      <c r="N1166">
        <f t="shared" si="54"/>
        <v>47.996000000000002</v>
      </c>
      <c r="O1166" t="str">
        <f t="shared" si="55"/>
        <v>March</v>
      </c>
      <c r="P1166" t="str">
        <f t="shared" si="56"/>
        <v>Weekend</v>
      </c>
    </row>
    <row r="1167" spans="1:16" x14ac:dyDescent="0.3">
      <c r="A1167" s="1">
        <v>42806</v>
      </c>
      <c r="B1167">
        <v>7.68</v>
      </c>
      <c r="C1167">
        <v>7.01</v>
      </c>
      <c r="D1167">
        <v>2</v>
      </c>
      <c r="E1167">
        <v>48</v>
      </c>
      <c r="F1167">
        <v>6</v>
      </c>
      <c r="G1167">
        <v>4</v>
      </c>
      <c r="H1167">
        <v>15</v>
      </c>
      <c r="I1167">
        <v>2</v>
      </c>
      <c r="J1167">
        <v>2017</v>
      </c>
      <c r="K1167">
        <v>3</v>
      </c>
      <c r="L1167">
        <v>276</v>
      </c>
      <c r="M1167" t="s">
        <v>15</v>
      </c>
      <c r="N1167">
        <f t="shared" si="54"/>
        <v>91.69</v>
      </c>
      <c r="O1167" t="str">
        <f t="shared" si="55"/>
        <v>March</v>
      </c>
      <c r="P1167" t="str">
        <f t="shared" si="56"/>
        <v>Weekend</v>
      </c>
    </row>
    <row r="1168" spans="1:16" x14ac:dyDescent="0.3">
      <c r="A1168" s="1">
        <v>42807</v>
      </c>
      <c r="B1168">
        <v>2.33</v>
      </c>
      <c r="C1168">
        <v>0.68</v>
      </c>
      <c r="D1168">
        <v>2.7</v>
      </c>
      <c r="E1168">
        <v>17.8</v>
      </c>
      <c r="F1168">
        <v>2</v>
      </c>
      <c r="G1168">
        <v>0</v>
      </c>
      <c r="H1168">
        <v>10</v>
      </c>
      <c r="I1168">
        <v>0</v>
      </c>
      <c r="J1168">
        <v>2017</v>
      </c>
      <c r="K1168">
        <v>3</v>
      </c>
      <c r="L1168">
        <v>276</v>
      </c>
      <c r="M1168" t="s">
        <v>16</v>
      </c>
      <c r="N1168">
        <f t="shared" si="54"/>
        <v>35.510000000000005</v>
      </c>
      <c r="O1168" t="str">
        <f t="shared" si="55"/>
        <v>March</v>
      </c>
      <c r="P1168" t="str">
        <f t="shared" si="56"/>
        <v>Weekday</v>
      </c>
    </row>
    <row r="1169" spans="1:16" x14ac:dyDescent="0.3">
      <c r="A1169" s="1">
        <v>42808</v>
      </c>
      <c r="B1169">
        <v>2.67</v>
      </c>
      <c r="C1169">
        <v>1.34</v>
      </c>
      <c r="D1169">
        <v>3</v>
      </c>
      <c r="E1169">
        <v>15</v>
      </c>
      <c r="F1169">
        <v>5</v>
      </c>
      <c r="G1169">
        <v>0</v>
      </c>
      <c r="H1169">
        <v>5</v>
      </c>
      <c r="I1169">
        <v>1</v>
      </c>
      <c r="J1169">
        <v>2017</v>
      </c>
      <c r="K1169">
        <v>3</v>
      </c>
      <c r="L1169">
        <v>276</v>
      </c>
      <c r="M1169" t="s">
        <v>17</v>
      </c>
      <c r="N1169">
        <f t="shared" si="54"/>
        <v>33.01</v>
      </c>
      <c r="O1169" t="str">
        <f t="shared" si="55"/>
        <v>March</v>
      </c>
      <c r="P1169" t="str">
        <f t="shared" si="56"/>
        <v>Weekday</v>
      </c>
    </row>
    <row r="1170" spans="1:16" x14ac:dyDescent="0.3">
      <c r="A1170" s="1">
        <v>42809</v>
      </c>
      <c r="B1170">
        <v>3.66</v>
      </c>
      <c r="C1170">
        <v>1.7030000000000001</v>
      </c>
      <c r="D1170">
        <v>2.5</v>
      </c>
      <c r="E1170">
        <v>14.6</v>
      </c>
      <c r="F1170">
        <v>4</v>
      </c>
      <c r="G1170">
        <v>0</v>
      </c>
      <c r="H1170">
        <v>0</v>
      </c>
      <c r="I1170">
        <v>0</v>
      </c>
      <c r="J1170">
        <v>2017</v>
      </c>
      <c r="K1170">
        <v>3</v>
      </c>
      <c r="L1170">
        <v>276</v>
      </c>
      <c r="M1170" t="s">
        <v>18</v>
      </c>
      <c r="N1170">
        <f t="shared" si="54"/>
        <v>26.463000000000001</v>
      </c>
      <c r="O1170" t="str">
        <f t="shared" si="55"/>
        <v>March</v>
      </c>
      <c r="P1170" t="str">
        <f t="shared" si="56"/>
        <v>Weekday</v>
      </c>
    </row>
    <row r="1171" spans="1:16" x14ac:dyDescent="0.3">
      <c r="A1171" s="1">
        <v>42810</v>
      </c>
      <c r="B1171">
        <v>6</v>
      </c>
      <c r="C1171">
        <v>4.056</v>
      </c>
      <c r="D1171">
        <v>4.75</v>
      </c>
      <c r="E1171">
        <v>28.2</v>
      </c>
      <c r="F1171">
        <v>4</v>
      </c>
      <c r="G1171">
        <v>0</v>
      </c>
      <c r="H1171">
        <v>1</v>
      </c>
      <c r="I1171">
        <v>3</v>
      </c>
      <c r="J1171">
        <v>2017</v>
      </c>
      <c r="K1171">
        <v>3</v>
      </c>
      <c r="L1171">
        <v>276</v>
      </c>
      <c r="M1171" t="s">
        <v>12</v>
      </c>
      <c r="N1171">
        <f t="shared" si="54"/>
        <v>51.006</v>
      </c>
      <c r="O1171" t="str">
        <f t="shared" si="55"/>
        <v>March</v>
      </c>
      <c r="P1171" t="str">
        <f t="shared" si="56"/>
        <v>Weekday</v>
      </c>
    </row>
    <row r="1172" spans="1:16" x14ac:dyDescent="0.3">
      <c r="A1172" s="1">
        <v>42811</v>
      </c>
      <c r="B1172">
        <v>4.33</v>
      </c>
      <c r="C1172">
        <v>2.802</v>
      </c>
      <c r="D1172">
        <v>0</v>
      </c>
      <c r="E1172">
        <v>11</v>
      </c>
      <c r="F1172">
        <v>14</v>
      </c>
      <c r="G1172">
        <v>0</v>
      </c>
      <c r="H1172">
        <v>3</v>
      </c>
      <c r="I1172">
        <v>3</v>
      </c>
      <c r="J1172">
        <v>2017</v>
      </c>
      <c r="K1172">
        <v>3</v>
      </c>
      <c r="L1172">
        <v>276</v>
      </c>
      <c r="M1172" t="s">
        <v>13</v>
      </c>
      <c r="N1172">
        <f t="shared" si="54"/>
        <v>38.131999999999998</v>
      </c>
      <c r="O1172" t="str">
        <f t="shared" si="55"/>
        <v>March</v>
      </c>
      <c r="P1172" t="str">
        <f t="shared" si="56"/>
        <v>Weekday</v>
      </c>
    </row>
    <row r="1173" spans="1:16" x14ac:dyDescent="0.3">
      <c r="A1173" s="1">
        <v>42812</v>
      </c>
      <c r="B1173">
        <v>5</v>
      </c>
      <c r="C1173">
        <v>4.38</v>
      </c>
      <c r="D1173">
        <v>4.25</v>
      </c>
      <c r="E1173">
        <v>20.399999999999999</v>
      </c>
      <c r="F1173">
        <v>3</v>
      </c>
      <c r="G1173">
        <v>0</v>
      </c>
      <c r="H1173">
        <v>1</v>
      </c>
      <c r="I1173">
        <v>1</v>
      </c>
      <c r="J1173">
        <v>2017</v>
      </c>
      <c r="K1173">
        <v>3</v>
      </c>
      <c r="L1173">
        <v>276</v>
      </c>
      <c r="M1173" t="s">
        <v>14</v>
      </c>
      <c r="N1173">
        <f t="shared" si="54"/>
        <v>39.03</v>
      </c>
      <c r="O1173" t="str">
        <f t="shared" si="55"/>
        <v>March</v>
      </c>
      <c r="P1173" t="str">
        <f t="shared" si="56"/>
        <v>Weekend</v>
      </c>
    </row>
    <row r="1174" spans="1:16" x14ac:dyDescent="0.3">
      <c r="A1174" s="1">
        <v>42813</v>
      </c>
      <c r="B1174">
        <v>10</v>
      </c>
      <c r="C1174">
        <v>3.6930000000000001</v>
      </c>
      <c r="D1174">
        <v>2</v>
      </c>
      <c r="E1174">
        <v>39.1</v>
      </c>
      <c r="F1174">
        <v>3</v>
      </c>
      <c r="G1174">
        <v>0</v>
      </c>
      <c r="H1174">
        <v>5</v>
      </c>
      <c r="I1174">
        <v>3</v>
      </c>
      <c r="J1174">
        <v>2017</v>
      </c>
      <c r="K1174">
        <v>3</v>
      </c>
      <c r="L1174">
        <v>276</v>
      </c>
      <c r="M1174" t="s">
        <v>15</v>
      </c>
      <c r="N1174">
        <f t="shared" si="54"/>
        <v>65.793000000000006</v>
      </c>
      <c r="O1174" t="str">
        <f t="shared" si="55"/>
        <v>March</v>
      </c>
      <c r="P1174" t="str">
        <f t="shared" si="56"/>
        <v>Weekend</v>
      </c>
    </row>
    <row r="1175" spans="1:16" x14ac:dyDescent="0.3">
      <c r="A1175" s="1">
        <v>42814</v>
      </c>
      <c r="B1175">
        <v>1.66</v>
      </c>
      <c r="C1175">
        <v>6.6829999999999998</v>
      </c>
      <c r="D1175">
        <v>4.7</v>
      </c>
      <c r="E1175">
        <v>16.100000000000001</v>
      </c>
      <c r="F1175">
        <v>3</v>
      </c>
      <c r="G1175">
        <v>0</v>
      </c>
      <c r="H1175">
        <v>7</v>
      </c>
      <c r="I1175">
        <v>3</v>
      </c>
      <c r="J1175">
        <v>2017</v>
      </c>
      <c r="K1175">
        <v>3</v>
      </c>
      <c r="L1175">
        <v>276</v>
      </c>
      <c r="M1175" t="s">
        <v>16</v>
      </c>
      <c r="N1175">
        <f t="shared" si="54"/>
        <v>42.143000000000001</v>
      </c>
      <c r="O1175" t="str">
        <f t="shared" si="55"/>
        <v>March</v>
      </c>
      <c r="P1175" t="str">
        <f t="shared" si="56"/>
        <v>Weekday</v>
      </c>
    </row>
    <row r="1176" spans="1:16" x14ac:dyDescent="0.3">
      <c r="A1176" s="1">
        <v>42815</v>
      </c>
      <c r="B1176">
        <v>9.16</v>
      </c>
      <c r="C1176">
        <v>2.0299999999999998</v>
      </c>
      <c r="D1176">
        <v>2.2000000000000002</v>
      </c>
      <c r="E1176">
        <v>12.6</v>
      </c>
      <c r="F1176">
        <v>4</v>
      </c>
      <c r="G1176">
        <v>0</v>
      </c>
      <c r="H1176">
        <v>1</v>
      </c>
      <c r="I1176">
        <v>5.3</v>
      </c>
      <c r="J1176">
        <v>2017</v>
      </c>
      <c r="K1176">
        <v>3</v>
      </c>
      <c r="L1176">
        <v>276</v>
      </c>
      <c r="M1176" t="s">
        <v>17</v>
      </c>
      <c r="N1176">
        <f t="shared" si="54"/>
        <v>36.29</v>
      </c>
      <c r="O1176" t="str">
        <f t="shared" si="55"/>
        <v>March</v>
      </c>
      <c r="P1176" t="str">
        <f t="shared" si="56"/>
        <v>Weekday</v>
      </c>
    </row>
    <row r="1177" spans="1:16" x14ac:dyDescent="0.3">
      <c r="A1177" s="1">
        <v>42816</v>
      </c>
      <c r="B1177">
        <v>1.66</v>
      </c>
      <c r="C1177">
        <v>5.0229999999999997</v>
      </c>
      <c r="D1177">
        <v>2</v>
      </c>
      <c r="E1177">
        <v>16.399999999999999</v>
      </c>
      <c r="F1177">
        <v>7</v>
      </c>
      <c r="G1177">
        <v>0</v>
      </c>
      <c r="H1177">
        <v>2</v>
      </c>
      <c r="I1177">
        <v>2</v>
      </c>
      <c r="J1177">
        <v>2017</v>
      </c>
      <c r="K1177">
        <v>3</v>
      </c>
      <c r="L1177">
        <v>276</v>
      </c>
      <c r="M1177" t="s">
        <v>18</v>
      </c>
      <c r="N1177">
        <f t="shared" si="54"/>
        <v>36.082999999999998</v>
      </c>
      <c r="O1177" t="str">
        <f t="shared" si="55"/>
        <v>March</v>
      </c>
      <c r="P1177" t="str">
        <f t="shared" si="56"/>
        <v>Weekday</v>
      </c>
    </row>
    <row r="1178" spans="1:16" x14ac:dyDescent="0.3">
      <c r="A1178" s="1">
        <v>42817</v>
      </c>
      <c r="B1178">
        <v>7.34</v>
      </c>
      <c r="C1178">
        <v>2.133</v>
      </c>
      <c r="D1178">
        <v>1</v>
      </c>
      <c r="E1178">
        <v>13.3</v>
      </c>
      <c r="F1178">
        <v>8</v>
      </c>
      <c r="G1178">
        <v>0</v>
      </c>
      <c r="H1178">
        <v>6</v>
      </c>
      <c r="I1178">
        <v>3.5</v>
      </c>
      <c r="J1178">
        <v>2017</v>
      </c>
      <c r="K1178">
        <v>3</v>
      </c>
      <c r="L1178">
        <v>276</v>
      </c>
      <c r="M1178" t="s">
        <v>12</v>
      </c>
      <c r="N1178">
        <f t="shared" si="54"/>
        <v>41.272999999999996</v>
      </c>
      <c r="O1178" t="str">
        <f t="shared" si="55"/>
        <v>March</v>
      </c>
      <c r="P1178" t="str">
        <f t="shared" si="56"/>
        <v>Weekday</v>
      </c>
    </row>
    <row r="1179" spans="1:16" x14ac:dyDescent="0.3">
      <c r="A1179" s="1">
        <v>42818</v>
      </c>
      <c r="B1179">
        <v>1.67</v>
      </c>
      <c r="C1179">
        <v>3</v>
      </c>
      <c r="D1179">
        <v>4.5</v>
      </c>
      <c r="E1179">
        <v>12.3</v>
      </c>
      <c r="F1179">
        <v>7</v>
      </c>
      <c r="G1179">
        <v>0</v>
      </c>
      <c r="H1179">
        <v>5</v>
      </c>
      <c r="I1179">
        <v>6.3</v>
      </c>
      <c r="J1179">
        <v>2017</v>
      </c>
      <c r="K1179">
        <v>3</v>
      </c>
      <c r="L1179">
        <v>276</v>
      </c>
      <c r="M1179" t="s">
        <v>13</v>
      </c>
      <c r="N1179">
        <f t="shared" si="54"/>
        <v>39.769999999999996</v>
      </c>
      <c r="O1179" t="str">
        <f t="shared" si="55"/>
        <v>March</v>
      </c>
      <c r="P1179" t="str">
        <f t="shared" si="56"/>
        <v>Weekday</v>
      </c>
    </row>
    <row r="1180" spans="1:16" x14ac:dyDescent="0.3">
      <c r="A1180" s="1">
        <v>42819</v>
      </c>
      <c r="B1180">
        <v>10</v>
      </c>
      <c r="C1180">
        <v>5.49</v>
      </c>
      <c r="D1180">
        <v>1</v>
      </c>
      <c r="E1180">
        <v>33.299999999999997</v>
      </c>
      <c r="F1180">
        <v>3</v>
      </c>
      <c r="G1180">
        <v>0</v>
      </c>
      <c r="H1180">
        <v>0</v>
      </c>
      <c r="I1180">
        <v>4</v>
      </c>
      <c r="J1180">
        <v>2017</v>
      </c>
      <c r="K1180">
        <v>3</v>
      </c>
      <c r="L1180">
        <v>276</v>
      </c>
      <c r="M1180" t="s">
        <v>14</v>
      </c>
      <c r="N1180">
        <f t="shared" si="54"/>
        <v>56.79</v>
      </c>
      <c r="O1180" t="str">
        <f t="shared" si="55"/>
        <v>March</v>
      </c>
      <c r="P1180" t="str">
        <f t="shared" si="56"/>
        <v>Weekend</v>
      </c>
    </row>
    <row r="1181" spans="1:16" x14ac:dyDescent="0.3">
      <c r="A1181" s="1">
        <v>42820</v>
      </c>
      <c r="B1181">
        <v>5.34</v>
      </c>
      <c r="C1181">
        <v>5.36</v>
      </c>
      <c r="D1181">
        <v>3.45</v>
      </c>
      <c r="E1181">
        <v>18</v>
      </c>
      <c r="F1181">
        <v>4</v>
      </c>
      <c r="G1181">
        <v>0</v>
      </c>
      <c r="H1181">
        <v>10</v>
      </c>
      <c r="I1181">
        <v>8</v>
      </c>
      <c r="J1181">
        <v>2017</v>
      </c>
      <c r="K1181">
        <v>3</v>
      </c>
      <c r="L1181">
        <v>276</v>
      </c>
      <c r="M1181" t="s">
        <v>15</v>
      </c>
      <c r="N1181">
        <f t="shared" si="54"/>
        <v>54.15</v>
      </c>
      <c r="O1181" t="str">
        <f t="shared" si="55"/>
        <v>March</v>
      </c>
      <c r="P1181" t="str">
        <f t="shared" si="56"/>
        <v>Weekend</v>
      </c>
    </row>
    <row r="1182" spans="1:16" x14ac:dyDescent="0.3">
      <c r="A1182" s="1">
        <v>42821</v>
      </c>
      <c r="B1182">
        <v>4.84</v>
      </c>
      <c r="C1182">
        <v>3.4630000000000001</v>
      </c>
      <c r="D1182">
        <v>3.5</v>
      </c>
      <c r="E1182">
        <v>14.8</v>
      </c>
      <c r="F1182">
        <v>5</v>
      </c>
      <c r="G1182">
        <v>0</v>
      </c>
      <c r="H1182">
        <v>1</v>
      </c>
      <c r="I1182">
        <v>4</v>
      </c>
      <c r="J1182">
        <v>2017</v>
      </c>
      <c r="K1182">
        <v>3</v>
      </c>
      <c r="L1182">
        <v>276</v>
      </c>
      <c r="M1182" t="s">
        <v>16</v>
      </c>
      <c r="N1182">
        <f t="shared" si="54"/>
        <v>36.603000000000002</v>
      </c>
      <c r="O1182" t="str">
        <f t="shared" si="55"/>
        <v>March</v>
      </c>
      <c r="P1182" t="str">
        <f t="shared" si="56"/>
        <v>Weekday</v>
      </c>
    </row>
    <row r="1183" spans="1:16" x14ac:dyDescent="0.3">
      <c r="A1183" s="1">
        <v>42822</v>
      </c>
      <c r="B1183">
        <v>2.67</v>
      </c>
      <c r="C1183">
        <v>2.67</v>
      </c>
      <c r="D1183">
        <v>7</v>
      </c>
      <c r="E1183">
        <v>22</v>
      </c>
      <c r="F1183">
        <v>14</v>
      </c>
      <c r="G1183">
        <v>0</v>
      </c>
      <c r="H1183">
        <v>0</v>
      </c>
      <c r="I1183">
        <v>6</v>
      </c>
      <c r="J1183">
        <v>2017</v>
      </c>
      <c r="K1183">
        <v>3</v>
      </c>
      <c r="L1183">
        <v>276</v>
      </c>
      <c r="M1183" t="s">
        <v>17</v>
      </c>
      <c r="N1183">
        <f t="shared" si="54"/>
        <v>54.34</v>
      </c>
      <c r="O1183" t="str">
        <f t="shared" si="55"/>
        <v>March</v>
      </c>
      <c r="P1183" t="str">
        <f t="shared" si="56"/>
        <v>Weekday</v>
      </c>
    </row>
    <row r="1184" spans="1:16" x14ac:dyDescent="0.3">
      <c r="A1184" s="1">
        <v>42823</v>
      </c>
      <c r="B1184">
        <v>6.34</v>
      </c>
      <c r="C1184">
        <v>1.34</v>
      </c>
      <c r="D1184">
        <v>4</v>
      </c>
      <c r="E1184">
        <v>12.9</v>
      </c>
      <c r="F1184">
        <v>3</v>
      </c>
      <c r="G1184">
        <v>0</v>
      </c>
      <c r="H1184">
        <v>7</v>
      </c>
      <c r="I1184">
        <v>4.5</v>
      </c>
      <c r="J1184">
        <v>2017</v>
      </c>
      <c r="K1184">
        <v>3</v>
      </c>
      <c r="L1184">
        <v>276</v>
      </c>
      <c r="M1184" t="s">
        <v>18</v>
      </c>
      <c r="N1184">
        <f t="shared" si="54"/>
        <v>39.08</v>
      </c>
      <c r="O1184" t="str">
        <f t="shared" si="55"/>
        <v>March</v>
      </c>
      <c r="P1184" t="str">
        <f t="shared" si="56"/>
        <v>Weekday</v>
      </c>
    </row>
    <row r="1185" spans="1:16" x14ac:dyDescent="0.3">
      <c r="A1185" s="1">
        <v>42824</v>
      </c>
      <c r="B1185">
        <v>1.33</v>
      </c>
      <c r="C1185">
        <v>2.6930000000000001</v>
      </c>
      <c r="D1185">
        <v>5</v>
      </c>
      <c r="E1185">
        <v>9.5</v>
      </c>
      <c r="F1185">
        <v>9</v>
      </c>
      <c r="G1185">
        <v>0</v>
      </c>
      <c r="H1185">
        <v>0</v>
      </c>
      <c r="I1185">
        <v>2</v>
      </c>
      <c r="J1185">
        <v>2017</v>
      </c>
      <c r="K1185">
        <v>3</v>
      </c>
      <c r="L1185">
        <v>276</v>
      </c>
      <c r="M1185" t="s">
        <v>12</v>
      </c>
      <c r="N1185">
        <f t="shared" si="54"/>
        <v>29.523</v>
      </c>
      <c r="O1185" t="str">
        <f t="shared" si="55"/>
        <v>March</v>
      </c>
      <c r="P1185" t="str">
        <f t="shared" si="56"/>
        <v>Weekday</v>
      </c>
    </row>
    <row r="1186" spans="1:16" x14ac:dyDescent="0.3">
      <c r="A1186" s="1">
        <v>42825</v>
      </c>
      <c r="B1186">
        <v>4</v>
      </c>
      <c r="C1186">
        <v>2</v>
      </c>
      <c r="D1186">
        <v>3.5</v>
      </c>
      <c r="E1186">
        <v>22.2</v>
      </c>
      <c r="F1186">
        <v>2</v>
      </c>
      <c r="G1186">
        <v>0</v>
      </c>
      <c r="H1186">
        <v>2</v>
      </c>
      <c r="I1186">
        <v>6</v>
      </c>
      <c r="J1186">
        <v>2017</v>
      </c>
      <c r="K1186">
        <v>3</v>
      </c>
      <c r="L1186">
        <v>276</v>
      </c>
      <c r="M1186" t="s">
        <v>13</v>
      </c>
      <c r="N1186">
        <f t="shared" si="54"/>
        <v>41.7</v>
      </c>
      <c r="O1186" t="str">
        <f t="shared" si="55"/>
        <v>March</v>
      </c>
      <c r="P1186" t="str">
        <f t="shared" si="56"/>
        <v>Weekday</v>
      </c>
    </row>
    <row r="1187" spans="1:16" x14ac:dyDescent="0.3">
      <c r="A1187" s="1">
        <v>42826</v>
      </c>
      <c r="B1187">
        <v>2.33</v>
      </c>
      <c r="C1187">
        <v>2</v>
      </c>
      <c r="D1187">
        <v>2</v>
      </c>
      <c r="E1187">
        <v>34</v>
      </c>
      <c r="F1187">
        <v>2</v>
      </c>
      <c r="G1187">
        <v>0</v>
      </c>
      <c r="H1187">
        <v>1</v>
      </c>
      <c r="I1187">
        <v>3</v>
      </c>
      <c r="J1187">
        <v>2017</v>
      </c>
      <c r="K1187">
        <v>4</v>
      </c>
      <c r="L1187">
        <v>276</v>
      </c>
      <c r="M1187" t="s">
        <v>14</v>
      </c>
      <c r="N1187">
        <f t="shared" si="54"/>
        <v>46.33</v>
      </c>
      <c r="O1187" t="str">
        <f t="shared" si="55"/>
        <v>April</v>
      </c>
      <c r="P1187" t="str">
        <f t="shared" si="56"/>
        <v>Weekend</v>
      </c>
    </row>
    <row r="1188" spans="1:16" x14ac:dyDescent="0.3">
      <c r="A1188" s="1">
        <v>42827</v>
      </c>
      <c r="B1188">
        <v>6.67</v>
      </c>
      <c r="C1188">
        <v>4.2229999999999999</v>
      </c>
      <c r="D1188">
        <v>4</v>
      </c>
      <c r="E1188">
        <v>23</v>
      </c>
      <c r="F1188">
        <v>4</v>
      </c>
      <c r="G1188">
        <v>0</v>
      </c>
      <c r="H1188">
        <v>9</v>
      </c>
      <c r="I1188">
        <v>12.4</v>
      </c>
      <c r="J1188">
        <v>2017</v>
      </c>
      <c r="K1188">
        <v>4</v>
      </c>
      <c r="L1188">
        <v>276</v>
      </c>
      <c r="M1188" t="s">
        <v>15</v>
      </c>
      <c r="N1188">
        <f t="shared" si="54"/>
        <v>63.292999999999999</v>
      </c>
      <c r="O1188" t="str">
        <f t="shared" si="55"/>
        <v>April</v>
      </c>
      <c r="P1188" t="str">
        <f t="shared" si="56"/>
        <v>Weekend</v>
      </c>
    </row>
    <row r="1189" spans="1:16" x14ac:dyDescent="0.3">
      <c r="A1189" s="1">
        <v>42828</v>
      </c>
      <c r="B1189">
        <v>6.33</v>
      </c>
      <c r="C1189">
        <v>1</v>
      </c>
      <c r="D1189">
        <v>5.6</v>
      </c>
      <c r="E1189">
        <v>25.6</v>
      </c>
      <c r="F1189">
        <v>8</v>
      </c>
      <c r="G1189">
        <v>0</v>
      </c>
      <c r="H1189">
        <v>20</v>
      </c>
      <c r="I1189">
        <v>3</v>
      </c>
      <c r="J1189">
        <v>2017</v>
      </c>
      <c r="K1189">
        <v>4</v>
      </c>
      <c r="L1189">
        <v>276</v>
      </c>
      <c r="M1189" t="s">
        <v>16</v>
      </c>
      <c r="N1189">
        <f t="shared" si="54"/>
        <v>69.53</v>
      </c>
      <c r="O1189" t="str">
        <f t="shared" si="55"/>
        <v>April</v>
      </c>
      <c r="P1189" t="str">
        <f t="shared" si="56"/>
        <v>Weekday</v>
      </c>
    </row>
    <row r="1190" spans="1:16" x14ac:dyDescent="0.3">
      <c r="A1190" s="1">
        <v>42829</v>
      </c>
      <c r="B1190">
        <v>0.33</v>
      </c>
      <c r="C1190">
        <v>1.0329999999999999</v>
      </c>
      <c r="D1190">
        <v>2.2000000000000002</v>
      </c>
      <c r="E1190">
        <v>8</v>
      </c>
      <c r="F1190">
        <v>2</v>
      </c>
      <c r="G1190">
        <v>0</v>
      </c>
      <c r="H1190">
        <v>5</v>
      </c>
      <c r="I1190">
        <v>5.5</v>
      </c>
      <c r="J1190">
        <v>2017</v>
      </c>
      <c r="K1190">
        <v>4</v>
      </c>
      <c r="L1190">
        <v>276</v>
      </c>
      <c r="M1190" t="s">
        <v>17</v>
      </c>
      <c r="N1190">
        <f t="shared" si="54"/>
        <v>24.063000000000002</v>
      </c>
      <c r="O1190" t="str">
        <f t="shared" si="55"/>
        <v>April</v>
      </c>
      <c r="P1190" t="str">
        <f t="shared" si="56"/>
        <v>Weekday</v>
      </c>
    </row>
    <row r="1191" spans="1:16" x14ac:dyDescent="0.3">
      <c r="A1191" s="1">
        <v>42830</v>
      </c>
      <c r="B1191">
        <v>5</v>
      </c>
      <c r="C1191">
        <v>0.23100000000000001</v>
      </c>
      <c r="D1191">
        <v>0.2</v>
      </c>
      <c r="E1191">
        <v>13.6</v>
      </c>
      <c r="F1191">
        <v>9</v>
      </c>
      <c r="G1191">
        <v>2</v>
      </c>
      <c r="H1191">
        <v>6</v>
      </c>
      <c r="I1191">
        <v>1</v>
      </c>
      <c r="J1191">
        <v>2017</v>
      </c>
      <c r="K1191">
        <v>4</v>
      </c>
      <c r="L1191">
        <v>276</v>
      </c>
      <c r="M1191" t="s">
        <v>18</v>
      </c>
      <c r="N1191">
        <f t="shared" si="54"/>
        <v>37.030999999999999</v>
      </c>
      <c r="O1191" t="str">
        <f t="shared" si="55"/>
        <v>April</v>
      </c>
      <c r="P1191" t="str">
        <f t="shared" si="56"/>
        <v>Weekday</v>
      </c>
    </row>
    <row r="1192" spans="1:16" x14ac:dyDescent="0.3">
      <c r="A1192" s="1">
        <v>42831</v>
      </c>
      <c r="B1192">
        <v>5</v>
      </c>
      <c r="C1192">
        <v>0.66</v>
      </c>
      <c r="D1192">
        <v>3.1</v>
      </c>
      <c r="E1192">
        <v>10.9</v>
      </c>
      <c r="F1192">
        <v>4</v>
      </c>
      <c r="G1192">
        <v>1</v>
      </c>
      <c r="H1192">
        <v>0</v>
      </c>
      <c r="I1192">
        <v>1</v>
      </c>
      <c r="J1192">
        <v>2017</v>
      </c>
      <c r="K1192">
        <v>4</v>
      </c>
      <c r="L1192">
        <v>276</v>
      </c>
      <c r="M1192" t="s">
        <v>12</v>
      </c>
      <c r="N1192">
        <f t="shared" si="54"/>
        <v>25.66</v>
      </c>
      <c r="O1192" t="str">
        <f t="shared" si="55"/>
        <v>April</v>
      </c>
      <c r="P1192" t="str">
        <f t="shared" si="56"/>
        <v>Weekday</v>
      </c>
    </row>
    <row r="1193" spans="1:16" x14ac:dyDescent="0.3">
      <c r="A1193" s="1">
        <v>42832</v>
      </c>
      <c r="B1193">
        <v>3.5</v>
      </c>
      <c r="C1193">
        <v>4</v>
      </c>
      <c r="D1193">
        <v>2</v>
      </c>
      <c r="E1193">
        <v>16</v>
      </c>
      <c r="F1193">
        <v>5</v>
      </c>
      <c r="G1193">
        <v>0</v>
      </c>
      <c r="H1193">
        <v>5</v>
      </c>
      <c r="I1193">
        <v>5</v>
      </c>
      <c r="J1193">
        <v>2017</v>
      </c>
      <c r="K1193">
        <v>4</v>
      </c>
      <c r="L1193">
        <v>276</v>
      </c>
      <c r="M1193" t="s">
        <v>13</v>
      </c>
      <c r="N1193">
        <f t="shared" si="54"/>
        <v>40.5</v>
      </c>
      <c r="O1193" t="str">
        <f t="shared" si="55"/>
        <v>April</v>
      </c>
      <c r="P1193" t="str">
        <f t="shared" si="56"/>
        <v>Weekday</v>
      </c>
    </row>
    <row r="1194" spans="1:16" x14ac:dyDescent="0.3">
      <c r="A1194" s="1">
        <v>42833</v>
      </c>
      <c r="B1194">
        <v>7.51</v>
      </c>
      <c r="C1194">
        <v>8.7590000000000003</v>
      </c>
      <c r="D1194">
        <v>2.0499999999999998</v>
      </c>
      <c r="E1194">
        <v>23</v>
      </c>
      <c r="F1194">
        <v>3</v>
      </c>
      <c r="G1194">
        <v>0</v>
      </c>
      <c r="H1194">
        <v>11</v>
      </c>
      <c r="I1194">
        <v>6</v>
      </c>
      <c r="J1194">
        <v>2017</v>
      </c>
      <c r="K1194">
        <v>4</v>
      </c>
      <c r="L1194">
        <v>276</v>
      </c>
      <c r="M1194" t="s">
        <v>14</v>
      </c>
      <c r="N1194">
        <f t="shared" si="54"/>
        <v>61.319000000000003</v>
      </c>
      <c r="O1194" t="str">
        <f t="shared" si="55"/>
        <v>April</v>
      </c>
      <c r="P1194" t="str">
        <f t="shared" si="56"/>
        <v>Weekend</v>
      </c>
    </row>
    <row r="1195" spans="1:16" x14ac:dyDescent="0.3">
      <c r="A1195" s="1">
        <v>42834</v>
      </c>
      <c r="B1195">
        <v>4.99</v>
      </c>
      <c r="C1195">
        <v>5.34</v>
      </c>
      <c r="D1195">
        <v>8.25</v>
      </c>
      <c r="E1195">
        <v>22</v>
      </c>
      <c r="F1195">
        <v>3</v>
      </c>
      <c r="G1195">
        <v>0</v>
      </c>
      <c r="H1195">
        <v>0</v>
      </c>
      <c r="I1195">
        <v>1</v>
      </c>
      <c r="J1195">
        <v>2017</v>
      </c>
      <c r="K1195">
        <v>4</v>
      </c>
      <c r="L1195">
        <v>276</v>
      </c>
      <c r="M1195" t="s">
        <v>15</v>
      </c>
      <c r="N1195">
        <f t="shared" si="54"/>
        <v>44.58</v>
      </c>
      <c r="O1195" t="str">
        <f t="shared" si="55"/>
        <v>April</v>
      </c>
      <c r="P1195" t="str">
        <f t="shared" si="56"/>
        <v>Weekend</v>
      </c>
    </row>
    <row r="1196" spans="1:16" x14ac:dyDescent="0.3">
      <c r="A1196" s="1">
        <v>42835</v>
      </c>
      <c r="B1196">
        <v>8.66</v>
      </c>
      <c r="C1196">
        <v>1.363</v>
      </c>
      <c r="D1196">
        <v>1.05</v>
      </c>
      <c r="E1196">
        <v>27.5</v>
      </c>
      <c r="F1196">
        <v>1</v>
      </c>
      <c r="G1196">
        <v>0</v>
      </c>
      <c r="H1196">
        <v>4</v>
      </c>
      <c r="I1196">
        <v>4</v>
      </c>
      <c r="J1196">
        <v>2017</v>
      </c>
      <c r="K1196">
        <v>4</v>
      </c>
      <c r="L1196">
        <v>276</v>
      </c>
      <c r="M1196" t="s">
        <v>16</v>
      </c>
      <c r="N1196">
        <f t="shared" si="54"/>
        <v>47.573</v>
      </c>
      <c r="O1196" t="str">
        <f t="shared" si="55"/>
        <v>April</v>
      </c>
      <c r="P1196" t="str">
        <f t="shared" si="56"/>
        <v>Weekday</v>
      </c>
    </row>
    <row r="1197" spans="1:16" x14ac:dyDescent="0.3">
      <c r="A1197" s="1">
        <v>42836</v>
      </c>
      <c r="B1197">
        <v>4</v>
      </c>
      <c r="C1197">
        <v>2.33</v>
      </c>
      <c r="D1197">
        <v>3</v>
      </c>
      <c r="E1197">
        <v>17</v>
      </c>
      <c r="F1197">
        <v>5</v>
      </c>
      <c r="G1197">
        <v>0</v>
      </c>
      <c r="H1197">
        <v>11</v>
      </c>
      <c r="I1197">
        <v>1</v>
      </c>
      <c r="J1197">
        <v>2017</v>
      </c>
      <c r="K1197">
        <v>4</v>
      </c>
      <c r="L1197">
        <v>276</v>
      </c>
      <c r="M1197" t="s">
        <v>17</v>
      </c>
      <c r="N1197">
        <f t="shared" si="54"/>
        <v>43.33</v>
      </c>
      <c r="O1197" t="str">
        <f t="shared" si="55"/>
        <v>April</v>
      </c>
      <c r="P1197" t="str">
        <f t="shared" si="56"/>
        <v>Weekday</v>
      </c>
    </row>
    <row r="1198" spans="1:16" x14ac:dyDescent="0.3">
      <c r="A1198" s="1">
        <v>42837</v>
      </c>
      <c r="B1198">
        <v>11.99</v>
      </c>
      <c r="C1198">
        <v>3.32</v>
      </c>
      <c r="D1198">
        <v>3.35</v>
      </c>
      <c r="E1198">
        <v>11</v>
      </c>
      <c r="F1198">
        <v>10</v>
      </c>
      <c r="G1198">
        <v>2</v>
      </c>
      <c r="H1198">
        <v>10</v>
      </c>
      <c r="I1198">
        <v>4</v>
      </c>
      <c r="J1198">
        <v>2017</v>
      </c>
      <c r="K1198">
        <v>4</v>
      </c>
      <c r="L1198">
        <v>276</v>
      </c>
      <c r="M1198" t="s">
        <v>18</v>
      </c>
      <c r="N1198">
        <f t="shared" si="54"/>
        <v>55.66</v>
      </c>
      <c r="O1198" t="str">
        <f t="shared" si="55"/>
        <v>April</v>
      </c>
      <c r="P1198" t="str">
        <f t="shared" si="56"/>
        <v>Weekday</v>
      </c>
    </row>
    <row r="1199" spans="1:16" x14ac:dyDescent="0.3">
      <c r="A1199" s="1">
        <v>42838</v>
      </c>
      <c r="B1199">
        <v>5</v>
      </c>
      <c r="C1199">
        <v>2.4390000000000001</v>
      </c>
      <c r="D1199">
        <v>2</v>
      </c>
      <c r="E1199">
        <v>30.9</v>
      </c>
      <c r="F1199">
        <v>1</v>
      </c>
      <c r="G1199">
        <v>0</v>
      </c>
      <c r="H1199">
        <v>2</v>
      </c>
      <c r="I1199">
        <v>5</v>
      </c>
      <c r="J1199">
        <v>2017</v>
      </c>
      <c r="K1199">
        <v>4</v>
      </c>
      <c r="L1199">
        <v>276</v>
      </c>
      <c r="M1199" t="s">
        <v>12</v>
      </c>
      <c r="N1199">
        <f t="shared" si="54"/>
        <v>48.338999999999999</v>
      </c>
      <c r="O1199" t="str">
        <f t="shared" si="55"/>
        <v>April</v>
      </c>
      <c r="P1199" t="str">
        <f t="shared" si="56"/>
        <v>Weekday</v>
      </c>
    </row>
    <row r="1200" spans="1:16" x14ac:dyDescent="0.3">
      <c r="A1200" s="1">
        <v>42839</v>
      </c>
      <c r="B1200">
        <v>7.34</v>
      </c>
      <c r="C1200">
        <v>4.9800000000000004</v>
      </c>
      <c r="D1200">
        <v>5</v>
      </c>
      <c r="E1200">
        <v>13</v>
      </c>
      <c r="F1200">
        <v>3</v>
      </c>
      <c r="G1200">
        <v>0</v>
      </c>
      <c r="H1200">
        <v>16</v>
      </c>
      <c r="I1200">
        <v>4</v>
      </c>
      <c r="J1200">
        <v>2017</v>
      </c>
      <c r="K1200">
        <v>4</v>
      </c>
      <c r="L1200">
        <v>276</v>
      </c>
      <c r="M1200" t="s">
        <v>13</v>
      </c>
      <c r="N1200">
        <f t="shared" si="54"/>
        <v>53.32</v>
      </c>
      <c r="O1200" t="str">
        <f t="shared" si="55"/>
        <v>April</v>
      </c>
      <c r="P1200" t="str">
        <f t="shared" si="56"/>
        <v>Weekday</v>
      </c>
    </row>
    <row r="1201" spans="1:16" x14ac:dyDescent="0.3">
      <c r="A1201" s="1">
        <v>42840</v>
      </c>
      <c r="B1201">
        <v>11.67</v>
      </c>
      <c r="C1201">
        <v>1.472</v>
      </c>
      <c r="D1201">
        <v>4</v>
      </c>
      <c r="E1201">
        <v>27.25</v>
      </c>
      <c r="F1201">
        <v>1</v>
      </c>
      <c r="G1201">
        <v>0</v>
      </c>
      <c r="H1201">
        <v>15</v>
      </c>
      <c r="I1201">
        <v>5.2</v>
      </c>
      <c r="J1201">
        <v>2017</v>
      </c>
      <c r="K1201">
        <v>4</v>
      </c>
      <c r="L1201">
        <v>276</v>
      </c>
      <c r="M1201" t="s">
        <v>14</v>
      </c>
      <c r="N1201">
        <f t="shared" si="54"/>
        <v>65.591999999999999</v>
      </c>
      <c r="O1201" t="str">
        <f t="shared" si="55"/>
        <v>April</v>
      </c>
      <c r="P1201" t="str">
        <f t="shared" si="56"/>
        <v>Weekend</v>
      </c>
    </row>
    <row r="1202" spans="1:16" x14ac:dyDescent="0.3">
      <c r="A1202" s="1">
        <v>42841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2017</v>
      </c>
      <c r="K1202">
        <v>4</v>
      </c>
      <c r="L1202">
        <v>276</v>
      </c>
      <c r="M1202" t="s">
        <v>15</v>
      </c>
      <c r="N1202">
        <f t="shared" si="54"/>
        <v>0</v>
      </c>
      <c r="O1202" t="str">
        <f t="shared" si="55"/>
        <v>April</v>
      </c>
      <c r="P1202" t="str">
        <f t="shared" si="56"/>
        <v>Weekend</v>
      </c>
    </row>
    <row r="1203" spans="1:16" x14ac:dyDescent="0.3">
      <c r="A1203" s="1">
        <v>42842</v>
      </c>
      <c r="B1203">
        <v>4</v>
      </c>
      <c r="C1203">
        <v>3.99</v>
      </c>
      <c r="D1203">
        <v>1.9</v>
      </c>
      <c r="E1203">
        <v>18.399999999999999</v>
      </c>
      <c r="F1203">
        <v>1</v>
      </c>
      <c r="G1203">
        <v>0</v>
      </c>
      <c r="H1203">
        <v>5</v>
      </c>
      <c r="I1203">
        <v>1</v>
      </c>
      <c r="J1203">
        <v>2017</v>
      </c>
      <c r="K1203">
        <v>4</v>
      </c>
      <c r="L1203">
        <v>276</v>
      </c>
      <c r="M1203" t="s">
        <v>16</v>
      </c>
      <c r="N1203">
        <f t="shared" si="54"/>
        <v>35.29</v>
      </c>
      <c r="O1203" t="str">
        <f t="shared" si="55"/>
        <v>April</v>
      </c>
      <c r="P1203" t="str">
        <f t="shared" si="56"/>
        <v>Weekday</v>
      </c>
    </row>
    <row r="1204" spans="1:16" x14ac:dyDescent="0.3">
      <c r="A1204" s="1">
        <v>42843</v>
      </c>
      <c r="B1204">
        <v>7.33</v>
      </c>
      <c r="C1204">
        <v>4.67</v>
      </c>
      <c r="D1204">
        <v>6.3</v>
      </c>
      <c r="E1204">
        <v>15.4</v>
      </c>
      <c r="F1204">
        <v>8</v>
      </c>
      <c r="G1204">
        <v>1</v>
      </c>
      <c r="H1204">
        <v>2</v>
      </c>
      <c r="I1204">
        <v>2</v>
      </c>
      <c r="J1204">
        <v>2017</v>
      </c>
      <c r="K1204">
        <v>4</v>
      </c>
      <c r="L1204">
        <v>276</v>
      </c>
      <c r="M1204" t="s">
        <v>17</v>
      </c>
      <c r="N1204">
        <f t="shared" si="54"/>
        <v>46.7</v>
      </c>
      <c r="O1204" t="str">
        <f t="shared" si="55"/>
        <v>April</v>
      </c>
      <c r="P1204" t="str">
        <f t="shared" si="56"/>
        <v>Weekday</v>
      </c>
    </row>
    <row r="1205" spans="1:16" x14ac:dyDescent="0.3">
      <c r="A1205" s="1">
        <v>42844</v>
      </c>
      <c r="B1205">
        <v>1</v>
      </c>
      <c r="C1205">
        <v>3.4060000000000001</v>
      </c>
      <c r="D1205">
        <v>5</v>
      </c>
      <c r="E1205">
        <v>14</v>
      </c>
      <c r="F1205">
        <v>2</v>
      </c>
      <c r="G1205">
        <v>0</v>
      </c>
      <c r="H1205">
        <v>0</v>
      </c>
      <c r="I1205">
        <v>1</v>
      </c>
      <c r="J1205">
        <v>2017</v>
      </c>
      <c r="K1205">
        <v>4</v>
      </c>
      <c r="L1205">
        <v>276</v>
      </c>
      <c r="M1205" t="s">
        <v>18</v>
      </c>
      <c r="N1205">
        <f t="shared" si="54"/>
        <v>26.405999999999999</v>
      </c>
      <c r="O1205" t="str">
        <f t="shared" si="55"/>
        <v>April</v>
      </c>
      <c r="P1205" t="str">
        <f t="shared" si="56"/>
        <v>Weekday</v>
      </c>
    </row>
    <row r="1206" spans="1:16" x14ac:dyDescent="0.3">
      <c r="A1206" s="1">
        <v>42845</v>
      </c>
      <c r="B1206">
        <v>4.66</v>
      </c>
      <c r="C1206">
        <v>2.33</v>
      </c>
      <c r="D1206">
        <v>5</v>
      </c>
      <c r="E1206">
        <v>9.4</v>
      </c>
      <c r="F1206">
        <v>10</v>
      </c>
      <c r="G1206">
        <v>0</v>
      </c>
      <c r="H1206">
        <v>7</v>
      </c>
      <c r="I1206">
        <v>2</v>
      </c>
      <c r="J1206">
        <v>2017</v>
      </c>
      <c r="K1206">
        <v>4</v>
      </c>
      <c r="L1206">
        <v>276</v>
      </c>
      <c r="M1206" t="s">
        <v>12</v>
      </c>
      <c r="N1206">
        <f t="shared" si="54"/>
        <v>40.39</v>
      </c>
      <c r="O1206" t="str">
        <f t="shared" si="55"/>
        <v>April</v>
      </c>
      <c r="P1206" t="str">
        <f t="shared" si="56"/>
        <v>Weekday</v>
      </c>
    </row>
    <row r="1207" spans="1:16" x14ac:dyDescent="0.3">
      <c r="A1207" s="1">
        <v>42846</v>
      </c>
      <c r="B1207">
        <v>3.67</v>
      </c>
      <c r="C1207">
        <v>2.34</v>
      </c>
      <c r="D1207">
        <v>2.4</v>
      </c>
      <c r="E1207">
        <v>29</v>
      </c>
      <c r="F1207">
        <v>3</v>
      </c>
      <c r="G1207">
        <v>0</v>
      </c>
      <c r="H1207">
        <v>1.875</v>
      </c>
      <c r="I1207">
        <v>3</v>
      </c>
      <c r="J1207">
        <v>2017</v>
      </c>
      <c r="K1207">
        <v>4</v>
      </c>
      <c r="L1207">
        <v>276</v>
      </c>
      <c r="M1207" t="s">
        <v>13</v>
      </c>
      <c r="N1207">
        <f t="shared" si="54"/>
        <v>45.284999999999997</v>
      </c>
      <c r="O1207" t="str">
        <f t="shared" si="55"/>
        <v>April</v>
      </c>
      <c r="P1207" t="str">
        <f t="shared" si="56"/>
        <v>Weekday</v>
      </c>
    </row>
    <row r="1208" spans="1:16" x14ac:dyDescent="0.3">
      <c r="A1208" s="1">
        <v>42847</v>
      </c>
      <c r="B1208">
        <v>2.64</v>
      </c>
      <c r="C1208">
        <v>4.66</v>
      </c>
      <c r="D1208">
        <v>2.8</v>
      </c>
      <c r="E1208">
        <v>19</v>
      </c>
      <c r="F1208">
        <v>7</v>
      </c>
      <c r="G1208">
        <v>1</v>
      </c>
      <c r="H1208">
        <v>1</v>
      </c>
      <c r="I1208">
        <v>2</v>
      </c>
      <c r="J1208">
        <v>2017</v>
      </c>
      <c r="K1208">
        <v>4</v>
      </c>
      <c r="L1208">
        <v>276</v>
      </c>
      <c r="M1208" t="s">
        <v>14</v>
      </c>
      <c r="N1208">
        <f t="shared" si="54"/>
        <v>40.1</v>
      </c>
      <c r="O1208" t="str">
        <f t="shared" si="55"/>
        <v>April</v>
      </c>
      <c r="P1208" t="str">
        <f t="shared" si="56"/>
        <v>Weekend</v>
      </c>
    </row>
    <row r="1209" spans="1:16" x14ac:dyDescent="0.3">
      <c r="A1209" s="1">
        <v>42848</v>
      </c>
      <c r="B1209">
        <v>9</v>
      </c>
      <c r="C1209">
        <v>5.4160000000000004</v>
      </c>
      <c r="D1209">
        <v>3.6</v>
      </c>
      <c r="E1209">
        <v>25.5</v>
      </c>
      <c r="F1209">
        <v>7</v>
      </c>
      <c r="G1209">
        <v>0</v>
      </c>
      <c r="H1209">
        <v>1</v>
      </c>
      <c r="I1209">
        <v>5</v>
      </c>
      <c r="J1209">
        <v>2017</v>
      </c>
      <c r="K1209">
        <v>4</v>
      </c>
      <c r="L1209">
        <v>276</v>
      </c>
      <c r="M1209" t="s">
        <v>15</v>
      </c>
      <c r="N1209">
        <f t="shared" si="54"/>
        <v>56.516000000000005</v>
      </c>
      <c r="O1209" t="str">
        <f t="shared" si="55"/>
        <v>April</v>
      </c>
      <c r="P1209" t="str">
        <f t="shared" si="56"/>
        <v>Weekend</v>
      </c>
    </row>
    <row r="1210" spans="1:16" x14ac:dyDescent="0.3">
      <c r="A1210" s="1">
        <v>42849</v>
      </c>
      <c r="B1210">
        <v>9.33</v>
      </c>
      <c r="C1210">
        <v>3.81</v>
      </c>
      <c r="D1210">
        <v>8</v>
      </c>
      <c r="E1210">
        <v>13.15</v>
      </c>
      <c r="F1210">
        <v>9</v>
      </c>
      <c r="G1210">
        <v>0</v>
      </c>
      <c r="H1210">
        <v>1</v>
      </c>
      <c r="I1210">
        <v>5</v>
      </c>
      <c r="J1210">
        <v>2017</v>
      </c>
      <c r="K1210">
        <v>4</v>
      </c>
      <c r="L1210">
        <v>276</v>
      </c>
      <c r="M1210" t="s">
        <v>16</v>
      </c>
      <c r="N1210">
        <f t="shared" si="54"/>
        <v>49.29</v>
      </c>
      <c r="O1210" t="str">
        <f t="shared" si="55"/>
        <v>April</v>
      </c>
      <c r="P1210" t="str">
        <f t="shared" si="56"/>
        <v>Weekday</v>
      </c>
    </row>
    <row r="1211" spans="1:16" x14ac:dyDescent="0.3">
      <c r="A1211" s="1">
        <v>42850</v>
      </c>
      <c r="B1211">
        <v>8</v>
      </c>
      <c r="C1211">
        <v>2.99</v>
      </c>
      <c r="D1211">
        <v>2.2000000000000002</v>
      </c>
      <c r="E1211">
        <v>24</v>
      </c>
      <c r="F1211">
        <v>4</v>
      </c>
      <c r="G1211">
        <v>0</v>
      </c>
      <c r="H1211">
        <v>26</v>
      </c>
      <c r="I1211">
        <v>5</v>
      </c>
      <c r="J1211">
        <v>2017</v>
      </c>
      <c r="K1211">
        <v>4</v>
      </c>
      <c r="L1211">
        <v>276</v>
      </c>
      <c r="M1211" t="s">
        <v>17</v>
      </c>
      <c r="N1211">
        <f t="shared" si="54"/>
        <v>72.19</v>
      </c>
      <c r="O1211" t="str">
        <f t="shared" si="55"/>
        <v>April</v>
      </c>
      <c r="P1211" t="str">
        <f t="shared" si="56"/>
        <v>Weekday</v>
      </c>
    </row>
    <row r="1212" spans="1:16" x14ac:dyDescent="0.3">
      <c r="A1212" s="1">
        <v>42851</v>
      </c>
      <c r="B1212">
        <v>3</v>
      </c>
      <c r="C1212">
        <v>4</v>
      </c>
      <c r="D1212">
        <v>3.5</v>
      </c>
      <c r="E1212">
        <v>10.199999999999999</v>
      </c>
      <c r="F1212">
        <v>3</v>
      </c>
      <c r="G1212">
        <v>0</v>
      </c>
      <c r="H1212">
        <v>1</v>
      </c>
      <c r="I1212">
        <v>8.3000000000000007</v>
      </c>
      <c r="J1212">
        <v>2017</v>
      </c>
      <c r="K1212">
        <v>4</v>
      </c>
      <c r="L1212">
        <v>276</v>
      </c>
      <c r="M1212" t="s">
        <v>18</v>
      </c>
      <c r="N1212">
        <f t="shared" si="54"/>
        <v>33</v>
      </c>
      <c r="O1212" t="str">
        <f t="shared" si="55"/>
        <v>April</v>
      </c>
      <c r="P1212" t="str">
        <f t="shared" si="56"/>
        <v>Weekday</v>
      </c>
    </row>
    <row r="1213" spans="1:16" x14ac:dyDescent="0.3">
      <c r="A1213" s="1">
        <v>42852</v>
      </c>
      <c r="B1213">
        <v>3.33</v>
      </c>
      <c r="C1213">
        <v>3.7370000000000001</v>
      </c>
      <c r="D1213">
        <v>2.2999999999999998</v>
      </c>
      <c r="E1213">
        <v>11</v>
      </c>
      <c r="F1213">
        <v>10</v>
      </c>
      <c r="G1213">
        <v>1</v>
      </c>
      <c r="H1213">
        <v>0</v>
      </c>
      <c r="I1213">
        <v>10</v>
      </c>
      <c r="J1213">
        <v>2017</v>
      </c>
      <c r="K1213">
        <v>4</v>
      </c>
      <c r="L1213">
        <v>276</v>
      </c>
      <c r="M1213" t="s">
        <v>12</v>
      </c>
      <c r="N1213">
        <f t="shared" si="54"/>
        <v>41.367000000000004</v>
      </c>
      <c r="O1213" t="str">
        <f t="shared" si="55"/>
        <v>April</v>
      </c>
      <c r="P1213" t="str">
        <f t="shared" si="56"/>
        <v>Weekday</v>
      </c>
    </row>
    <row r="1214" spans="1:16" x14ac:dyDescent="0.3">
      <c r="A1214" s="1">
        <v>42853</v>
      </c>
      <c r="B1214">
        <v>3.33</v>
      </c>
      <c r="C1214">
        <v>3.67</v>
      </c>
      <c r="D1214">
        <v>5.0999999999999996</v>
      </c>
      <c r="E1214">
        <v>15.4</v>
      </c>
      <c r="F1214">
        <v>2</v>
      </c>
      <c r="G1214">
        <v>0</v>
      </c>
      <c r="H1214">
        <v>7</v>
      </c>
      <c r="I1214">
        <v>7</v>
      </c>
      <c r="J1214">
        <v>2017</v>
      </c>
      <c r="K1214">
        <v>4</v>
      </c>
      <c r="L1214">
        <v>276</v>
      </c>
      <c r="M1214" t="s">
        <v>13</v>
      </c>
      <c r="N1214">
        <f t="shared" si="54"/>
        <v>43.5</v>
      </c>
      <c r="O1214" t="str">
        <f t="shared" si="55"/>
        <v>April</v>
      </c>
      <c r="P1214" t="str">
        <f t="shared" si="56"/>
        <v>Weekday</v>
      </c>
    </row>
    <row r="1215" spans="1:16" x14ac:dyDescent="0.3">
      <c r="A1215" s="1">
        <v>42854</v>
      </c>
      <c r="B1215">
        <v>5</v>
      </c>
      <c r="C1215">
        <v>9</v>
      </c>
      <c r="D1215">
        <v>2.2999999999999998</v>
      </c>
      <c r="E1215">
        <v>15</v>
      </c>
      <c r="F1215">
        <v>3</v>
      </c>
      <c r="G1215">
        <v>1</v>
      </c>
      <c r="H1215">
        <v>1</v>
      </c>
      <c r="I1215">
        <v>8</v>
      </c>
      <c r="J1215">
        <v>2017</v>
      </c>
      <c r="K1215">
        <v>4</v>
      </c>
      <c r="L1215">
        <v>276</v>
      </c>
      <c r="M1215" t="s">
        <v>14</v>
      </c>
      <c r="N1215">
        <f t="shared" si="54"/>
        <v>44.3</v>
      </c>
      <c r="O1215" t="str">
        <f t="shared" si="55"/>
        <v>April</v>
      </c>
      <c r="P1215" t="str">
        <f t="shared" si="56"/>
        <v>Weekend</v>
      </c>
    </row>
    <row r="1216" spans="1:16" x14ac:dyDescent="0.3">
      <c r="A1216" s="1">
        <v>42855</v>
      </c>
      <c r="B1216">
        <v>1</v>
      </c>
      <c r="C1216">
        <v>4.0460000000000003</v>
      </c>
      <c r="D1216">
        <v>2.2999999999999998</v>
      </c>
      <c r="E1216">
        <v>18</v>
      </c>
      <c r="F1216">
        <v>2</v>
      </c>
      <c r="G1216">
        <v>0</v>
      </c>
      <c r="H1216">
        <v>12</v>
      </c>
      <c r="I1216">
        <v>2</v>
      </c>
      <c r="J1216">
        <v>2017</v>
      </c>
      <c r="K1216">
        <v>4</v>
      </c>
      <c r="L1216">
        <v>276</v>
      </c>
      <c r="M1216" t="s">
        <v>15</v>
      </c>
      <c r="N1216">
        <f t="shared" si="54"/>
        <v>41.346000000000004</v>
      </c>
      <c r="O1216" t="str">
        <f t="shared" si="55"/>
        <v>April</v>
      </c>
      <c r="P1216" t="str">
        <f t="shared" si="56"/>
        <v>Weekend</v>
      </c>
    </row>
    <row r="1217" spans="1:16" x14ac:dyDescent="0.3">
      <c r="A1217" s="1">
        <v>42856</v>
      </c>
      <c r="B1217">
        <v>0.34</v>
      </c>
      <c r="C1217">
        <v>1</v>
      </c>
      <c r="D1217">
        <v>1</v>
      </c>
      <c r="E1217">
        <v>1.2</v>
      </c>
      <c r="F1217">
        <v>0</v>
      </c>
      <c r="G1217">
        <v>0</v>
      </c>
      <c r="H1217">
        <v>0</v>
      </c>
      <c r="I1217">
        <v>1</v>
      </c>
      <c r="J1217">
        <v>2017</v>
      </c>
      <c r="K1217">
        <v>5</v>
      </c>
      <c r="L1217">
        <v>276</v>
      </c>
      <c r="M1217" t="s">
        <v>16</v>
      </c>
      <c r="N1217">
        <f t="shared" si="54"/>
        <v>4.54</v>
      </c>
      <c r="O1217" t="str">
        <f t="shared" si="55"/>
        <v>May</v>
      </c>
      <c r="P1217" t="str">
        <f t="shared" si="56"/>
        <v>Weekday</v>
      </c>
    </row>
    <row r="1218" spans="1:16" x14ac:dyDescent="0.3">
      <c r="A1218" s="1">
        <v>42857</v>
      </c>
      <c r="B1218">
        <v>2</v>
      </c>
      <c r="C1218">
        <v>6.0330000000000004</v>
      </c>
      <c r="D1218">
        <v>1</v>
      </c>
      <c r="E1218">
        <v>23</v>
      </c>
      <c r="F1218">
        <v>5</v>
      </c>
      <c r="G1218">
        <v>0</v>
      </c>
      <c r="H1218">
        <v>6</v>
      </c>
      <c r="I1218">
        <v>5</v>
      </c>
      <c r="J1218">
        <v>2017</v>
      </c>
      <c r="K1218">
        <v>5</v>
      </c>
      <c r="L1218">
        <v>276</v>
      </c>
      <c r="M1218" t="s">
        <v>17</v>
      </c>
      <c r="N1218">
        <f t="shared" si="54"/>
        <v>48.033000000000001</v>
      </c>
      <c r="O1218" t="str">
        <f t="shared" si="55"/>
        <v>May</v>
      </c>
      <c r="P1218" t="str">
        <f t="shared" si="56"/>
        <v>Weekday</v>
      </c>
    </row>
    <row r="1219" spans="1:16" x14ac:dyDescent="0.3">
      <c r="A1219" s="1">
        <v>42858</v>
      </c>
      <c r="B1219">
        <v>1.33</v>
      </c>
      <c r="C1219">
        <v>3.34</v>
      </c>
      <c r="D1219">
        <v>6</v>
      </c>
      <c r="E1219">
        <v>18.2</v>
      </c>
      <c r="F1219">
        <v>6</v>
      </c>
      <c r="G1219">
        <v>0</v>
      </c>
      <c r="H1219">
        <v>20</v>
      </c>
      <c r="I1219">
        <v>2</v>
      </c>
      <c r="J1219">
        <v>2017</v>
      </c>
      <c r="K1219">
        <v>5</v>
      </c>
      <c r="L1219">
        <v>276</v>
      </c>
      <c r="M1219" t="s">
        <v>18</v>
      </c>
      <c r="N1219">
        <f t="shared" ref="N1219:N1282" si="57">SUM(B1219:I1219)</f>
        <v>56.87</v>
      </c>
      <c r="O1219" t="str">
        <f t="shared" ref="O1219:O1282" si="58">TEXT(A1219,"mmmm")</f>
        <v>May</v>
      </c>
      <c r="P1219" t="str">
        <f t="shared" ref="P1219:P1282" si="59">IF(OR(M1219="Saturday",M1219="Sunday"),"Weekend","Weekday")</f>
        <v>Weekday</v>
      </c>
    </row>
    <row r="1220" spans="1:16" x14ac:dyDescent="0.3">
      <c r="A1220" s="1">
        <v>42859</v>
      </c>
      <c r="B1220">
        <v>5.67</v>
      </c>
      <c r="C1220">
        <v>5.66</v>
      </c>
      <c r="D1220">
        <v>1</v>
      </c>
      <c r="E1220">
        <v>11.6</v>
      </c>
      <c r="F1220">
        <v>4</v>
      </c>
      <c r="G1220">
        <v>0</v>
      </c>
      <c r="H1220">
        <v>2</v>
      </c>
      <c r="I1220">
        <v>4.0999999999999996</v>
      </c>
      <c r="J1220">
        <v>2017</v>
      </c>
      <c r="K1220">
        <v>5</v>
      </c>
      <c r="L1220">
        <v>276</v>
      </c>
      <c r="M1220" t="s">
        <v>12</v>
      </c>
      <c r="N1220">
        <f t="shared" si="57"/>
        <v>34.03</v>
      </c>
      <c r="O1220" t="str">
        <f t="shared" si="58"/>
        <v>May</v>
      </c>
      <c r="P1220" t="str">
        <f t="shared" si="59"/>
        <v>Weekday</v>
      </c>
    </row>
    <row r="1221" spans="1:16" x14ac:dyDescent="0.3">
      <c r="A1221" s="1">
        <v>42860</v>
      </c>
      <c r="B1221">
        <v>2.34</v>
      </c>
      <c r="C1221">
        <v>5.33</v>
      </c>
      <c r="D1221">
        <v>1.1499999999999999</v>
      </c>
      <c r="E1221">
        <v>6.6</v>
      </c>
      <c r="F1221">
        <v>8</v>
      </c>
      <c r="G1221">
        <v>0</v>
      </c>
      <c r="H1221">
        <v>12</v>
      </c>
      <c r="I1221">
        <v>3</v>
      </c>
      <c r="J1221">
        <v>2017</v>
      </c>
      <c r="K1221">
        <v>5</v>
      </c>
      <c r="L1221">
        <v>276</v>
      </c>
      <c r="M1221" t="s">
        <v>13</v>
      </c>
      <c r="N1221">
        <f t="shared" si="57"/>
        <v>38.42</v>
      </c>
      <c r="O1221" t="str">
        <f t="shared" si="58"/>
        <v>May</v>
      </c>
      <c r="P1221" t="str">
        <f t="shared" si="59"/>
        <v>Weekday</v>
      </c>
    </row>
    <row r="1222" spans="1:16" x14ac:dyDescent="0.3">
      <c r="A1222" s="1">
        <v>42861</v>
      </c>
      <c r="B1222">
        <v>7.33</v>
      </c>
      <c r="C1222">
        <v>2.363</v>
      </c>
      <c r="D1222">
        <v>4.4000000000000004</v>
      </c>
      <c r="E1222">
        <v>14</v>
      </c>
      <c r="F1222">
        <v>4</v>
      </c>
      <c r="G1222">
        <v>0</v>
      </c>
      <c r="H1222">
        <v>0</v>
      </c>
      <c r="I1222">
        <v>6</v>
      </c>
      <c r="J1222">
        <v>2017</v>
      </c>
      <c r="K1222">
        <v>5</v>
      </c>
      <c r="L1222">
        <v>276</v>
      </c>
      <c r="M1222" t="s">
        <v>14</v>
      </c>
      <c r="N1222">
        <f t="shared" si="57"/>
        <v>38.093000000000004</v>
      </c>
      <c r="O1222" t="str">
        <f t="shared" si="58"/>
        <v>May</v>
      </c>
      <c r="P1222" t="str">
        <f t="shared" si="59"/>
        <v>Weekend</v>
      </c>
    </row>
    <row r="1223" spans="1:16" x14ac:dyDescent="0.3">
      <c r="A1223" s="1">
        <v>42862</v>
      </c>
      <c r="B1223">
        <v>6.33</v>
      </c>
      <c r="C1223">
        <v>3.67</v>
      </c>
      <c r="D1223">
        <v>4.5</v>
      </c>
      <c r="E1223">
        <v>18.25</v>
      </c>
      <c r="F1223">
        <v>3</v>
      </c>
      <c r="G1223">
        <v>0</v>
      </c>
      <c r="H1223">
        <v>4</v>
      </c>
      <c r="I1223">
        <v>4</v>
      </c>
      <c r="J1223">
        <v>2017</v>
      </c>
      <c r="K1223">
        <v>5</v>
      </c>
      <c r="L1223">
        <v>276</v>
      </c>
      <c r="M1223" t="s">
        <v>15</v>
      </c>
      <c r="N1223">
        <f t="shared" si="57"/>
        <v>43.75</v>
      </c>
      <c r="O1223" t="str">
        <f t="shared" si="58"/>
        <v>May</v>
      </c>
      <c r="P1223" t="str">
        <f t="shared" si="59"/>
        <v>Weekend</v>
      </c>
    </row>
    <row r="1224" spans="1:16" x14ac:dyDescent="0.3">
      <c r="A1224" s="1">
        <v>42863</v>
      </c>
      <c r="B1224">
        <v>2.33</v>
      </c>
      <c r="C1224">
        <v>3.66</v>
      </c>
      <c r="D1224">
        <v>1</v>
      </c>
      <c r="E1224">
        <v>8</v>
      </c>
      <c r="F1224">
        <v>8</v>
      </c>
      <c r="G1224">
        <v>3</v>
      </c>
      <c r="H1224">
        <v>1</v>
      </c>
      <c r="I1224">
        <v>5.6</v>
      </c>
      <c r="J1224">
        <v>2017</v>
      </c>
      <c r="K1224">
        <v>5</v>
      </c>
      <c r="L1224">
        <v>276</v>
      </c>
      <c r="M1224" t="s">
        <v>16</v>
      </c>
      <c r="N1224">
        <f t="shared" si="57"/>
        <v>32.590000000000003</v>
      </c>
      <c r="O1224" t="str">
        <f t="shared" si="58"/>
        <v>May</v>
      </c>
      <c r="P1224" t="str">
        <f t="shared" si="59"/>
        <v>Weekday</v>
      </c>
    </row>
    <row r="1225" spans="1:16" x14ac:dyDescent="0.3">
      <c r="A1225" s="1">
        <v>42864</v>
      </c>
      <c r="B1225">
        <v>7.33</v>
      </c>
      <c r="C1225">
        <v>4</v>
      </c>
      <c r="D1225">
        <v>4.0999999999999996</v>
      </c>
      <c r="E1225">
        <v>11</v>
      </c>
      <c r="F1225">
        <v>4</v>
      </c>
      <c r="G1225">
        <v>0</v>
      </c>
      <c r="H1225">
        <v>2</v>
      </c>
      <c r="I1225">
        <v>3</v>
      </c>
      <c r="J1225">
        <v>2017</v>
      </c>
      <c r="K1225">
        <v>5</v>
      </c>
      <c r="L1225">
        <v>276</v>
      </c>
      <c r="M1225" t="s">
        <v>17</v>
      </c>
      <c r="N1225">
        <f t="shared" si="57"/>
        <v>35.43</v>
      </c>
      <c r="O1225" t="str">
        <f t="shared" si="58"/>
        <v>May</v>
      </c>
      <c r="P1225" t="str">
        <f t="shared" si="59"/>
        <v>Weekday</v>
      </c>
    </row>
    <row r="1226" spans="1:16" x14ac:dyDescent="0.3">
      <c r="A1226" s="1">
        <v>42865</v>
      </c>
      <c r="B1226">
        <v>8.66</v>
      </c>
      <c r="C1226">
        <v>0.39700000000000002</v>
      </c>
      <c r="D1226">
        <v>9</v>
      </c>
      <c r="E1226">
        <v>15</v>
      </c>
      <c r="F1226">
        <v>4</v>
      </c>
      <c r="G1226">
        <v>0</v>
      </c>
      <c r="H1226">
        <v>14</v>
      </c>
      <c r="I1226">
        <v>7</v>
      </c>
      <c r="J1226">
        <v>2017</v>
      </c>
      <c r="K1226">
        <v>5</v>
      </c>
      <c r="L1226">
        <v>276</v>
      </c>
      <c r="M1226" t="s">
        <v>18</v>
      </c>
      <c r="N1226">
        <f t="shared" si="57"/>
        <v>58.057000000000002</v>
      </c>
      <c r="O1226" t="str">
        <f t="shared" si="58"/>
        <v>May</v>
      </c>
      <c r="P1226" t="str">
        <f t="shared" si="59"/>
        <v>Weekday</v>
      </c>
    </row>
    <row r="1227" spans="1:16" x14ac:dyDescent="0.3">
      <c r="A1227" s="1">
        <v>42866</v>
      </c>
      <c r="B1227">
        <v>6</v>
      </c>
      <c r="C1227">
        <v>6.6929999999999996</v>
      </c>
      <c r="D1227">
        <v>3</v>
      </c>
      <c r="E1227">
        <v>16</v>
      </c>
      <c r="F1227">
        <v>6</v>
      </c>
      <c r="G1227">
        <v>2</v>
      </c>
      <c r="H1227">
        <v>1</v>
      </c>
      <c r="I1227">
        <v>10</v>
      </c>
      <c r="J1227">
        <v>2017</v>
      </c>
      <c r="K1227">
        <v>5</v>
      </c>
      <c r="L1227">
        <v>276</v>
      </c>
      <c r="M1227" t="s">
        <v>12</v>
      </c>
      <c r="N1227">
        <f t="shared" si="57"/>
        <v>50.692999999999998</v>
      </c>
      <c r="O1227" t="str">
        <f t="shared" si="58"/>
        <v>May</v>
      </c>
      <c r="P1227" t="str">
        <f t="shared" si="59"/>
        <v>Weekday</v>
      </c>
    </row>
    <row r="1228" spans="1:16" x14ac:dyDescent="0.3">
      <c r="A1228" s="1">
        <v>42867</v>
      </c>
      <c r="B1228">
        <v>4.99</v>
      </c>
      <c r="C1228">
        <v>4.7030000000000003</v>
      </c>
      <c r="D1228">
        <v>6</v>
      </c>
      <c r="E1228">
        <v>16.399999999999999</v>
      </c>
      <c r="F1228">
        <v>4</v>
      </c>
      <c r="G1228">
        <v>9</v>
      </c>
      <c r="H1228">
        <v>0</v>
      </c>
      <c r="I1228">
        <v>6</v>
      </c>
      <c r="J1228">
        <v>2017</v>
      </c>
      <c r="K1228">
        <v>5</v>
      </c>
      <c r="L1228">
        <v>276</v>
      </c>
      <c r="M1228" t="s">
        <v>13</v>
      </c>
      <c r="N1228">
        <f t="shared" si="57"/>
        <v>51.093000000000004</v>
      </c>
      <c r="O1228" t="str">
        <f t="shared" si="58"/>
        <v>May</v>
      </c>
      <c r="P1228" t="str">
        <f t="shared" si="59"/>
        <v>Weekday</v>
      </c>
    </row>
    <row r="1229" spans="1:16" x14ac:dyDescent="0.3">
      <c r="A1229" s="1">
        <v>42868</v>
      </c>
      <c r="B1229">
        <v>5</v>
      </c>
      <c r="C1229">
        <v>2.363</v>
      </c>
      <c r="D1229">
        <v>6</v>
      </c>
      <c r="E1229">
        <v>12</v>
      </c>
      <c r="F1229">
        <v>4</v>
      </c>
      <c r="G1229">
        <v>0</v>
      </c>
      <c r="H1229">
        <v>1</v>
      </c>
      <c r="I1229">
        <v>7</v>
      </c>
      <c r="J1229">
        <v>2017</v>
      </c>
      <c r="K1229">
        <v>5</v>
      </c>
      <c r="L1229">
        <v>276</v>
      </c>
      <c r="M1229" t="s">
        <v>14</v>
      </c>
      <c r="N1229">
        <f t="shared" si="57"/>
        <v>37.363</v>
      </c>
      <c r="O1229" t="str">
        <f t="shared" si="58"/>
        <v>May</v>
      </c>
      <c r="P1229" t="str">
        <f t="shared" si="59"/>
        <v>Weekend</v>
      </c>
    </row>
    <row r="1230" spans="1:16" x14ac:dyDescent="0.3">
      <c r="A1230" s="1">
        <v>42869</v>
      </c>
      <c r="B1230">
        <v>4.67</v>
      </c>
      <c r="C1230">
        <v>2.0760000000000001</v>
      </c>
      <c r="D1230">
        <v>2.85</v>
      </c>
      <c r="E1230">
        <v>31.5</v>
      </c>
      <c r="F1230">
        <v>6</v>
      </c>
      <c r="G1230">
        <v>0</v>
      </c>
      <c r="H1230">
        <v>5</v>
      </c>
      <c r="I1230">
        <v>2.1</v>
      </c>
      <c r="J1230">
        <v>2017</v>
      </c>
      <c r="K1230">
        <v>5</v>
      </c>
      <c r="L1230">
        <v>276</v>
      </c>
      <c r="M1230" t="s">
        <v>15</v>
      </c>
      <c r="N1230">
        <f t="shared" si="57"/>
        <v>54.196000000000005</v>
      </c>
      <c r="O1230" t="str">
        <f t="shared" si="58"/>
        <v>May</v>
      </c>
      <c r="P1230" t="str">
        <f t="shared" si="59"/>
        <v>Weekend</v>
      </c>
    </row>
    <row r="1231" spans="1:16" x14ac:dyDescent="0.3">
      <c r="A1231" s="1">
        <v>42870</v>
      </c>
      <c r="B1231">
        <v>5.34</v>
      </c>
      <c r="C1231">
        <v>4.7030000000000003</v>
      </c>
      <c r="D1231">
        <v>2</v>
      </c>
      <c r="E1231">
        <v>17</v>
      </c>
      <c r="F1231">
        <v>0</v>
      </c>
      <c r="G1231">
        <v>3</v>
      </c>
      <c r="H1231">
        <v>3</v>
      </c>
      <c r="I1231">
        <v>7</v>
      </c>
      <c r="J1231">
        <v>2017</v>
      </c>
      <c r="K1231">
        <v>5</v>
      </c>
      <c r="L1231">
        <v>276</v>
      </c>
      <c r="M1231" t="s">
        <v>16</v>
      </c>
      <c r="N1231">
        <f t="shared" si="57"/>
        <v>42.042999999999999</v>
      </c>
      <c r="O1231" t="str">
        <f t="shared" si="58"/>
        <v>May</v>
      </c>
      <c r="P1231" t="str">
        <f t="shared" si="59"/>
        <v>Weekday</v>
      </c>
    </row>
    <row r="1232" spans="1:16" x14ac:dyDescent="0.3">
      <c r="A1232" s="1">
        <v>42871</v>
      </c>
      <c r="B1232">
        <v>2.33</v>
      </c>
      <c r="C1232">
        <v>5.66</v>
      </c>
      <c r="D1232">
        <v>1.5</v>
      </c>
      <c r="E1232">
        <v>16.2</v>
      </c>
      <c r="F1232">
        <v>2</v>
      </c>
      <c r="G1232">
        <v>0</v>
      </c>
      <c r="H1232">
        <v>6</v>
      </c>
      <c r="I1232">
        <v>7</v>
      </c>
      <c r="J1232">
        <v>2017</v>
      </c>
      <c r="K1232">
        <v>5</v>
      </c>
      <c r="L1232">
        <v>276</v>
      </c>
      <c r="M1232" t="s">
        <v>17</v>
      </c>
      <c r="N1232">
        <f t="shared" si="57"/>
        <v>40.69</v>
      </c>
      <c r="O1232" t="str">
        <f t="shared" si="58"/>
        <v>May</v>
      </c>
      <c r="P1232" t="str">
        <f t="shared" si="59"/>
        <v>Weekday</v>
      </c>
    </row>
    <row r="1233" spans="1:16" x14ac:dyDescent="0.3">
      <c r="A1233" s="1">
        <v>42872</v>
      </c>
      <c r="B1233">
        <v>6.34</v>
      </c>
      <c r="C1233">
        <v>4.84</v>
      </c>
      <c r="D1233">
        <v>0</v>
      </c>
      <c r="E1233">
        <v>9</v>
      </c>
      <c r="F1233">
        <v>5</v>
      </c>
      <c r="G1233">
        <v>0</v>
      </c>
      <c r="H1233">
        <v>0</v>
      </c>
      <c r="I1233">
        <v>2</v>
      </c>
      <c r="J1233">
        <v>2017</v>
      </c>
      <c r="K1233">
        <v>5</v>
      </c>
      <c r="L1233">
        <v>276</v>
      </c>
      <c r="M1233" t="s">
        <v>18</v>
      </c>
      <c r="N1233">
        <f t="shared" si="57"/>
        <v>27.18</v>
      </c>
      <c r="O1233" t="str">
        <f t="shared" si="58"/>
        <v>May</v>
      </c>
      <c r="P1233" t="str">
        <f t="shared" si="59"/>
        <v>Weekday</v>
      </c>
    </row>
    <row r="1234" spans="1:16" x14ac:dyDescent="0.3">
      <c r="A1234" s="1">
        <v>42873</v>
      </c>
      <c r="B1234">
        <v>3.33</v>
      </c>
      <c r="C1234">
        <v>5.01</v>
      </c>
      <c r="D1234">
        <v>4</v>
      </c>
      <c r="E1234">
        <v>28.2</v>
      </c>
      <c r="F1234">
        <v>4</v>
      </c>
      <c r="G1234">
        <v>0</v>
      </c>
      <c r="H1234">
        <v>0</v>
      </c>
      <c r="I1234">
        <v>3</v>
      </c>
      <c r="J1234">
        <v>2017</v>
      </c>
      <c r="K1234">
        <v>5</v>
      </c>
      <c r="L1234">
        <v>276</v>
      </c>
      <c r="M1234" t="s">
        <v>12</v>
      </c>
      <c r="N1234">
        <f t="shared" si="57"/>
        <v>47.54</v>
      </c>
      <c r="O1234" t="str">
        <f t="shared" si="58"/>
        <v>May</v>
      </c>
      <c r="P1234" t="str">
        <f t="shared" si="59"/>
        <v>Weekday</v>
      </c>
    </row>
    <row r="1235" spans="1:16" x14ac:dyDescent="0.3">
      <c r="A1235" s="1">
        <v>42874</v>
      </c>
      <c r="B1235">
        <v>4.34</v>
      </c>
      <c r="C1235">
        <v>3.44</v>
      </c>
      <c r="D1235">
        <v>2.2000000000000002</v>
      </c>
      <c r="E1235">
        <v>31.6</v>
      </c>
      <c r="F1235">
        <v>11</v>
      </c>
      <c r="G1235">
        <v>0</v>
      </c>
      <c r="H1235">
        <v>0</v>
      </c>
      <c r="I1235">
        <v>10</v>
      </c>
      <c r="J1235">
        <v>2017</v>
      </c>
      <c r="K1235">
        <v>5</v>
      </c>
      <c r="L1235">
        <v>276</v>
      </c>
      <c r="M1235" t="s">
        <v>13</v>
      </c>
      <c r="N1235">
        <f t="shared" si="57"/>
        <v>62.58</v>
      </c>
      <c r="O1235" t="str">
        <f t="shared" si="58"/>
        <v>May</v>
      </c>
      <c r="P1235" t="str">
        <f t="shared" si="59"/>
        <v>Weekday</v>
      </c>
    </row>
    <row r="1236" spans="1:16" x14ac:dyDescent="0.3">
      <c r="A1236" s="1">
        <v>42875</v>
      </c>
      <c r="B1236">
        <v>3.99</v>
      </c>
      <c r="C1236">
        <v>4.7130000000000001</v>
      </c>
      <c r="D1236">
        <v>0.25</v>
      </c>
      <c r="E1236">
        <v>16.399999999999999</v>
      </c>
      <c r="F1236">
        <v>5</v>
      </c>
      <c r="G1236">
        <v>0</v>
      </c>
      <c r="H1236">
        <v>6</v>
      </c>
      <c r="I1236">
        <v>6</v>
      </c>
      <c r="J1236">
        <v>2017</v>
      </c>
      <c r="K1236">
        <v>5</v>
      </c>
      <c r="L1236">
        <v>276</v>
      </c>
      <c r="M1236" t="s">
        <v>14</v>
      </c>
      <c r="N1236">
        <f t="shared" si="57"/>
        <v>42.352999999999994</v>
      </c>
      <c r="O1236" t="str">
        <f t="shared" si="58"/>
        <v>May</v>
      </c>
      <c r="P1236" t="str">
        <f t="shared" si="59"/>
        <v>Weekend</v>
      </c>
    </row>
    <row r="1237" spans="1:16" x14ac:dyDescent="0.3">
      <c r="A1237" s="1">
        <v>42876</v>
      </c>
      <c r="B1237">
        <v>6</v>
      </c>
      <c r="C1237">
        <v>3.0430000000000001</v>
      </c>
      <c r="D1237">
        <v>1.25</v>
      </c>
      <c r="E1237">
        <v>32.200000000000003</v>
      </c>
      <c r="F1237">
        <v>5</v>
      </c>
      <c r="G1237">
        <v>0</v>
      </c>
      <c r="H1237">
        <v>12</v>
      </c>
      <c r="I1237">
        <v>4</v>
      </c>
      <c r="J1237">
        <v>2017</v>
      </c>
      <c r="K1237">
        <v>5</v>
      </c>
      <c r="L1237">
        <v>276</v>
      </c>
      <c r="M1237" t="s">
        <v>15</v>
      </c>
      <c r="N1237">
        <f t="shared" si="57"/>
        <v>63.493000000000002</v>
      </c>
      <c r="O1237" t="str">
        <f t="shared" si="58"/>
        <v>May</v>
      </c>
      <c r="P1237" t="str">
        <f t="shared" si="59"/>
        <v>Weekend</v>
      </c>
    </row>
    <row r="1238" spans="1:16" x14ac:dyDescent="0.3">
      <c r="A1238" s="1">
        <v>42877</v>
      </c>
      <c r="B1238">
        <v>5.33</v>
      </c>
      <c r="C1238">
        <v>1.34</v>
      </c>
      <c r="D1238">
        <v>4.4000000000000004</v>
      </c>
      <c r="E1238">
        <v>22.4</v>
      </c>
      <c r="F1238">
        <v>5</v>
      </c>
      <c r="G1238">
        <v>0</v>
      </c>
      <c r="H1238">
        <v>7</v>
      </c>
      <c r="I1238">
        <v>11</v>
      </c>
      <c r="J1238">
        <v>2017</v>
      </c>
      <c r="K1238">
        <v>5</v>
      </c>
      <c r="L1238">
        <v>276</v>
      </c>
      <c r="M1238" t="s">
        <v>16</v>
      </c>
      <c r="N1238">
        <f t="shared" si="57"/>
        <v>56.47</v>
      </c>
      <c r="O1238" t="str">
        <f t="shared" si="58"/>
        <v>May</v>
      </c>
      <c r="P1238" t="str">
        <f t="shared" si="59"/>
        <v>Weekday</v>
      </c>
    </row>
    <row r="1239" spans="1:16" x14ac:dyDescent="0.3">
      <c r="A1239" s="1">
        <v>42878</v>
      </c>
      <c r="B1239">
        <v>3</v>
      </c>
      <c r="C1239">
        <v>2.4060000000000001</v>
      </c>
      <c r="D1239">
        <v>5</v>
      </c>
      <c r="E1239">
        <v>11</v>
      </c>
      <c r="F1239">
        <v>9</v>
      </c>
      <c r="G1239">
        <v>0</v>
      </c>
      <c r="H1239">
        <v>2</v>
      </c>
      <c r="I1239">
        <v>7</v>
      </c>
      <c r="J1239">
        <v>2017</v>
      </c>
      <c r="K1239">
        <v>5</v>
      </c>
      <c r="L1239">
        <v>276</v>
      </c>
      <c r="M1239" t="s">
        <v>17</v>
      </c>
      <c r="N1239">
        <f t="shared" si="57"/>
        <v>39.405999999999999</v>
      </c>
      <c r="O1239" t="str">
        <f t="shared" si="58"/>
        <v>May</v>
      </c>
      <c r="P1239" t="str">
        <f t="shared" si="59"/>
        <v>Weekday</v>
      </c>
    </row>
    <row r="1240" spans="1:16" x14ac:dyDescent="0.3">
      <c r="A1240" s="1">
        <v>42879</v>
      </c>
      <c r="B1240">
        <v>6.68</v>
      </c>
      <c r="C1240">
        <v>3.34</v>
      </c>
      <c r="D1240">
        <v>3</v>
      </c>
      <c r="E1240">
        <v>14.2</v>
      </c>
      <c r="F1240">
        <v>9</v>
      </c>
      <c r="G1240">
        <v>0</v>
      </c>
      <c r="H1240">
        <v>4</v>
      </c>
      <c r="I1240">
        <v>4.71</v>
      </c>
      <c r="J1240">
        <v>2017</v>
      </c>
      <c r="K1240">
        <v>5</v>
      </c>
      <c r="L1240">
        <v>276</v>
      </c>
      <c r="M1240" t="s">
        <v>18</v>
      </c>
      <c r="N1240">
        <f t="shared" si="57"/>
        <v>44.93</v>
      </c>
      <c r="O1240" t="str">
        <f t="shared" si="58"/>
        <v>May</v>
      </c>
      <c r="P1240" t="str">
        <f t="shared" si="59"/>
        <v>Weekday</v>
      </c>
    </row>
    <row r="1241" spans="1:16" x14ac:dyDescent="0.3">
      <c r="A1241" s="1">
        <v>42880</v>
      </c>
      <c r="B1241">
        <v>5.66</v>
      </c>
      <c r="C1241">
        <v>5.36</v>
      </c>
      <c r="D1241">
        <v>2</v>
      </c>
      <c r="E1241">
        <v>18.2</v>
      </c>
      <c r="F1241">
        <v>3</v>
      </c>
      <c r="G1241">
        <v>0</v>
      </c>
      <c r="H1241">
        <v>2</v>
      </c>
      <c r="I1241">
        <v>4.3</v>
      </c>
      <c r="J1241">
        <v>2017</v>
      </c>
      <c r="K1241">
        <v>5</v>
      </c>
      <c r="L1241">
        <v>276</v>
      </c>
      <c r="M1241" t="s">
        <v>12</v>
      </c>
      <c r="N1241">
        <f t="shared" si="57"/>
        <v>40.519999999999996</v>
      </c>
      <c r="O1241" t="str">
        <f t="shared" si="58"/>
        <v>May</v>
      </c>
      <c r="P1241" t="str">
        <f t="shared" si="59"/>
        <v>Weekday</v>
      </c>
    </row>
    <row r="1242" spans="1:16" x14ac:dyDescent="0.3">
      <c r="A1242" s="1">
        <v>42881</v>
      </c>
      <c r="B1242">
        <v>2.34</v>
      </c>
      <c r="C1242">
        <v>3.67</v>
      </c>
      <c r="D1242">
        <v>5</v>
      </c>
      <c r="E1242">
        <v>29</v>
      </c>
      <c r="F1242">
        <v>4</v>
      </c>
      <c r="G1242">
        <v>0</v>
      </c>
      <c r="H1242">
        <v>8</v>
      </c>
      <c r="I1242">
        <v>2</v>
      </c>
      <c r="J1242">
        <v>2017</v>
      </c>
      <c r="K1242">
        <v>5</v>
      </c>
      <c r="L1242">
        <v>276</v>
      </c>
      <c r="M1242" t="s">
        <v>13</v>
      </c>
      <c r="N1242">
        <f t="shared" si="57"/>
        <v>54.01</v>
      </c>
      <c r="O1242" t="str">
        <f t="shared" si="58"/>
        <v>May</v>
      </c>
      <c r="P1242" t="str">
        <f t="shared" si="59"/>
        <v>Weekday</v>
      </c>
    </row>
    <row r="1243" spans="1:16" x14ac:dyDescent="0.3">
      <c r="A1243" s="1">
        <v>42882</v>
      </c>
      <c r="B1243">
        <v>7.33</v>
      </c>
      <c r="C1243">
        <v>3.2210000000000001</v>
      </c>
      <c r="D1243">
        <v>2</v>
      </c>
      <c r="E1243">
        <v>23.4</v>
      </c>
      <c r="F1243">
        <v>5</v>
      </c>
      <c r="G1243">
        <v>0</v>
      </c>
      <c r="H1243">
        <v>0</v>
      </c>
      <c r="I1243">
        <v>10</v>
      </c>
      <c r="J1243">
        <v>2017</v>
      </c>
      <c r="K1243">
        <v>5</v>
      </c>
      <c r="L1243">
        <v>276</v>
      </c>
      <c r="M1243" t="s">
        <v>14</v>
      </c>
      <c r="N1243">
        <f t="shared" si="57"/>
        <v>50.951000000000001</v>
      </c>
      <c r="O1243" t="str">
        <f t="shared" si="58"/>
        <v>May</v>
      </c>
      <c r="P1243" t="str">
        <f t="shared" si="59"/>
        <v>Weekend</v>
      </c>
    </row>
    <row r="1244" spans="1:16" x14ac:dyDescent="0.3">
      <c r="A1244" s="1">
        <v>42883</v>
      </c>
      <c r="B1244">
        <v>1.99</v>
      </c>
      <c r="C1244">
        <v>6.2430000000000003</v>
      </c>
      <c r="D1244">
        <v>2.4500000000000002</v>
      </c>
      <c r="E1244">
        <v>11.19</v>
      </c>
      <c r="F1244">
        <v>2</v>
      </c>
      <c r="G1244">
        <v>0</v>
      </c>
      <c r="H1244">
        <v>0</v>
      </c>
      <c r="I1244">
        <v>3</v>
      </c>
      <c r="J1244">
        <v>2017</v>
      </c>
      <c r="K1244">
        <v>5</v>
      </c>
      <c r="L1244">
        <v>276</v>
      </c>
      <c r="M1244" t="s">
        <v>15</v>
      </c>
      <c r="N1244">
        <f t="shared" si="57"/>
        <v>26.872999999999998</v>
      </c>
      <c r="O1244" t="str">
        <f t="shared" si="58"/>
        <v>May</v>
      </c>
      <c r="P1244" t="str">
        <f t="shared" si="59"/>
        <v>Weekend</v>
      </c>
    </row>
    <row r="1245" spans="1:16" x14ac:dyDescent="0.3">
      <c r="A1245" s="1">
        <v>42884</v>
      </c>
      <c r="B1245">
        <v>3.34</v>
      </c>
      <c r="C1245">
        <v>4.0229999999999997</v>
      </c>
      <c r="D1245">
        <v>1.6</v>
      </c>
      <c r="E1245">
        <v>28</v>
      </c>
      <c r="F1245">
        <v>4</v>
      </c>
      <c r="G1245">
        <v>2</v>
      </c>
      <c r="H1245">
        <v>4</v>
      </c>
      <c r="I1245">
        <v>5</v>
      </c>
      <c r="J1245">
        <v>2017</v>
      </c>
      <c r="K1245">
        <v>5</v>
      </c>
      <c r="L1245">
        <v>276</v>
      </c>
      <c r="M1245" t="s">
        <v>16</v>
      </c>
      <c r="N1245">
        <f t="shared" si="57"/>
        <v>51.963000000000001</v>
      </c>
      <c r="O1245" t="str">
        <f t="shared" si="58"/>
        <v>May</v>
      </c>
      <c r="P1245" t="str">
        <f t="shared" si="59"/>
        <v>Weekday</v>
      </c>
    </row>
    <row r="1246" spans="1:16" x14ac:dyDescent="0.3">
      <c r="A1246" s="1">
        <v>42885</v>
      </c>
      <c r="B1246">
        <v>8</v>
      </c>
      <c r="C1246">
        <v>3.3959999999999999</v>
      </c>
      <c r="D1246">
        <v>4.3</v>
      </c>
      <c r="E1246">
        <v>25</v>
      </c>
      <c r="F1246">
        <v>3</v>
      </c>
      <c r="G1246">
        <v>0</v>
      </c>
      <c r="H1246">
        <v>5</v>
      </c>
      <c r="I1246">
        <v>5</v>
      </c>
      <c r="J1246">
        <v>2017</v>
      </c>
      <c r="K1246">
        <v>5</v>
      </c>
      <c r="L1246">
        <v>276</v>
      </c>
      <c r="M1246" t="s">
        <v>17</v>
      </c>
      <c r="N1246">
        <f t="shared" si="57"/>
        <v>53.695999999999998</v>
      </c>
      <c r="O1246" t="str">
        <f t="shared" si="58"/>
        <v>May</v>
      </c>
      <c r="P1246" t="str">
        <f t="shared" si="59"/>
        <v>Weekday</v>
      </c>
    </row>
    <row r="1247" spans="1:16" x14ac:dyDescent="0.3">
      <c r="A1247" s="1">
        <v>42886</v>
      </c>
      <c r="B1247">
        <v>4</v>
      </c>
      <c r="C1247">
        <v>2.4289999999999998</v>
      </c>
      <c r="D1247">
        <v>7</v>
      </c>
      <c r="E1247">
        <v>12.2</v>
      </c>
      <c r="F1247">
        <v>6</v>
      </c>
      <c r="G1247">
        <v>4</v>
      </c>
      <c r="H1247">
        <v>1</v>
      </c>
      <c r="I1247">
        <v>5</v>
      </c>
      <c r="J1247">
        <v>2017</v>
      </c>
      <c r="K1247">
        <v>5</v>
      </c>
      <c r="L1247">
        <v>276</v>
      </c>
      <c r="M1247" t="s">
        <v>18</v>
      </c>
      <c r="N1247">
        <f t="shared" si="57"/>
        <v>41.628999999999998</v>
      </c>
      <c r="O1247" t="str">
        <f t="shared" si="58"/>
        <v>May</v>
      </c>
      <c r="P1247" t="str">
        <f t="shared" si="59"/>
        <v>Weekday</v>
      </c>
    </row>
    <row r="1248" spans="1:16" x14ac:dyDescent="0.3">
      <c r="A1248" s="1">
        <v>42887</v>
      </c>
      <c r="B1248">
        <v>1.34</v>
      </c>
      <c r="C1248">
        <v>3.67</v>
      </c>
      <c r="D1248">
        <v>2</v>
      </c>
      <c r="E1248">
        <v>21.4</v>
      </c>
      <c r="F1248">
        <v>10</v>
      </c>
      <c r="G1248">
        <v>0</v>
      </c>
      <c r="H1248">
        <v>2</v>
      </c>
      <c r="I1248">
        <v>2</v>
      </c>
      <c r="J1248">
        <v>2017</v>
      </c>
      <c r="K1248">
        <v>6</v>
      </c>
      <c r="L1248">
        <v>276</v>
      </c>
      <c r="M1248" t="s">
        <v>12</v>
      </c>
      <c r="N1248">
        <f t="shared" si="57"/>
        <v>42.41</v>
      </c>
      <c r="O1248" t="str">
        <f t="shared" si="58"/>
        <v>June</v>
      </c>
      <c r="P1248" t="str">
        <f t="shared" si="59"/>
        <v>Weekday</v>
      </c>
    </row>
    <row r="1249" spans="1:16" x14ac:dyDescent="0.3">
      <c r="A1249" s="1">
        <v>42888</v>
      </c>
      <c r="B1249">
        <v>2.33</v>
      </c>
      <c r="C1249">
        <v>4</v>
      </c>
      <c r="D1249">
        <v>4</v>
      </c>
      <c r="E1249">
        <v>17.399999999999999</v>
      </c>
      <c r="F1249">
        <v>9</v>
      </c>
      <c r="G1249">
        <v>1</v>
      </c>
      <c r="H1249">
        <v>5</v>
      </c>
      <c r="I1249">
        <v>3</v>
      </c>
      <c r="J1249">
        <v>2017</v>
      </c>
      <c r="K1249">
        <v>6</v>
      </c>
      <c r="L1249">
        <v>276</v>
      </c>
      <c r="M1249" t="s">
        <v>13</v>
      </c>
      <c r="N1249">
        <f t="shared" si="57"/>
        <v>45.73</v>
      </c>
      <c r="O1249" t="str">
        <f t="shared" si="58"/>
        <v>June</v>
      </c>
      <c r="P1249" t="str">
        <f t="shared" si="59"/>
        <v>Weekday</v>
      </c>
    </row>
    <row r="1250" spans="1:16" x14ac:dyDescent="0.3">
      <c r="A1250" s="1">
        <v>42889</v>
      </c>
      <c r="B1250">
        <v>5</v>
      </c>
      <c r="C1250">
        <v>1.726</v>
      </c>
      <c r="D1250">
        <v>3</v>
      </c>
      <c r="E1250">
        <v>10</v>
      </c>
      <c r="F1250">
        <v>3</v>
      </c>
      <c r="G1250">
        <v>1</v>
      </c>
      <c r="H1250">
        <v>22</v>
      </c>
      <c r="I1250">
        <v>2</v>
      </c>
      <c r="J1250">
        <v>2017</v>
      </c>
      <c r="K1250">
        <v>6</v>
      </c>
      <c r="L1250">
        <v>276</v>
      </c>
      <c r="M1250" t="s">
        <v>14</v>
      </c>
      <c r="N1250">
        <f t="shared" si="57"/>
        <v>47.725999999999999</v>
      </c>
      <c r="O1250" t="str">
        <f t="shared" si="58"/>
        <v>June</v>
      </c>
      <c r="P1250" t="str">
        <f t="shared" si="59"/>
        <v>Weekend</v>
      </c>
    </row>
    <row r="1251" spans="1:16" x14ac:dyDescent="0.3">
      <c r="A1251" s="1">
        <v>42890</v>
      </c>
      <c r="B1251">
        <v>7</v>
      </c>
      <c r="C1251">
        <v>1.7470000000000001</v>
      </c>
      <c r="D1251">
        <v>2.25</v>
      </c>
      <c r="E1251">
        <v>23.4</v>
      </c>
      <c r="F1251">
        <v>3</v>
      </c>
      <c r="G1251">
        <v>1</v>
      </c>
      <c r="H1251">
        <v>5</v>
      </c>
      <c r="I1251">
        <v>4</v>
      </c>
      <c r="J1251">
        <v>2017</v>
      </c>
      <c r="K1251">
        <v>6</v>
      </c>
      <c r="L1251">
        <v>276</v>
      </c>
      <c r="M1251" t="s">
        <v>15</v>
      </c>
      <c r="N1251">
        <f t="shared" si="57"/>
        <v>47.396999999999998</v>
      </c>
      <c r="O1251" t="str">
        <f t="shared" si="58"/>
        <v>June</v>
      </c>
      <c r="P1251" t="str">
        <f t="shared" si="59"/>
        <v>Weekend</v>
      </c>
    </row>
    <row r="1252" spans="1:16" x14ac:dyDescent="0.3">
      <c r="A1252" s="1">
        <v>42891</v>
      </c>
      <c r="B1252">
        <v>3.33</v>
      </c>
      <c r="C1252">
        <v>5.99</v>
      </c>
      <c r="D1252">
        <v>4.5</v>
      </c>
      <c r="E1252">
        <v>9.6999999999999993</v>
      </c>
      <c r="F1252">
        <v>5</v>
      </c>
      <c r="G1252">
        <v>0</v>
      </c>
      <c r="H1252">
        <v>0</v>
      </c>
      <c r="I1252">
        <v>8</v>
      </c>
      <c r="J1252">
        <v>2017</v>
      </c>
      <c r="K1252">
        <v>6</v>
      </c>
      <c r="L1252">
        <v>276</v>
      </c>
      <c r="M1252" t="s">
        <v>16</v>
      </c>
      <c r="N1252">
        <f t="shared" si="57"/>
        <v>36.519999999999996</v>
      </c>
      <c r="O1252" t="str">
        <f t="shared" si="58"/>
        <v>June</v>
      </c>
      <c r="P1252" t="str">
        <f t="shared" si="59"/>
        <v>Weekday</v>
      </c>
    </row>
    <row r="1253" spans="1:16" x14ac:dyDescent="0.3">
      <c r="A1253" s="1">
        <v>42892</v>
      </c>
      <c r="B1253">
        <v>1</v>
      </c>
      <c r="C1253">
        <v>3</v>
      </c>
      <c r="D1253">
        <v>0</v>
      </c>
      <c r="E1253">
        <v>18</v>
      </c>
      <c r="F1253">
        <v>3</v>
      </c>
      <c r="G1253">
        <v>0</v>
      </c>
      <c r="H1253">
        <v>6</v>
      </c>
      <c r="I1253">
        <v>7.5</v>
      </c>
      <c r="J1253">
        <v>2017</v>
      </c>
      <c r="K1253">
        <v>6</v>
      </c>
      <c r="L1253">
        <v>276</v>
      </c>
      <c r="M1253" t="s">
        <v>17</v>
      </c>
      <c r="N1253">
        <f t="shared" si="57"/>
        <v>38.5</v>
      </c>
      <c r="O1253" t="str">
        <f t="shared" si="58"/>
        <v>June</v>
      </c>
      <c r="P1253" t="str">
        <f t="shared" si="59"/>
        <v>Weekday</v>
      </c>
    </row>
    <row r="1254" spans="1:16" x14ac:dyDescent="0.3">
      <c r="A1254" s="1">
        <v>42893</v>
      </c>
      <c r="B1254">
        <v>5.33</v>
      </c>
      <c r="C1254">
        <v>4.6929999999999996</v>
      </c>
      <c r="D1254">
        <v>4</v>
      </c>
      <c r="E1254">
        <v>21</v>
      </c>
      <c r="F1254">
        <v>13</v>
      </c>
      <c r="G1254">
        <v>0</v>
      </c>
      <c r="H1254">
        <v>20</v>
      </c>
      <c r="I1254">
        <v>7</v>
      </c>
      <c r="J1254">
        <v>2017</v>
      </c>
      <c r="K1254">
        <v>6</v>
      </c>
      <c r="L1254">
        <v>276</v>
      </c>
      <c r="M1254" t="s">
        <v>18</v>
      </c>
      <c r="N1254">
        <f t="shared" si="57"/>
        <v>75.022999999999996</v>
      </c>
      <c r="O1254" t="str">
        <f t="shared" si="58"/>
        <v>June</v>
      </c>
      <c r="P1254" t="str">
        <f t="shared" si="59"/>
        <v>Weekday</v>
      </c>
    </row>
    <row r="1255" spans="1:16" x14ac:dyDescent="0.3">
      <c r="A1255" s="1">
        <v>42894</v>
      </c>
      <c r="B1255">
        <v>5</v>
      </c>
      <c r="C1255">
        <v>1.823</v>
      </c>
      <c r="D1255">
        <v>3.15</v>
      </c>
      <c r="E1255">
        <v>21</v>
      </c>
      <c r="F1255">
        <v>4</v>
      </c>
      <c r="G1255">
        <v>0</v>
      </c>
      <c r="H1255">
        <v>2</v>
      </c>
      <c r="I1255">
        <v>4.2</v>
      </c>
      <c r="J1255">
        <v>2017</v>
      </c>
      <c r="K1255">
        <v>6</v>
      </c>
      <c r="L1255">
        <v>276</v>
      </c>
      <c r="M1255" t="s">
        <v>12</v>
      </c>
      <c r="N1255">
        <f t="shared" si="57"/>
        <v>41.173000000000002</v>
      </c>
      <c r="O1255" t="str">
        <f t="shared" si="58"/>
        <v>June</v>
      </c>
      <c r="P1255" t="str">
        <f t="shared" si="59"/>
        <v>Weekday</v>
      </c>
    </row>
    <row r="1256" spans="1:16" x14ac:dyDescent="0.3">
      <c r="A1256" s="1">
        <v>42895</v>
      </c>
      <c r="B1256">
        <v>1.33</v>
      </c>
      <c r="C1256">
        <v>4.09</v>
      </c>
      <c r="D1256">
        <v>3.1</v>
      </c>
      <c r="E1256">
        <v>10</v>
      </c>
      <c r="F1256">
        <v>2</v>
      </c>
      <c r="G1256">
        <v>0</v>
      </c>
      <c r="H1256">
        <v>0</v>
      </c>
      <c r="I1256">
        <v>6</v>
      </c>
      <c r="J1256">
        <v>2017</v>
      </c>
      <c r="K1256">
        <v>6</v>
      </c>
      <c r="L1256">
        <v>276</v>
      </c>
      <c r="M1256" t="s">
        <v>13</v>
      </c>
      <c r="N1256">
        <f t="shared" si="57"/>
        <v>26.52</v>
      </c>
      <c r="O1256" t="str">
        <f t="shared" si="58"/>
        <v>June</v>
      </c>
      <c r="P1256" t="str">
        <f t="shared" si="59"/>
        <v>Weekday</v>
      </c>
    </row>
    <row r="1257" spans="1:16" x14ac:dyDescent="0.3">
      <c r="A1257" s="1">
        <v>42896</v>
      </c>
      <c r="B1257">
        <v>9</v>
      </c>
      <c r="C1257">
        <v>7.01</v>
      </c>
      <c r="D1257">
        <v>4</v>
      </c>
      <c r="E1257">
        <v>15</v>
      </c>
      <c r="F1257">
        <v>2</v>
      </c>
      <c r="G1257">
        <v>0</v>
      </c>
      <c r="H1257">
        <v>7</v>
      </c>
      <c r="I1257">
        <v>3</v>
      </c>
      <c r="J1257">
        <v>2017</v>
      </c>
      <c r="K1257">
        <v>6</v>
      </c>
      <c r="L1257">
        <v>276</v>
      </c>
      <c r="M1257" t="s">
        <v>14</v>
      </c>
      <c r="N1257">
        <f t="shared" si="57"/>
        <v>47.01</v>
      </c>
      <c r="O1257" t="str">
        <f t="shared" si="58"/>
        <v>June</v>
      </c>
      <c r="P1257" t="str">
        <f t="shared" si="59"/>
        <v>Weekend</v>
      </c>
    </row>
    <row r="1258" spans="1:16" x14ac:dyDescent="0.3">
      <c r="A1258" s="1">
        <v>42897</v>
      </c>
      <c r="B1258">
        <v>5.5</v>
      </c>
      <c r="C1258">
        <v>3.99</v>
      </c>
      <c r="D1258">
        <v>8.5</v>
      </c>
      <c r="E1258">
        <v>28.25</v>
      </c>
      <c r="F1258">
        <v>8</v>
      </c>
      <c r="G1258">
        <v>0</v>
      </c>
      <c r="H1258">
        <v>2</v>
      </c>
      <c r="I1258">
        <v>3</v>
      </c>
      <c r="J1258">
        <v>2017</v>
      </c>
      <c r="K1258">
        <v>6</v>
      </c>
      <c r="L1258">
        <v>276</v>
      </c>
      <c r="M1258" t="s">
        <v>15</v>
      </c>
      <c r="N1258">
        <f t="shared" si="57"/>
        <v>59.24</v>
      </c>
      <c r="O1258" t="str">
        <f t="shared" si="58"/>
        <v>June</v>
      </c>
      <c r="P1258" t="str">
        <f t="shared" si="59"/>
        <v>Weekend</v>
      </c>
    </row>
    <row r="1259" spans="1:16" x14ac:dyDescent="0.3">
      <c r="A1259" s="1">
        <v>42898</v>
      </c>
      <c r="B1259">
        <v>4.34</v>
      </c>
      <c r="C1259">
        <v>3.34</v>
      </c>
      <c r="D1259">
        <v>1</v>
      </c>
      <c r="E1259">
        <v>13.6</v>
      </c>
      <c r="F1259">
        <v>3</v>
      </c>
      <c r="G1259">
        <v>0</v>
      </c>
      <c r="H1259">
        <v>13</v>
      </c>
      <c r="I1259">
        <v>12</v>
      </c>
      <c r="J1259">
        <v>2017</v>
      </c>
      <c r="K1259">
        <v>6</v>
      </c>
      <c r="L1259">
        <v>276</v>
      </c>
      <c r="M1259" t="s">
        <v>16</v>
      </c>
      <c r="N1259">
        <f t="shared" si="57"/>
        <v>50.28</v>
      </c>
      <c r="O1259" t="str">
        <f t="shared" si="58"/>
        <v>June</v>
      </c>
      <c r="P1259" t="str">
        <f t="shared" si="59"/>
        <v>Weekday</v>
      </c>
    </row>
    <row r="1260" spans="1:16" x14ac:dyDescent="0.3">
      <c r="A1260" s="1">
        <v>42899</v>
      </c>
      <c r="B1260">
        <v>2.99</v>
      </c>
      <c r="C1260">
        <v>3.0230000000000001</v>
      </c>
      <c r="D1260">
        <v>3</v>
      </c>
      <c r="E1260">
        <v>8</v>
      </c>
      <c r="F1260">
        <v>9</v>
      </c>
      <c r="G1260">
        <v>0</v>
      </c>
      <c r="H1260">
        <v>0</v>
      </c>
      <c r="I1260">
        <v>9.1</v>
      </c>
      <c r="J1260">
        <v>2017</v>
      </c>
      <c r="K1260">
        <v>6</v>
      </c>
      <c r="L1260">
        <v>276</v>
      </c>
      <c r="M1260" t="s">
        <v>17</v>
      </c>
      <c r="N1260">
        <f t="shared" si="57"/>
        <v>35.113</v>
      </c>
      <c r="O1260" t="str">
        <f t="shared" si="58"/>
        <v>June</v>
      </c>
      <c r="P1260" t="str">
        <f t="shared" si="59"/>
        <v>Weekday</v>
      </c>
    </row>
    <row r="1261" spans="1:16" x14ac:dyDescent="0.3">
      <c r="A1261" s="1">
        <v>42900</v>
      </c>
      <c r="B1261">
        <v>1.33</v>
      </c>
      <c r="C1261">
        <v>1.33</v>
      </c>
      <c r="D1261">
        <v>1</v>
      </c>
      <c r="E1261">
        <v>9</v>
      </c>
      <c r="F1261">
        <v>6</v>
      </c>
      <c r="G1261">
        <v>3</v>
      </c>
      <c r="H1261">
        <v>5</v>
      </c>
      <c r="I1261">
        <v>3</v>
      </c>
      <c r="J1261">
        <v>2017</v>
      </c>
      <c r="K1261">
        <v>6</v>
      </c>
      <c r="L1261">
        <v>276</v>
      </c>
      <c r="M1261" t="s">
        <v>18</v>
      </c>
      <c r="N1261">
        <f t="shared" si="57"/>
        <v>29.66</v>
      </c>
      <c r="O1261" t="str">
        <f t="shared" si="58"/>
        <v>June</v>
      </c>
      <c r="P1261" t="str">
        <f t="shared" si="59"/>
        <v>Weekday</v>
      </c>
    </row>
    <row r="1262" spans="1:16" x14ac:dyDescent="0.3">
      <c r="A1262" s="1">
        <v>42901</v>
      </c>
      <c r="B1262">
        <v>3</v>
      </c>
      <c r="C1262">
        <v>4.33</v>
      </c>
      <c r="D1262">
        <v>3.15</v>
      </c>
      <c r="E1262">
        <v>15</v>
      </c>
      <c r="F1262">
        <v>10</v>
      </c>
      <c r="G1262">
        <v>0</v>
      </c>
      <c r="H1262">
        <v>5</v>
      </c>
      <c r="I1262">
        <v>6.5</v>
      </c>
      <c r="J1262">
        <v>2017</v>
      </c>
      <c r="K1262">
        <v>6</v>
      </c>
      <c r="L1262">
        <v>276</v>
      </c>
      <c r="M1262" t="s">
        <v>12</v>
      </c>
      <c r="N1262">
        <f t="shared" si="57"/>
        <v>46.980000000000004</v>
      </c>
      <c r="O1262" t="str">
        <f t="shared" si="58"/>
        <v>June</v>
      </c>
      <c r="P1262" t="str">
        <f t="shared" si="59"/>
        <v>Weekday</v>
      </c>
    </row>
    <row r="1263" spans="1:16" x14ac:dyDescent="0.3">
      <c r="A1263" s="1">
        <v>42902</v>
      </c>
      <c r="B1263">
        <v>4</v>
      </c>
      <c r="C1263">
        <v>2.0099999999999998</v>
      </c>
      <c r="D1263">
        <v>0</v>
      </c>
      <c r="E1263">
        <v>12.25</v>
      </c>
      <c r="F1263">
        <v>6</v>
      </c>
      <c r="G1263">
        <v>0</v>
      </c>
      <c r="H1263">
        <v>0</v>
      </c>
      <c r="I1263">
        <v>5.44</v>
      </c>
      <c r="J1263">
        <v>2017</v>
      </c>
      <c r="K1263">
        <v>6</v>
      </c>
      <c r="L1263">
        <v>276</v>
      </c>
      <c r="M1263" t="s">
        <v>13</v>
      </c>
      <c r="N1263">
        <f t="shared" si="57"/>
        <v>29.7</v>
      </c>
      <c r="O1263" t="str">
        <f t="shared" si="58"/>
        <v>June</v>
      </c>
      <c r="P1263" t="str">
        <f t="shared" si="59"/>
        <v>Weekday</v>
      </c>
    </row>
    <row r="1264" spans="1:16" x14ac:dyDescent="0.3">
      <c r="A1264" s="1">
        <v>42903</v>
      </c>
      <c r="B1264">
        <v>2</v>
      </c>
      <c r="C1264">
        <v>8.7260000000000009</v>
      </c>
      <c r="D1264">
        <v>5</v>
      </c>
      <c r="E1264">
        <v>12</v>
      </c>
      <c r="F1264">
        <v>4</v>
      </c>
      <c r="G1264">
        <v>0</v>
      </c>
      <c r="H1264">
        <v>5</v>
      </c>
      <c r="I1264">
        <v>5</v>
      </c>
      <c r="J1264">
        <v>2017</v>
      </c>
      <c r="K1264">
        <v>6</v>
      </c>
      <c r="L1264">
        <v>276</v>
      </c>
      <c r="M1264" t="s">
        <v>14</v>
      </c>
      <c r="N1264">
        <f t="shared" si="57"/>
        <v>41.725999999999999</v>
      </c>
      <c r="O1264" t="str">
        <f t="shared" si="58"/>
        <v>June</v>
      </c>
      <c r="P1264" t="str">
        <f t="shared" si="59"/>
        <v>Weekend</v>
      </c>
    </row>
    <row r="1265" spans="1:16" x14ac:dyDescent="0.3">
      <c r="A1265" s="1">
        <v>42904</v>
      </c>
      <c r="B1265">
        <v>4</v>
      </c>
      <c r="C1265">
        <v>7.34</v>
      </c>
      <c r="D1265">
        <v>1.1000000000000001</v>
      </c>
      <c r="E1265">
        <v>26.6</v>
      </c>
      <c r="F1265">
        <v>2</v>
      </c>
      <c r="G1265">
        <v>0</v>
      </c>
      <c r="H1265">
        <v>12</v>
      </c>
      <c r="I1265">
        <v>3.33</v>
      </c>
      <c r="J1265">
        <v>2017</v>
      </c>
      <c r="K1265">
        <v>6</v>
      </c>
      <c r="L1265">
        <v>276</v>
      </c>
      <c r="M1265" t="s">
        <v>15</v>
      </c>
      <c r="N1265">
        <f t="shared" si="57"/>
        <v>56.37</v>
      </c>
      <c r="O1265" t="str">
        <f t="shared" si="58"/>
        <v>June</v>
      </c>
      <c r="P1265" t="str">
        <f t="shared" si="59"/>
        <v>Weekend</v>
      </c>
    </row>
    <row r="1266" spans="1:16" x14ac:dyDescent="0.3">
      <c r="A1266" s="1">
        <v>42905</v>
      </c>
      <c r="B1266">
        <v>1.33</v>
      </c>
      <c r="C1266">
        <v>1.98</v>
      </c>
      <c r="D1266">
        <v>1</v>
      </c>
      <c r="E1266">
        <v>18</v>
      </c>
      <c r="F1266">
        <v>1</v>
      </c>
      <c r="G1266">
        <v>1</v>
      </c>
      <c r="H1266">
        <v>8</v>
      </c>
      <c r="I1266">
        <v>3</v>
      </c>
      <c r="J1266">
        <v>2017</v>
      </c>
      <c r="K1266">
        <v>6</v>
      </c>
      <c r="L1266">
        <v>276</v>
      </c>
      <c r="M1266" t="s">
        <v>16</v>
      </c>
      <c r="N1266">
        <f t="shared" si="57"/>
        <v>35.31</v>
      </c>
      <c r="O1266" t="str">
        <f t="shared" si="58"/>
        <v>June</v>
      </c>
      <c r="P1266" t="str">
        <f t="shared" si="59"/>
        <v>Weekday</v>
      </c>
    </row>
    <row r="1267" spans="1:16" x14ac:dyDescent="0.3">
      <c r="A1267" s="1">
        <v>42906</v>
      </c>
      <c r="B1267">
        <v>9.33</v>
      </c>
      <c r="C1267">
        <v>1</v>
      </c>
      <c r="D1267">
        <v>5.0999999999999996</v>
      </c>
      <c r="E1267">
        <v>12</v>
      </c>
      <c r="F1267">
        <v>5</v>
      </c>
      <c r="G1267">
        <v>0</v>
      </c>
      <c r="H1267">
        <v>5</v>
      </c>
      <c r="I1267">
        <v>8.6300000000000008</v>
      </c>
      <c r="J1267">
        <v>2017</v>
      </c>
      <c r="K1267">
        <v>6</v>
      </c>
      <c r="L1267">
        <v>276</v>
      </c>
      <c r="M1267" t="s">
        <v>17</v>
      </c>
      <c r="N1267">
        <f t="shared" si="57"/>
        <v>46.06</v>
      </c>
      <c r="O1267" t="str">
        <f t="shared" si="58"/>
        <v>June</v>
      </c>
      <c r="P1267" t="str">
        <f t="shared" si="59"/>
        <v>Weekday</v>
      </c>
    </row>
    <row r="1268" spans="1:16" x14ac:dyDescent="0.3">
      <c r="A1268" s="1">
        <v>42907</v>
      </c>
      <c r="B1268">
        <v>4</v>
      </c>
      <c r="C1268">
        <v>1.33</v>
      </c>
      <c r="D1268">
        <v>2</v>
      </c>
      <c r="E1268">
        <v>21</v>
      </c>
      <c r="F1268">
        <v>4</v>
      </c>
      <c r="G1268">
        <v>0</v>
      </c>
      <c r="H1268">
        <v>2</v>
      </c>
      <c r="I1268">
        <v>5.4</v>
      </c>
      <c r="J1268">
        <v>2017</v>
      </c>
      <c r="K1268">
        <v>6</v>
      </c>
      <c r="L1268">
        <v>276</v>
      </c>
      <c r="M1268" t="s">
        <v>18</v>
      </c>
      <c r="N1268">
        <f t="shared" si="57"/>
        <v>39.729999999999997</v>
      </c>
      <c r="O1268" t="str">
        <f t="shared" si="58"/>
        <v>June</v>
      </c>
      <c r="P1268" t="str">
        <f t="shared" si="59"/>
        <v>Weekday</v>
      </c>
    </row>
    <row r="1269" spans="1:16" x14ac:dyDescent="0.3">
      <c r="A1269" s="1">
        <v>42908</v>
      </c>
      <c r="B1269">
        <v>1</v>
      </c>
      <c r="C1269">
        <v>3.34</v>
      </c>
      <c r="D1269">
        <v>0</v>
      </c>
      <c r="E1269">
        <v>7</v>
      </c>
      <c r="F1269">
        <v>4</v>
      </c>
      <c r="G1269">
        <v>0</v>
      </c>
      <c r="H1269">
        <v>8</v>
      </c>
      <c r="I1269">
        <v>11</v>
      </c>
      <c r="J1269">
        <v>2017</v>
      </c>
      <c r="K1269">
        <v>6</v>
      </c>
      <c r="L1269">
        <v>276</v>
      </c>
      <c r="M1269" t="s">
        <v>12</v>
      </c>
      <c r="N1269">
        <f t="shared" si="57"/>
        <v>34.340000000000003</v>
      </c>
      <c r="O1269" t="str">
        <f t="shared" si="58"/>
        <v>June</v>
      </c>
      <c r="P1269" t="str">
        <f t="shared" si="59"/>
        <v>Weekday</v>
      </c>
    </row>
    <row r="1270" spans="1:16" x14ac:dyDescent="0.3">
      <c r="A1270" s="1">
        <v>42909</v>
      </c>
      <c r="B1270">
        <v>1</v>
      </c>
      <c r="C1270">
        <v>1.34</v>
      </c>
      <c r="D1270">
        <v>2</v>
      </c>
      <c r="E1270">
        <v>16</v>
      </c>
      <c r="F1270">
        <v>5</v>
      </c>
      <c r="G1270">
        <v>0</v>
      </c>
      <c r="H1270">
        <v>0</v>
      </c>
      <c r="I1270">
        <v>1.2</v>
      </c>
      <c r="J1270">
        <v>2017</v>
      </c>
      <c r="K1270">
        <v>6</v>
      </c>
      <c r="L1270">
        <v>276</v>
      </c>
      <c r="M1270" t="s">
        <v>13</v>
      </c>
      <c r="N1270">
        <f t="shared" si="57"/>
        <v>26.54</v>
      </c>
      <c r="O1270" t="str">
        <f t="shared" si="58"/>
        <v>June</v>
      </c>
      <c r="P1270" t="str">
        <f t="shared" si="59"/>
        <v>Weekday</v>
      </c>
    </row>
    <row r="1271" spans="1:16" x14ac:dyDescent="0.3">
      <c r="A1271" s="1">
        <v>42910</v>
      </c>
      <c r="B1271">
        <v>5</v>
      </c>
      <c r="C1271">
        <v>3.65</v>
      </c>
      <c r="D1271">
        <v>6</v>
      </c>
      <c r="E1271">
        <v>32</v>
      </c>
      <c r="F1271">
        <v>8</v>
      </c>
      <c r="G1271">
        <v>1</v>
      </c>
      <c r="H1271">
        <v>0</v>
      </c>
      <c r="I1271">
        <v>1</v>
      </c>
      <c r="J1271">
        <v>2017</v>
      </c>
      <c r="K1271">
        <v>6</v>
      </c>
      <c r="L1271">
        <v>276</v>
      </c>
      <c r="M1271" t="s">
        <v>14</v>
      </c>
      <c r="N1271">
        <f t="shared" si="57"/>
        <v>56.65</v>
      </c>
      <c r="O1271" t="str">
        <f t="shared" si="58"/>
        <v>June</v>
      </c>
      <c r="P1271" t="str">
        <f t="shared" si="59"/>
        <v>Weekend</v>
      </c>
    </row>
    <row r="1272" spans="1:16" x14ac:dyDescent="0.3">
      <c r="A1272" s="1">
        <v>42911</v>
      </c>
      <c r="B1272">
        <v>6.5</v>
      </c>
      <c r="C1272">
        <v>2.34</v>
      </c>
      <c r="D1272">
        <v>6</v>
      </c>
      <c r="E1272">
        <v>22</v>
      </c>
      <c r="F1272">
        <v>4</v>
      </c>
      <c r="G1272">
        <v>0</v>
      </c>
      <c r="H1272">
        <v>0</v>
      </c>
      <c r="I1272">
        <v>4.5999999999999996</v>
      </c>
      <c r="J1272">
        <v>2017</v>
      </c>
      <c r="K1272">
        <v>6</v>
      </c>
      <c r="L1272">
        <v>276</v>
      </c>
      <c r="M1272" t="s">
        <v>15</v>
      </c>
      <c r="N1272">
        <f t="shared" si="57"/>
        <v>45.440000000000005</v>
      </c>
      <c r="O1272" t="str">
        <f t="shared" si="58"/>
        <v>June</v>
      </c>
      <c r="P1272" t="str">
        <f t="shared" si="59"/>
        <v>Weekend</v>
      </c>
    </row>
    <row r="1273" spans="1:16" x14ac:dyDescent="0.3">
      <c r="A1273" s="1">
        <v>42912</v>
      </c>
      <c r="B1273">
        <v>7.68</v>
      </c>
      <c r="C1273">
        <v>3.0329999999999999</v>
      </c>
      <c r="D1273">
        <v>6.25</v>
      </c>
      <c r="E1273">
        <v>10</v>
      </c>
      <c r="F1273">
        <v>11</v>
      </c>
      <c r="G1273">
        <v>0</v>
      </c>
      <c r="H1273">
        <v>0</v>
      </c>
      <c r="I1273">
        <v>3</v>
      </c>
      <c r="J1273">
        <v>2017</v>
      </c>
      <c r="K1273">
        <v>6</v>
      </c>
      <c r="L1273">
        <v>276</v>
      </c>
      <c r="M1273" t="s">
        <v>16</v>
      </c>
      <c r="N1273">
        <f t="shared" si="57"/>
        <v>40.963000000000001</v>
      </c>
      <c r="O1273" t="str">
        <f t="shared" si="58"/>
        <v>June</v>
      </c>
      <c r="P1273" t="str">
        <f t="shared" si="59"/>
        <v>Weekday</v>
      </c>
    </row>
    <row r="1274" spans="1:16" x14ac:dyDescent="0.3">
      <c r="A1274" s="1">
        <v>42913</v>
      </c>
      <c r="B1274">
        <v>4</v>
      </c>
      <c r="C1274">
        <v>3.32</v>
      </c>
      <c r="D1274">
        <v>6</v>
      </c>
      <c r="E1274">
        <v>13.5</v>
      </c>
      <c r="F1274">
        <v>9</v>
      </c>
      <c r="G1274">
        <v>0</v>
      </c>
      <c r="H1274">
        <v>3</v>
      </c>
      <c r="I1274">
        <v>6</v>
      </c>
      <c r="J1274">
        <v>2017</v>
      </c>
      <c r="K1274">
        <v>6</v>
      </c>
      <c r="L1274">
        <v>276</v>
      </c>
      <c r="M1274" t="s">
        <v>17</v>
      </c>
      <c r="N1274">
        <f t="shared" si="57"/>
        <v>44.82</v>
      </c>
      <c r="O1274" t="str">
        <f t="shared" si="58"/>
        <v>June</v>
      </c>
      <c r="P1274" t="str">
        <f t="shared" si="59"/>
        <v>Weekday</v>
      </c>
    </row>
    <row r="1275" spans="1:16" x14ac:dyDescent="0.3">
      <c r="A1275" s="1">
        <v>42914</v>
      </c>
      <c r="B1275">
        <v>4</v>
      </c>
      <c r="C1275">
        <v>4.0330000000000004</v>
      </c>
      <c r="D1275">
        <v>4.5</v>
      </c>
      <c r="E1275">
        <v>18</v>
      </c>
      <c r="F1275">
        <v>7</v>
      </c>
      <c r="G1275">
        <v>0</v>
      </c>
      <c r="H1275">
        <v>5</v>
      </c>
      <c r="I1275">
        <v>3</v>
      </c>
      <c r="J1275">
        <v>2017</v>
      </c>
      <c r="K1275">
        <v>6</v>
      </c>
      <c r="L1275">
        <v>276</v>
      </c>
      <c r="M1275" t="s">
        <v>18</v>
      </c>
      <c r="N1275">
        <f t="shared" si="57"/>
        <v>45.533000000000001</v>
      </c>
      <c r="O1275" t="str">
        <f t="shared" si="58"/>
        <v>June</v>
      </c>
      <c r="P1275" t="str">
        <f t="shared" si="59"/>
        <v>Weekday</v>
      </c>
    </row>
    <row r="1276" spans="1:16" x14ac:dyDescent="0.3">
      <c r="A1276" s="1">
        <v>42915</v>
      </c>
      <c r="B1276">
        <v>4</v>
      </c>
      <c r="C1276">
        <v>3.67</v>
      </c>
      <c r="D1276">
        <v>6</v>
      </c>
      <c r="E1276">
        <v>17</v>
      </c>
      <c r="F1276">
        <v>1</v>
      </c>
      <c r="G1276">
        <v>0</v>
      </c>
      <c r="H1276">
        <v>21</v>
      </c>
      <c r="I1276">
        <v>5</v>
      </c>
      <c r="J1276">
        <v>2017</v>
      </c>
      <c r="K1276">
        <v>6</v>
      </c>
      <c r="L1276">
        <v>276</v>
      </c>
      <c r="M1276" t="s">
        <v>12</v>
      </c>
      <c r="N1276">
        <f t="shared" si="57"/>
        <v>57.67</v>
      </c>
      <c r="O1276" t="str">
        <f t="shared" si="58"/>
        <v>June</v>
      </c>
      <c r="P1276" t="str">
        <f t="shared" si="59"/>
        <v>Weekday</v>
      </c>
    </row>
    <row r="1277" spans="1:16" x14ac:dyDescent="0.3">
      <c r="A1277" s="1">
        <v>42916</v>
      </c>
      <c r="B1277">
        <v>6.67</v>
      </c>
      <c r="C1277">
        <v>2.1320000000000001</v>
      </c>
      <c r="D1277">
        <v>2</v>
      </c>
      <c r="E1277">
        <v>18</v>
      </c>
      <c r="F1277">
        <v>2</v>
      </c>
      <c r="G1277">
        <v>0</v>
      </c>
      <c r="H1277">
        <v>0</v>
      </c>
      <c r="I1277">
        <v>6</v>
      </c>
      <c r="J1277">
        <v>2017</v>
      </c>
      <c r="K1277">
        <v>6</v>
      </c>
      <c r="L1277">
        <v>276</v>
      </c>
      <c r="M1277" t="s">
        <v>13</v>
      </c>
      <c r="N1277">
        <f t="shared" si="57"/>
        <v>36.802</v>
      </c>
      <c r="O1277" t="str">
        <f t="shared" si="58"/>
        <v>June</v>
      </c>
      <c r="P1277" t="str">
        <f t="shared" si="59"/>
        <v>Weekday</v>
      </c>
    </row>
    <row r="1278" spans="1:16" x14ac:dyDescent="0.3">
      <c r="A1278" s="1">
        <v>42917</v>
      </c>
      <c r="B1278">
        <v>3.33</v>
      </c>
      <c r="C1278">
        <v>2.33</v>
      </c>
      <c r="D1278">
        <v>1</v>
      </c>
      <c r="E1278">
        <v>10</v>
      </c>
      <c r="F1278">
        <v>5</v>
      </c>
      <c r="G1278">
        <v>0</v>
      </c>
      <c r="H1278">
        <v>10</v>
      </c>
      <c r="I1278">
        <v>4</v>
      </c>
      <c r="J1278">
        <v>2017</v>
      </c>
      <c r="K1278">
        <v>7</v>
      </c>
      <c r="L1278">
        <v>276</v>
      </c>
      <c r="M1278" t="s">
        <v>14</v>
      </c>
      <c r="N1278">
        <f t="shared" si="57"/>
        <v>35.659999999999997</v>
      </c>
      <c r="O1278" t="str">
        <f t="shared" si="58"/>
        <v>July</v>
      </c>
      <c r="P1278" t="str">
        <f t="shared" si="59"/>
        <v>Weekend</v>
      </c>
    </row>
    <row r="1279" spans="1:16" x14ac:dyDescent="0.3">
      <c r="A1279" s="1">
        <v>42918</v>
      </c>
      <c r="B1279">
        <v>5</v>
      </c>
      <c r="C1279">
        <v>3.68</v>
      </c>
      <c r="D1279">
        <v>2</v>
      </c>
      <c r="E1279">
        <v>9</v>
      </c>
      <c r="F1279">
        <v>6</v>
      </c>
      <c r="G1279">
        <v>0</v>
      </c>
      <c r="H1279">
        <v>0</v>
      </c>
      <c r="I1279">
        <v>4</v>
      </c>
      <c r="J1279">
        <v>2017</v>
      </c>
      <c r="K1279">
        <v>7</v>
      </c>
      <c r="L1279">
        <v>276</v>
      </c>
      <c r="M1279" t="s">
        <v>15</v>
      </c>
      <c r="N1279">
        <f t="shared" si="57"/>
        <v>29.68</v>
      </c>
      <c r="O1279" t="str">
        <f t="shared" si="58"/>
        <v>July</v>
      </c>
      <c r="P1279" t="str">
        <f t="shared" si="59"/>
        <v>Weekend</v>
      </c>
    </row>
    <row r="1280" spans="1:16" x14ac:dyDescent="0.3">
      <c r="A1280" s="1">
        <v>42919</v>
      </c>
      <c r="B1280">
        <v>3.67</v>
      </c>
      <c r="C1280">
        <v>0</v>
      </c>
      <c r="D1280">
        <v>1.5</v>
      </c>
      <c r="E1280">
        <v>8</v>
      </c>
      <c r="F1280">
        <v>11</v>
      </c>
      <c r="G1280">
        <v>0</v>
      </c>
      <c r="H1280">
        <v>11</v>
      </c>
      <c r="I1280">
        <v>0</v>
      </c>
      <c r="J1280">
        <v>2017</v>
      </c>
      <c r="K1280">
        <v>7</v>
      </c>
      <c r="L1280">
        <v>276</v>
      </c>
      <c r="M1280" t="s">
        <v>16</v>
      </c>
      <c r="N1280">
        <f t="shared" si="57"/>
        <v>35.17</v>
      </c>
      <c r="O1280" t="str">
        <f t="shared" si="58"/>
        <v>July</v>
      </c>
      <c r="P1280" t="str">
        <f t="shared" si="59"/>
        <v>Weekday</v>
      </c>
    </row>
    <row r="1281" spans="1:16" x14ac:dyDescent="0.3">
      <c r="A1281" s="1">
        <v>42920</v>
      </c>
      <c r="B1281">
        <v>10.67</v>
      </c>
      <c r="C1281">
        <v>2.34</v>
      </c>
      <c r="D1281">
        <v>5</v>
      </c>
      <c r="E1281">
        <v>18</v>
      </c>
      <c r="F1281">
        <v>7</v>
      </c>
      <c r="G1281">
        <v>0</v>
      </c>
      <c r="H1281">
        <v>0</v>
      </c>
      <c r="I1281">
        <v>6</v>
      </c>
      <c r="J1281">
        <v>2017</v>
      </c>
      <c r="K1281">
        <v>7</v>
      </c>
      <c r="L1281">
        <v>276</v>
      </c>
      <c r="M1281" t="s">
        <v>17</v>
      </c>
      <c r="N1281">
        <f t="shared" si="57"/>
        <v>49.01</v>
      </c>
      <c r="O1281" t="str">
        <f t="shared" si="58"/>
        <v>July</v>
      </c>
      <c r="P1281" t="str">
        <f t="shared" si="59"/>
        <v>Weekday</v>
      </c>
    </row>
    <row r="1282" spans="1:16" x14ac:dyDescent="0.3">
      <c r="A1282" s="1">
        <v>42921</v>
      </c>
      <c r="B1282">
        <v>4.5</v>
      </c>
      <c r="C1282">
        <v>1.66</v>
      </c>
      <c r="D1282">
        <v>2</v>
      </c>
      <c r="E1282">
        <v>16</v>
      </c>
      <c r="F1282">
        <v>20</v>
      </c>
      <c r="G1282">
        <v>0</v>
      </c>
      <c r="H1282">
        <v>22</v>
      </c>
      <c r="I1282">
        <v>6</v>
      </c>
      <c r="J1282">
        <v>2017</v>
      </c>
      <c r="K1282">
        <v>7</v>
      </c>
      <c r="L1282">
        <v>276</v>
      </c>
      <c r="M1282" t="s">
        <v>18</v>
      </c>
      <c r="N1282">
        <f t="shared" si="57"/>
        <v>72.16</v>
      </c>
      <c r="O1282" t="str">
        <f t="shared" si="58"/>
        <v>July</v>
      </c>
      <c r="P1282" t="str">
        <f t="shared" si="59"/>
        <v>Weekday</v>
      </c>
    </row>
    <row r="1283" spans="1:16" x14ac:dyDescent="0.3">
      <c r="A1283" s="1">
        <v>42922</v>
      </c>
      <c r="B1283">
        <v>4.33</v>
      </c>
      <c r="C1283">
        <v>7</v>
      </c>
      <c r="D1283">
        <v>4</v>
      </c>
      <c r="E1283">
        <v>20.6</v>
      </c>
      <c r="F1283">
        <v>3</v>
      </c>
      <c r="G1283">
        <v>1</v>
      </c>
      <c r="H1283">
        <v>1</v>
      </c>
      <c r="I1283">
        <v>1</v>
      </c>
      <c r="J1283">
        <v>2017</v>
      </c>
      <c r="K1283">
        <v>7</v>
      </c>
      <c r="L1283">
        <v>276</v>
      </c>
      <c r="M1283" t="s">
        <v>12</v>
      </c>
      <c r="N1283">
        <f t="shared" ref="N1283:N1346" si="60">SUM(B1283:I1283)</f>
        <v>41.93</v>
      </c>
      <c r="O1283" t="str">
        <f t="shared" ref="O1283:O1346" si="61">TEXT(A1283,"mmmm")</f>
        <v>July</v>
      </c>
      <c r="P1283" t="str">
        <f t="shared" ref="P1283:P1346" si="62">IF(OR(M1283="Saturday",M1283="Sunday"),"Weekend","Weekday")</f>
        <v>Weekday</v>
      </c>
    </row>
    <row r="1284" spans="1:16" x14ac:dyDescent="0.3">
      <c r="A1284" s="1">
        <v>42923</v>
      </c>
      <c r="B1284">
        <v>5</v>
      </c>
      <c r="C1284">
        <v>2</v>
      </c>
      <c r="D1284">
        <v>4.0999999999999996</v>
      </c>
      <c r="E1284">
        <v>17</v>
      </c>
      <c r="F1284">
        <v>6</v>
      </c>
      <c r="G1284">
        <v>0</v>
      </c>
      <c r="H1284">
        <v>1</v>
      </c>
      <c r="I1284">
        <v>0</v>
      </c>
      <c r="J1284">
        <v>2017</v>
      </c>
      <c r="K1284">
        <v>7</v>
      </c>
      <c r="L1284">
        <v>276</v>
      </c>
      <c r="M1284" t="s">
        <v>13</v>
      </c>
      <c r="N1284">
        <f t="shared" si="60"/>
        <v>35.1</v>
      </c>
      <c r="O1284" t="str">
        <f t="shared" si="61"/>
        <v>July</v>
      </c>
      <c r="P1284" t="str">
        <f t="shared" si="62"/>
        <v>Weekday</v>
      </c>
    </row>
    <row r="1285" spans="1:16" x14ac:dyDescent="0.3">
      <c r="A1285" s="1">
        <v>42924</v>
      </c>
      <c r="B1285">
        <v>4.99</v>
      </c>
      <c r="C1285">
        <v>4.0890000000000004</v>
      </c>
      <c r="D1285">
        <v>5</v>
      </c>
      <c r="E1285">
        <v>16</v>
      </c>
      <c r="F1285">
        <v>12</v>
      </c>
      <c r="G1285">
        <v>0</v>
      </c>
      <c r="H1285">
        <v>1</v>
      </c>
      <c r="I1285">
        <v>3</v>
      </c>
      <c r="J1285">
        <v>2017</v>
      </c>
      <c r="K1285">
        <v>7</v>
      </c>
      <c r="L1285">
        <v>276</v>
      </c>
      <c r="M1285" t="s">
        <v>14</v>
      </c>
      <c r="N1285">
        <f t="shared" si="60"/>
        <v>46.079000000000001</v>
      </c>
      <c r="O1285" t="str">
        <f t="shared" si="61"/>
        <v>July</v>
      </c>
      <c r="P1285" t="str">
        <f t="shared" si="62"/>
        <v>Weekend</v>
      </c>
    </row>
    <row r="1286" spans="1:16" x14ac:dyDescent="0.3">
      <c r="A1286" s="1">
        <v>42925</v>
      </c>
      <c r="B1286">
        <v>2.33</v>
      </c>
      <c r="C1286">
        <v>7.16</v>
      </c>
      <c r="D1286">
        <v>0.5</v>
      </c>
      <c r="E1286">
        <v>15</v>
      </c>
      <c r="F1286">
        <v>4</v>
      </c>
      <c r="G1286">
        <v>0</v>
      </c>
      <c r="H1286">
        <v>1</v>
      </c>
      <c r="I1286">
        <v>4</v>
      </c>
      <c r="J1286">
        <v>2017</v>
      </c>
      <c r="K1286">
        <v>7</v>
      </c>
      <c r="L1286">
        <v>276</v>
      </c>
      <c r="M1286" t="s">
        <v>15</v>
      </c>
      <c r="N1286">
        <f t="shared" si="60"/>
        <v>33.99</v>
      </c>
      <c r="O1286" t="str">
        <f t="shared" si="61"/>
        <v>July</v>
      </c>
      <c r="P1286" t="str">
        <f t="shared" si="62"/>
        <v>Weekend</v>
      </c>
    </row>
    <row r="1287" spans="1:16" x14ac:dyDescent="0.3">
      <c r="A1287" s="1">
        <v>42926</v>
      </c>
      <c r="B1287">
        <v>2</v>
      </c>
      <c r="C1287">
        <v>4.3529999999999998</v>
      </c>
      <c r="D1287">
        <v>4</v>
      </c>
      <c r="E1287">
        <v>12</v>
      </c>
      <c r="F1287">
        <v>5</v>
      </c>
      <c r="G1287">
        <v>2</v>
      </c>
      <c r="H1287">
        <v>7</v>
      </c>
      <c r="I1287">
        <v>3</v>
      </c>
      <c r="J1287">
        <v>2017</v>
      </c>
      <c r="K1287">
        <v>7</v>
      </c>
      <c r="L1287">
        <v>276</v>
      </c>
      <c r="M1287" t="s">
        <v>16</v>
      </c>
      <c r="N1287">
        <f t="shared" si="60"/>
        <v>39.353000000000002</v>
      </c>
      <c r="O1287" t="str">
        <f t="shared" si="61"/>
        <v>July</v>
      </c>
      <c r="P1287" t="str">
        <f t="shared" si="62"/>
        <v>Weekday</v>
      </c>
    </row>
    <row r="1288" spans="1:16" x14ac:dyDescent="0.3">
      <c r="A1288" s="1">
        <v>42927</v>
      </c>
      <c r="B1288">
        <v>3.34</v>
      </c>
      <c r="C1288">
        <v>0.68</v>
      </c>
      <c r="D1288">
        <v>0</v>
      </c>
      <c r="E1288">
        <v>18</v>
      </c>
      <c r="F1288">
        <v>2</v>
      </c>
      <c r="G1288">
        <v>0</v>
      </c>
      <c r="H1288">
        <v>7</v>
      </c>
      <c r="I1288">
        <v>2</v>
      </c>
      <c r="J1288">
        <v>2017</v>
      </c>
      <c r="K1288">
        <v>7</v>
      </c>
      <c r="L1288">
        <v>276</v>
      </c>
      <c r="M1288" t="s">
        <v>17</v>
      </c>
      <c r="N1288">
        <f t="shared" si="60"/>
        <v>33.019999999999996</v>
      </c>
      <c r="O1288" t="str">
        <f t="shared" si="61"/>
        <v>July</v>
      </c>
      <c r="P1288" t="str">
        <f t="shared" si="62"/>
        <v>Weekday</v>
      </c>
    </row>
    <row r="1289" spans="1:16" x14ac:dyDescent="0.3">
      <c r="A1289" s="1">
        <v>42928</v>
      </c>
      <c r="B1289">
        <v>2</v>
      </c>
      <c r="C1289">
        <v>5.34</v>
      </c>
      <c r="D1289">
        <v>0</v>
      </c>
      <c r="E1289">
        <v>15.4</v>
      </c>
      <c r="F1289">
        <v>12</v>
      </c>
      <c r="G1289">
        <v>0</v>
      </c>
      <c r="H1289">
        <v>3</v>
      </c>
      <c r="I1289">
        <v>0</v>
      </c>
      <c r="J1289">
        <v>2017</v>
      </c>
      <c r="K1289">
        <v>7</v>
      </c>
      <c r="L1289">
        <v>276</v>
      </c>
      <c r="M1289" t="s">
        <v>18</v>
      </c>
      <c r="N1289">
        <f t="shared" si="60"/>
        <v>37.74</v>
      </c>
      <c r="O1289" t="str">
        <f t="shared" si="61"/>
        <v>July</v>
      </c>
      <c r="P1289" t="str">
        <f t="shared" si="62"/>
        <v>Weekday</v>
      </c>
    </row>
    <row r="1290" spans="1:16" x14ac:dyDescent="0.3">
      <c r="A1290" s="1">
        <v>42929</v>
      </c>
      <c r="B1290">
        <v>3.33</v>
      </c>
      <c r="C1290">
        <v>3.34</v>
      </c>
      <c r="D1290">
        <v>2.15</v>
      </c>
      <c r="E1290">
        <v>9.6</v>
      </c>
      <c r="F1290">
        <v>5</v>
      </c>
      <c r="G1290">
        <v>3</v>
      </c>
      <c r="H1290">
        <v>3</v>
      </c>
      <c r="I1290">
        <v>2</v>
      </c>
      <c r="J1290">
        <v>2017</v>
      </c>
      <c r="K1290">
        <v>7</v>
      </c>
      <c r="L1290">
        <v>276</v>
      </c>
      <c r="M1290" t="s">
        <v>12</v>
      </c>
      <c r="N1290">
        <f t="shared" si="60"/>
        <v>31.42</v>
      </c>
      <c r="O1290" t="str">
        <f t="shared" si="61"/>
        <v>July</v>
      </c>
      <c r="P1290" t="str">
        <f t="shared" si="62"/>
        <v>Weekday</v>
      </c>
    </row>
    <row r="1291" spans="1:16" x14ac:dyDescent="0.3">
      <c r="A1291" s="1">
        <v>42930</v>
      </c>
      <c r="B1291">
        <v>2.33</v>
      </c>
      <c r="C1291">
        <v>3.7589999999999999</v>
      </c>
      <c r="D1291">
        <v>2</v>
      </c>
      <c r="E1291">
        <v>16</v>
      </c>
      <c r="F1291">
        <v>8</v>
      </c>
      <c r="G1291">
        <v>0</v>
      </c>
      <c r="H1291">
        <v>5</v>
      </c>
      <c r="I1291">
        <v>3</v>
      </c>
      <c r="J1291">
        <v>2017</v>
      </c>
      <c r="K1291">
        <v>7</v>
      </c>
      <c r="L1291">
        <v>276</v>
      </c>
      <c r="M1291" t="s">
        <v>13</v>
      </c>
      <c r="N1291">
        <f t="shared" si="60"/>
        <v>40.088999999999999</v>
      </c>
      <c r="O1291" t="str">
        <f t="shared" si="61"/>
        <v>July</v>
      </c>
      <c r="P1291" t="str">
        <f t="shared" si="62"/>
        <v>Weekday</v>
      </c>
    </row>
    <row r="1292" spans="1:16" x14ac:dyDescent="0.3">
      <c r="A1292" s="1">
        <v>42931</v>
      </c>
      <c r="B1292">
        <v>3.33</v>
      </c>
      <c r="C1292">
        <v>9.34</v>
      </c>
      <c r="D1292">
        <v>3</v>
      </c>
      <c r="E1292">
        <v>21</v>
      </c>
      <c r="F1292">
        <v>3</v>
      </c>
      <c r="G1292">
        <v>0</v>
      </c>
      <c r="H1292">
        <v>0</v>
      </c>
      <c r="I1292">
        <v>2</v>
      </c>
      <c r="J1292">
        <v>2017</v>
      </c>
      <c r="K1292">
        <v>7</v>
      </c>
      <c r="L1292">
        <v>276</v>
      </c>
      <c r="M1292" t="s">
        <v>14</v>
      </c>
      <c r="N1292">
        <f t="shared" si="60"/>
        <v>41.67</v>
      </c>
      <c r="O1292" t="str">
        <f t="shared" si="61"/>
        <v>July</v>
      </c>
      <c r="P1292" t="str">
        <f t="shared" si="62"/>
        <v>Weekend</v>
      </c>
    </row>
    <row r="1293" spans="1:16" x14ac:dyDescent="0.3">
      <c r="A1293" s="1">
        <v>42932</v>
      </c>
      <c r="B1293">
        <v>11.34</v>
      </c>
      <c r="C1293">
        <v>9.34</v>
      </c>
      <c r="D1293">
        <v>3</v>
      </c>
      <c r="E1293">
        <v>19</v>
      </c>
      <c r="F1293">
        <v>6</v>
      </c>
      <c r="G1293">
        <v>0</v>
      </c>
      <c r="H1293">
        <v>0</v>
      </c>
      <c r="I1293">
        <v>1</v>
      </c>
      <c r="J1293">
        <v>2017</v>
      </c>
      <c r="K1293">
        <v>7</v>
      </c>
      <c r="L1293">
        <v>276</v>
      </c>
      <c r="M1293" t="s">
        <v>15</v>
      </c>
      <c r="N1293">
        <f t="shared" si="60"/>
        <v>49.68</v>
      </c>
      <c r="O1293" t="str">
        <f t="shared" si="61"/>
        <v>July</v>
      </c>
      <c r="P1293" t="str">
        <f t="shared" si="62"/>
        <v>Weekend</v>
      </c>
    </row>
    <row r="1294" spans="1:16" x14ac:dyDescent="0.3">
      <c r="A1294" s="1">
        <v>42933</v>
      </c>
      <c r="B1294">
        <v>9</v>
      </c>
      <c r="C1294">
        <v>4.7469999999999999</v>
      </c>
      <c r="D1294">
        <v>3</v>
      </c>
      <c r="E1294">
        <v>16.399999999999999</v>
      </c>
      <c r="F1294">
        <v>6</v>
      </c>
      <c r="G1294">
        <v>2</v>
      </c>
      <c r="H1294">
        <v>4</v>
      </c>
      <c r="I1294">
        <v>3</v>
      </c>
      <c r="J1294">
        <v>2017</v>
      </c>
      <c r="K1294">
        <v>7</v>
      </c>
      <c r="L1294">
        <v>276</v>
      </c>
      <c r="M1294" t="s">
        <v>16</v>
      </c>
      <c r="N1294">
        <f t="shared" si="60"/>
        <v>48.146999999999998</v>
      </c>
      <c r="O1294" t="str">
        <f t="shared" si="61"/>
        <v>July</v>
      </c>
      <c r="P1294" t="str">
        <f t="shared" si="62"/>
        <v>Weekday</v>
      </c>
    </row>
    <row r="1295" spans="1:16" x14ac:dyDescent="0.3">
      <c r="A1295" s="1">
        <v>42934</v>
      </c>
      <c r="B1295">
        <v>9.67</v>
      </c>
      <c r="C1295">
        <v>5.67</v>
      </c>
      <c r="D1295">
        <v>1.5</v>
      </c>
      <c r="E1295">
        <v>14</v>
      </c>
      <c r="F1295">
        <v>8</v>
      </c>
      <c r="G1295">
        <v>0</v>
      </c>
      <c r="H1295">
        <v>20</v>
      </c>
      <c r="I1295">
        <v>4</v>
      </c>
      <c r="J1295">
        <v>2017</v>
      </c>
      <c r="K1295">
        <v>7</v>
      </c>
      <c r="L1295">
        <v>276</v>
      </c>
      <c r="M1295" t="s">
        <v>17</v>
      </c>
      <c r="N1295">
        <f t="shared" si="60"/>
        <v>62.84</v>
      </c>
      <c r="O1295" t="str">
        <f t="shared" si="61"/>
        <v>July</v>
      </c>
      <c r="P1295" t="str">
        <f t="shared" si="62"/>
        <v>Weekday</v>
      </c>
    </row>
    <row r="1296" spans="1:16" x14ac:dyDescent="0.3">
      <c r="A1296" s="1">
        <v>42935</v>
      </c>
      <c r="B1296">
        <v>6.33</v>
      </c>
      <c r="C1296">
        <v>3.66</v>
      </c>
      <c r="D1296">
        <v>4</v>
      </c>
      <c r="E1296">
        <v>20.6</v>
      </c>
      <c r="F1296">
        <v>6</v>
      </c>
      <c r="G1296">
        <v>3</v>
      </c>
      <c r="H1296">
        <v>1</v>
      </c>
      <c r="I1296">
        <v>6</v>
      </c>
      <c r="J1296">
        <v>2017</v>
      </c>
      <c r="K1296">
        <v>7</v>
      </c>
      <c r="L1296">
        <v>276</v>
      </c>
      <c r="M1296" t="s">
        <v>18</v>
      </c>
      <c r="N1296">
        <f t="shared" si="60"/>
        <v>50.59</v>
      </c>
      <c r="O1296" t="str">
        <f t="shared" si="61"/>
        <v>July</v>
      </c>
      <c r="P1296" t="str">
        <f t="shared" si="62"/>
        <v>Weekday</v>
      </c>
    </row>
    <row r="1297" spans="1:16" x14ac:dyDescent="0.3">
      <c r="A1297" s="1">
        <v>42936</v>
      </c>
      <c r="B1297">
        <v>5</v>
      </c>
      <c r="C1297">
        <v>4</v>
      </c>
      <c r="D1297">
        <v>3</v>
      </c>
      <c r="E1297">
        <v>18</v>
      </c>
      <c r="F1297">
        <v>11</v>
      </c>
      <c r="G1297">
        <v>2</v>
      </c>
      <c r="H1297">
        <v>2</v>
      </c>
      <c r="I1297">
        <v>2</v>
      </c>
      <c r="J1297">
        <v>2017</v>
      </c>
      <c r="K1297">
        <v>7</v>
      </c>
      <c r="L1297">
        <v>276</v>
      </c>
      <c r="M1297" t="s">
        <v>12</v>
      </c>
      <c r="N1297">
        <f t="shared" si="60"/>
        <v>47</v>
      </c>
      <c r="O1297" t="str">
        <f t="shared" si="61"/>
        <v>July</v>
      </c>
      <c r="P1297" t="str">
        <f t="shared" si="62"/>
        <v>Weekday</v>
      </c>
    </row>
    <row r="1298" spans="1:16" x14ac:dyDescent="0.3">
      <c r="A1298" s="1">
        <v>42937</v>
      </c>
      <c r="B1298">
        <v>2.33</v>
      </c>
      <c r="C1298">
        <v>1</v>
      </c>
      <c r="D1298">
        <v>3</v>
      </c>
      <c r="E1298">
        <v>14</v>
      </c>
      <c r="F1298">
        <v>5</v>
      </c>
      <c r="G1298">
        <v>0</v>
      </c>
      <c r="H1298">
        <v>0</v>
      </c>
      <c r="I1298">
        <v>3</v>
      </c>
      <c r="J1298">
        <v>2017</v>
      </c>
      <c r="K1298">
        <v>7</v>
      </c>
      <c r="L1298">
        <v>276</v>
      </c>
      <c r="M1298" t="s">
        <v>13</v>
      </c>
      <c r="N1298">
        <f t="shared" si="60"/>
        <v>28.33</v>
      </c>
      <c r="O1298" t="str">
        <f t="shared" si="61"/>
        <v>July</v>
      </c>
      <c r="P1298" t="str">
        <f t="shared" si="62"/>
        <v>Weekday</v>
      </c>
    </row>
    <row r="1299" spans="1:16" x14ac:dyDescent="0.3">
      <c r="A1299" s="1">
        <v>42938</v>
      </c>
      <c r="B1299">
        <v>3</v>
      </c>
      <c r="C1299">
        <v>5.69</v>
      </c>
      <c r="D1299">
        <v>5</v>
      </c>
      <c r="E1299">
        <v>22</v>
      </c>
      <c r="F1299">
        <v>3</v>
      </c>
      <c r="G1299">
        <v>1</v>
      </c>
      <c r="H1299">
        <v>0</v>
      </c>
      <c r="I1299">
        <v>2</v>
      </c>
      <c r="J1299">
        <v>2017</v>
      </c>
      <c r="K1299">
        <v>7</v>
      </c>
      <c r="L1299">
        <v>276</v>
      </c>
      <c r="M1299" t="s">
        <v>14</v>
      </c>
      <c r="N1299">
        <f t="shared" si="60"/>
        <v>41.69</v>
      </c>
      <c r="O1299" t="str">
        <f t="shared" si="61"/>
        <v>July</v>
      </c>
      <c r="P1299" t="str">
        <f t="shared" si="62"/>
        <v>Weekend</v>
      </c>
    </row>
    <row r="1300" spans="1:16" x14ac:dyDescent="0.3">
      <c r="A1300" s="1">
        <v>42939</v>
      </c>
      <c r="B1300">
        <v>6.5</v>
      </c>
      <c r="C1300">
        <v>2.4289999999999998</v>
      </c>
      <c r="D1300">
        <v>2</v>
      </c>
      <c r="E1300">
        <v>12</v>
      </c>
      <c r="F1300">
        <v>4</v>
      </c>
      <c r="G1300">
        <v>0</v>
      </c>
      <c r="H1300">
        <v>4</v>
      </c>
      <c r="I1300">
        <v>5</v>
      </c>
      <c r="J1300">
        <v>2017</v>
      </c>
      <c r="K1300">
        <v>7</v>
      </c>
      <c r="L1300">
        <v>276</v>
      </c>
      <c r="M1300" t="s">
        <v>15</v>
      </c>
      <c r="N1300">
        <f t="shared" si="60"/>
        <v>35.929000000000002</v>
      </c>
      <c r="O1300" t="str">
        <f t="shared" si="61"/>
        <v>July</v>
      </c>
      <c r="P1300" t="str">
        <f t="shared" si="62"/>
        <v>Weekend</v>
      </c>
    </row>
    <row r="1301" spans="1:16" x14ac:dyDescent="0.3">
      <c r="A1301" s="1">
        <v>42940</v>
      </c>
      <c r="B1301">
        <v>3.84</v>
      </c>
      <c r="C1301">
        <v>1</v>
      </c>
      <c r="D1301">
        <v>2.1</v>
      </c>
      <c r="E1301">
        <v>15</v>
      </c>
      <c r="F1301">
        <v>6</v>
      </c>
      <c r="G1301">
        <v>0</v>
      </c>
      <c r="H1301">
        <v>0</v>
      </c>
      <c r="I1301">
        <v>3</v>
      </c>
      <c r="J1301">
        <v>2017</v>
      </c>
      <c r="K1301">
        <v>7</v>
      </c>
      <c r="L1301">
        <v>276</v>
      </c>
      <c r="M1301" t="s">
        <v>16</v>
      </c>
      <c r="N1301">
        <f t="shared" si="60"/>
        <v>30.939999999999998</v>
      </c>
      <c r="O1301" t="str">
        <f t="shared" si="61"/>
        <v>July</v>
      </c>
      <c r="P1301" t="str">
        <f t="shared" si="62"/>
        <v>Weekday</v>
      </c>
    </row>
    <row r="1302" spans="1:16" x14ac:dyDescent="0.3">
      <c r="A1302" s="1">
        <v>42941</v>
      </c>
      <c r="B1302">
        <v>6.34</v>
      </c>
      <c r="C1302">
        <v>2.35</v>
      </c>
      <c r="D1302">
        <v>2</v>
      </c>
      <c r="E1302">
        <v>14</v>
      </c>
      <c r="F1302">
        <v>5</v>
      </c>
      <c r="G1302">
        <v>0</v>
      </c>
      <c r="H1302">
        <v>6</v>
      </c>
      <c r="I1302">
        <v>0.1</v>
      </c>
      <c r="J1302">
        <v>2017</v>
      </c>
      <c r="K1302">
        <v>7</v>
      </c>
      <c r="L1302">
        <v>276</v>
      </c>
      <c r="M1302" t="s">
        <v>17</v>
      </c>
      <c r="N1302">
        <f t="shared" si="60"/>
        <v>35.79</v>
      </c>
      <c r="O1302" t="str">
        <f t="shared" si="61"/>
        <v>July</v>
      </c>
      <c r="P1302" t="str">
        <f t="shared" si="62"/>
        <v>Weekday</v>
      </c>
    </row>
    <row r="1303" spans="1:16" x14ac:dyDescent="0.3">
      <c r="A1303" s="1">
        <v>42942</v>
      </c>
      <c r="B1303">
        <v>3.33</v>
      </c>
      <c r="C1303">
        <v>6.7789999999999999</v>
      </c>
      <c r="D1303">
        <v>3</v>
      </c>
      <c r="E1303">
        <v>15</v>
      </c>
      <c r="F1303">
        <v>11</v>
      </c>
      <c r="G1303">
        <v>1</v>
      </c>
      <c r="H1303">
        <v>1</v>
      </c>
      <c r="I1303">
        <v>1</v>
      </c>
      <c r="J1303">
        <v>2017</v>
      </c>
      <c r="K1303">
        <v>7</v>
      </c>
      <c r="L1303">
        <v>276</v>
      </c>
      <c r="M1303" t="s">
        <v>18</v>
      </c>
      <c r="N1303">
        <f t="shared" si="60"/>
        <v>42.109000000000002</v>
      </c>
      <c r="O1303" t="str">
        <f t="shared" si="61"/>
        <v>July</v>
      </c>
      <c r="P1303" t="str">
        <f t="shared" si="62"/>
        <v>Weekday</v>
      </c>
    </row>
    <row r="1304" spans="1:16" x14ac:dyDescent="0.3">
      <c r="A1304" s="1">
        <v>42943</v>
      </c>
      <c r="B1304">
        <v>5</v>
      </c>
      <c r="C1304">
        <v>0.67</v>
      </c>
      <c r="D1304">
        <v>0</v>
      </c>
      <c r="E1304">
        <v>12.4</v>
      </c>
      <c r="F1304">
        <v>8</v>
      </c>
      <c r="G1304">
        <v>0</v>
      </c>
      <c r="H1304">
        <v>0</v>
      </c>
      <c r="I1304">
        <v>1</v>
      </c>
      <c r="J1304">
        <v>2017</v>
      </c>
      <c r="K1304">
        <v>7</v>
      </c>
      <c r="L1304">
        <v>276</v>
      </c>
      <c r="M1304" t="s">
        <v>12</v>
      </c>
      <c r="N1304">
        <f t="shared" si="60"/>
        <v>27.07</v>
      </c>
      <c r="O1304" t="str">
        <f t="shared" si="61"/>
        <v>July</v>
      </c>
      <c r="P1304" t="str">
        <f t="shared" si="62"/>
        <v>Weekday</v>
      </c>
    </row>
    <row r="1305" spans="1:16" x14ac:dyDescent="0.3">
      <c r="A1305" s="1">
        <v>42944</v>
      </c>
      <c r="B1305">
        <v>4</v>
      </c>
      <c r="C1305">
        <v>5</v>
      </c>
      <c r="D1305">
        <v>1.1000000000000001</v>
      </c>
      <c r="E1305">
        <v>17.2</v>
      </c>
      <c r="F1305">
        <v>10</v>
      </c>
      <c r="G1305">
        <v>0</v>
      </c>
      <c r="H1305">
        <v>0</v>
      </c>
      <c r="I1305">
        <v>3</v>
      </c>
      <c r="J1305">
        <v>2017</v>
      </c>
      <c r="K1305">
        <v>7</v>
      </c>
      <c r="L1305">
        <v>276</v>
      </c>
      <c r="M1305" t="s">
        <v>13</v>
      </c>
      <c r="N1305">
        <f t="shared" si="60"/>
        <v>40.299999999999997</v>
      </c>
      <c r="O1305" t="str">
        <f t="shared" si="61"/>
        <v>July</v>
      </c>
      <c r="P1305" t="str">
        <f t="shared" si="62"/>
        <v>Weekday</v>
      </c>
    </row>
    <row r="1306" spans="1:16" x14ac:dyDescent="0.3">
      <c r="A1306" s="1">
        <v>42945</v>
      </c>
      <c r="B1306">
        <v>3</v>
      </c>
      <c r="C1306">
        <v>3.33</v>
      </c>
      <c r="D1306">
        <v>2</v>
      </c>
      <c r="E1306">
        <v>14.15</v>
      </c>
      <c r="F1306">
        <v>1</v>
      </c>
      <c r="G1306">
        <v>0</v>
      </c>
      <c r="H1306">
        <v>0</v>
      </c>
      <c r="I1306">
        <v>4</v>
      </c>
      <c r="J1306">
        <v>2017</v>
      </c>
      <c r="K1306">
        <v>7</v>
      </c>
      <c r="L1306">
        <v>276</v>
      </c>
      <c r="M1306" t="s">
        <v>14</v>
      </c>
      <c r="N1306">
        <f t="shared" si="60"/>
        <v>27.48</v>
      </c>
      <c r="O1306" t="str">
        <f t="shared" si="61"/>
        <v>July</v>
      </c>
      <c r="P1306" t="str">
        <f t="shared" si="62"/>
        <v>Weekend</v>
      </c>
    </row>
    <row r="1307" spans="1:16" x14ac:dyDescent="0.3">
      <c r="A1307" s="1">
        <v>42946</v>
      </c>
      <c r="B1307">
        <v>4.125</v>
      </c>
      <c r="C1307">
        <v>2.66</v>
      </c>
      <c r="D1307">
        <v>2</v>
      </c>
      <c r="E1307">
        <v>13</v>
      </c>
      <c r="F1307">
        <v>11</v>
      </c>
      <c r="G1307">
        <v>0</v>
      </c>
      <c r="H1307">
        <v>0</v>
      </c>
      <c r="I1307">
        <v>1</v>
      </c>
      <c r="J1307">
        <v>2017</v>
      </c>
      <c r="K1307">
        <v>7</v>
      </c>
      <c r="L1307">
        <v>276</v>
      </c>
      <c r="M1307" t="s">
        <v>15</v>
      </c>
      <c r="N1307">
        <f t="shared" si="60"/>
        <v>33.784999999999997</v>
      </c>
      <c r="O1307" t="str">
        <f t="shared" si="61"/>
        <v>July</v>
      </c>
      <c r="P1307" t="str">
        <f t="shared" si="62"/>
        <v>Weekend</v>
      </c>
    </row>
    <row r="1308" spans="1:16" x14ac:dyDescent="0.3">
      <c r="A1308" s="1">
        <v>42947</v>
      </c>
      <c r="B1308">
        <v>7.34</v>
      </c>
      <c r="C1308">
        <v>0.81</v>
      </c>
      <c r="D1308">
        <v>2.25</v>
      </c>
      <c r="E1308">
        <v>21</v>
      </c>
      <c r="F1308">
        <v>9</v>
      </c>
      <c r="G1308">
        <v>0</v>
      </c>
      <c r="H1308">
        <v>5</v>
      </c>
      <c r="I1308">
        <v>2</v>
      </c>
      <c r="J1308">
        <v>2017</v>
      </c>
      <c r="K1308">
        <v>7</v>
      </c>
      <c r="L1308">
        <v>276</v>
      </c>
      <c r="M1308" t="s">
        <v>16</v>
      </c>
      <c r="N1308">
        <f t="shared" si="60"/>
        <v>47.4</v>
      </c>
      <c r="O1308" t="str">
        <f t="shared" si="61"/>
        <v>July</v>
      </c>
      <c r="P1308" t="str">
        <f t="shared" si="62"/>
        <v>Weekday</v>
      </c>
    </row>
    <row r="1309" spans="1:16" x14ac:dyDescent="0.3">
      <c r="A1309" s="1">
        <v>42948</v>
      </c>
      <c r="B1309">
        <v>7.33</v>
      </c>
      <c r="C1309">
        <v>3.33</v>
      </c>
      <c r="D1309">
        <v>2</v>
      </c>
      <c r="E1309">
        <v>15.6</v>
      </c>
      <c r="F1309">
        <v>3</v>
      </c>
      <c r="G1309">
        <v>0</v>
      </c>
      <c r="H1309">
        <v>1</v>
      </c>
      <c r="I1309">
        <v>1</v>
      </c>
      <c r="J1309">
        <v>2017</v>
      </c>
      <c r="K1309">
        <v>8</v>
      </c>
      <c r="L1309">
        <v>276</v>
      </c>
      <c r="M1309" t="s">
        <v>17</v>
      </c>
      <c r="N1309">
        <f t="shared" si="60"/>
        <v>33.26</v>
      </c>
      <c r="O1309" t="str">
        <f t="shared" si="61"/>
        <v>August</v>
      </c>
      <c r="P1309" t="str">
        <f t="shared" si="62"/>
        <v>Weekday</v>
      </c>
    </row>
    <row r="1310" spans="1:16" x14ac:dyDescent="0.3">
      <c r="A1310" s="1">
        <v>42949</v>
      </c>
      <c r="B1310">
        <v>6</v>
      </c>
      <c r="C1310">
        <v>2.66</v>
      </c>
      <c r="D1310">
        <v>1</v>
      </c>
      <c r="E1310">
        <v>25</v>
      </c>
      <c r="F1310">
        <v>2</v>
      </c>
      <c r="G1310">
        <v>0</v>
      </c>
      <c r="H1310">
        <v>1</v>
      </c>
      <c r="I1310">
        <v>4</v>
      </c>
      <c r="J1310">
        <v>2017</v>
      </c>
      <c r="K1310">
        <v>8</v>
      </c>
      <c r="L1310">
        <v>276</v>
      </c>
      <c r="M1310" t="s">
        <v>18</v>
      </c>
      <c r="N1310">
        <f t="shared" si="60"/>
        <v>41.66</v>
      </c>
      <c r="O1310" t="str">
        <f t="shared" si="61"/>
        <v>August</v>
      </c>
      <c r="P1310" t="str">
        <f t="shared" si="62"/>
        <v>Weekday</v>
      </c>
    </row>
    <row r="1311" spans="1:16" x14ac:dyDescent="0.3">
      <c r="A1311" s="1">
        <v>42950</v>
      </c>
      <c r="B1311">
        <v>6.33</v>
      </c>
      <c r="C1311">
        <v>0.66</v>
      </c>
      <c r="D1311">
        <v>4</v>
      </c>
      <c r="E1311">
        <v>10</v>
      </c>
      <c r="F1311">
        <v>8</v>
      </c>
      <c r="G1311">
        <v>0</v>
      </c>
      <c r="H1311">
        <v>1</v>
      </c>
      <c r="I1311">
        <v>3</v>
      </c>
      <c r="J1311">
        <v>2017</v>
      </c>
      <c r="K1311">
        <v>8</v>
      </c>
      <c r="L1311">
        <v>276</v>
      </c>
      <c r="M1311" t="s">
        <v>12</v>
      </c>
      <c r="N1311">
        <f t="shared" si="60"/>
        <v>32.99</v>
      </c>
      <c r="O1311" t="str">
        <f t="shared" si="61"/>
        <v>August</v>
      </c>
      <c r="P1311" t="str">
        <f t="shared" si="62"/>
        <v>Weekday</v>
      </c>
    </row>
    <row r="1312" spans="1:16" x14ac:dyDescent="0.3">
      <c r="A1312" s="1">
        <v>42951</v>
      </c>
      <c r="B1312">
        <v>8</v>
      </c>
      <c r="C1312">
        <v>4</v>
      </c>
      <c r="D1312">
        <v>1</v>
      </c>
      <c r="E1312">
        <v>15</v>
      </c>
      <c r="F1312">
        <v>11</v>
      </c>
      <c r="G1312">
        <v>2</v>
      </c>
      <c r="H1312">
        <v>5</v>
      </c>
      <c r="I1312">
        <v>2</v>
      </c>
      <c r="J1312">
        <v>2017</v>
      </c>
      <c r="K1312">
        <v>8</v>
      </c>
      <c r="L1312">
        <v>276</v>
      </c>
      <c r="M1312" t="s">
        <v>13</v>
      </c>
      <c r="N1312">
        <f t="shared" si="60"/>
        <v>48</v>
      </c>
      <c r="O1312" t="str">
        <f t="shared" si="61"/>
        <v>August</v>
      </c>
      <c r="P1312" t="str">
        <f t="shared" si="62"/>
        <v>Weekday</v>
      </c>
    </row>
    <row r="1313" spans="1:16" x14ac:dyDescent="0.3">
      <c r="A1313" s="1">
        <v>42952</v>
      </c>
      <c r="B1313">
        <v>4.66</v>
      </c>
      <c r="C1313">
        <v>2.472</v>
      </c>
      <c r="D1313">
        <v>2</v>
      </c>
      <c r="E1313">
        <v>13.311999999999999</v>
      </c>
      <c r="F1313">
        <v>2</v>
      </c>
      <c r="G1313">
        <v>0</v>
      </c>
      <c r="H1313">
        <v>0</v>
      </c>
      <c r="I1313">
        <v>2</v>
      </c>
      <c r="J1313">
        <v>2017</v>
      </c>
      <c r="K1313">
        <v>8</v>
      </c>
      <c r="L1313">
        <v>276</v>
      </c>
      <c r="M1313" t="s">
        <v>14</v>
      </c>
      <c r="N1313">
        <f t="shared" si="60"/>
        <v>26.443999999999999</v>
      </c>
      <c r="O1313" t="str">
        <f t="shared" si="61"/>
        <v>August</v>
      </c>
      <c r="P1313" t="str">
        <f t="shared" si="62"/>
        <v>Weekend</v>
      </c>
    </row>
    <row r="1314" spans="1:16" x14ac:dyDescent="0.3">
      <c r="A1314" s="1">
        <v>42953</v>
      </c>
      <c r="B1314">
        <v>2</v>
      </c>
      <c r="C1314">
        <v>3.4289999999999998</v>
      </c>
      <c r="D1314">
        <v>1</v>
      </c>
      <c r="E1314">
        <v>13</v>
      </c>
      <c r="F1314">
        <v>6</v>
      </c>
      <c r="G1314">
        <v>0</v>
      </c>
      <c r="H1314">
        <v>0</v>
      </c>
      <c r="I1314">
        <v>3</v>
      </c>
      <c r="J1314">
        <v>2017</v>
      </c>
      <c r="K1314">
        <v>8</v>
      </c>
      <c r="L1314">
        <v>276</v>
      </c>
      <c r="M1314" t="s">
        <v>15</v>
      </c>
      <c r="N1314">
        <f t="shared" si="60"/>
        <v>28.429000000000002</v>
      </c>
      <c r="O1314" t="str">
        <f t="shared" si="61"/>
        <v>August</v>
      </c>
      <c r="P1314" t="str">
        <f t="shared" si="62"/>
        <v>Weekend</v>
      </c>
    </row>
    <row r="1315" spans="1:16" x14ac:dyDescent="0.3">
      <c r="A1315" s="1">
        <v>42954</v>
      </c>
      <c r="B1315">
        <v>1</v>
      </c>
      <c r="C1315">
        <v>5.34</v>
      </c>
      <c r="D1315">
        <v>3.1</v>
      </c>
      <c r="E1315">
        <v>16</v>
      </c>
      <c r="F1315">
        <v>9</v>
      </c>
      <c r="G1315">
        <v>2</v>
      </c>
      <c r="H1315">
        <v>0</v>
      </c>
      <c r="I1315">
        <v>0</v>
      </c>
      <c r="J1315">
        <v>2017</v>
      </c>
      <c r="K1315">
        <v>8</v>
      </c>
      <c r="L1315">
        <v>276</v>
      </c>
      <c r="M1315" t="s">
        <v>16</v>
      </c>
      <c r="N1315">
        <f t="shared" si="60"/>
        <v>36.44</v>
      </c>
      <c r="O1315" t="str">
        <f t="shared" si="61"/>
        <v>August</v>
      </c>
      <c r="P1315" t="str">
        <f t="shared" si="62"/>
        <v>Weekday</v>
      </c>
    </row>
    <row r="1316" spans="1:16" x14ac:dyDescent="0.3">
      <c r="A1316" s="1">
        <v>42955</v>
      </c>
      <c r="B1316">
        <v>6</v>
      </c>
      <c r="C1316">
        <v>1.7030000000000001</v>
      </c>
      <c r="D1316">
        <v>2.1</v>
      </c>
      <c r="E1316">
        <v>11.188000000000001</v>
      </c>
      <c r="F1316">
        <v>8</v>
      </c>
      <c r="G1316">
        <v>0</v>
      </c>
      <c r="H1316">
        <v>0</v>
      </c>
      <c r="I1316">
        <v>4.2</v>
      </c>
      <c r="J1316">
        <v>2017</v>
      </c>
      <c r="K1316">
        <v>8</v>
      </c>
      <c r="L1316">
        <v>276</v>
      </c>
      <c r="M1316" t="s">
        <v>17</v>
      </c>
      <c r="N1316">
        <f t="shared" si="60"/>
        <v>33.191000000000003</v>
      </c>
      <c r="O1316" t="str">
        <f t="shared" si="61"/>
        <v>August</v>
      </c>
      <c r="P1316" t="str">
        <f t="shared" si="62"/>
        <v>Weekday</v>
      </c>
    </row>
    <row r="1317" spans="1:16" x14ac:dyDescent="0.3">
      <c r="A1317" s="1">
        <v>42956</v>
      </c>
      <c r="B1317">
        <v>2.33</v>
      </c>
      <c r="C1317">
        <v>5.0999999999999996</v>
      </c>
      <c r="D1317">
        <v>3.15</v>
      </c>
      <c r="E1317">
        <v>13</v>
      </c>
      <c r="F1317">
        <v>15</v>
      </c>
      <c r="G1317">
        <v>0</v>
      </c>
      <c r="H1317">
        <v>2</v>
      </c>
      <c r="I1317">
        <v>2.2000000000000002</v>
      </c>
      <c r="J1317">
        <v>2017</v>
      </c>
      <c r="K1317">
        <v>8</v>
      </c>
      <c r="L1317">
        <v>276</v>
      </c>
      <c r="M1317" t="s">
        <v>18</v>
      </c>
      <c r="N1317">
        <f t="shared" si="60"/>
        <v>42.78</v>
      </c>
      <c r="O1317" t="str">
        <f t="shared" si="61"/>
        <v>August</v>
      </c>
      <c r="P1317" t="str">
        <f t="shared" si="62"/>
        <v>Weekday</v>
      </c>
    </row>
    <row r="1318" spans="1:16" x14ac:dyDescent="0.3">
      <c r="A1318" s="1">
        <v>42957</v>
      </c>
      <c r="B1318">
        <v>0</v>
      </c>
      <c r="C1318">
        <v>3.99</v>
      </c>
      <c r="D1318">
        <v>4</v>
      </c>
      <c r="E1318">
        <v>9</v>
      </c>
      <c r="F1318">
        <v>19</v>
      </c>
      <c r="G1318">
        <v>0</v>
      </c>
      <c r="H1318">
        <v>3</v>
      </c>
      <c r="I1318">
        <v>1.1000000000000001</v>
      </c>
      <c r="J1318">
        <v>2017</v>
      </c>
      <c r="K1318">
        <v>8</v>
      </c>
      <c r="L1318">
        <v>276</v>
      </c>
      <c r="M1318" t="s">
        <v>12</v>
      </c>
      <c r="N1318">
        <f t="shared" si="60"/>
        <v>40.090000000000003</v>
      </c>
      <c r="O1318" t="str">
        <f t="shared" si="61"/>
        <v>August</v>
      </c>
      <c r="P1318" t="str">
        <f t="shared" si="62"/>
        <v>Weekday</v>
      </c>
    </row>
    <row r="1319" spans="1:16" x14ac:dyDescent="0.3">
      <c r="A1319" s="1">
        <v>42958</v>
      </c>
      <c r="B1319">
        <v>4.33</v>
      </c>
      <c r="C1319">
        <v>1.65</v>
      </c>
      <c r="D1319">
        <v>5.0999999999999996</v>
      </c>
      <c r="E1319">
        <v>8</v>
      </c>
      <c r="F1319">
        <v>6</v>
      </c>
      <c r="G1319">
        <v>3</v>
      </c>
      <c r="H1319">
        <v>0</v>
      </c>
      <c r="I1319">
        <v>0</v>
      </c>
      <c r="J1319">
        <v>2017</v>
      </c>
      <c r="K1319">
        <v>8</v>
      </c>
      <c r="L1319">
        <v>276</v>
      </c>
      <c r="M1319" t="s">
        <v>13</v>
      </c>
      <c r="N1319">
        <f t="shared" si="60"/>
        <v>28.08</v>
      </c>
      <c r="O1319" t="str">
        <f t="shared" si="61"/>
        <v>August</v>
      </c>
      <c r="P1319" t="str">
        <f t="shared" si="62"/>
        <v>Weekday</v>
      </c>
    </row>
    <row r="1320" spans="1:16" x14ac:dyDescent="0.3">
      <c r="A1320" s="1">
        <v>42959</v>
      </c>
      <c r="B1320">
        <v>2.69</v>
      </c>
      <c r="C1320">
        <v>4.9390000000000001</v>
      </c>
      <c r="D1320">
        <v>2.5</v>
      </c>
      <c r="E1320">
        <v>22.6</v>
      </c>
      <c r="F1320">
        <v>4</v>
      </c>
      <c r="G1320">
        <v>0</v>
      </c>
      <c r="H1320">
        <v>6</v>
      </c>
      <c r="I1320">
        <v>2</v>
      </c>
      <c r="J1320">
        <v>2017</v>
      </c>
      <c r="K1320">
        <v>8</v>
      </c>
      <c r="L1320">
        <v>276</v>
      </c>
      <c r="M1320" t="s">
        <v>14</v>
      </c>
      <c r="N1320">
        <f t="shared" si="60"/>
        <v>44.728999999999999</v>
      </c>
      <c r="O1320" t="str">
        <f t="shared" si="61"/>
        <v>August</v>
      </c>
      <c r="P1320" t="str">
        <f t="shared" si="62"/>
        <v>Weekend</v>
      </c>
    </row>
    <row r="1321" spans="1:16" x14ac:dyDescent="0.3">
      <c r="A1321" s="1">
        <v>42960</v>
      </c>
      <c r="B1321">
        <v>3.66</v>
      </c>
      <c r="C1321">
        <v>3.65</v>
      </c>
      <c r="D1321">
        <v>2.0499999999999998</v>
      </c>
      <c r="E1321">
        <v>24</v>
      </c>
      <c r="F1321">
        <v>5</v>
      </c>
      <c r="G1321">
        <v>0</v>
      </c>
      <c r="H1321">
        <v>1</v>
      </c>
      <c r="I1321">
        <v>1</v>
      </c>
      <c r="J1321">
        <v>2017</v>
      </c>
      <c r="K1321">
        <v>8</v>
      </c>
      <c r="L1321">
        <v>276</v>
      </c>
      <c r="M1321" t="s">
        <v>15</v>
      </c>
      <c r="N1321">
        <f t="shared" si="60"/>
        <v>40.36</v>
      </c>
      <c r="O1321" t="str">
        <f t="shared" si="61"/>
        <v>August</v>
      </c>
      <c r="P1321" t="str">
        <f t="shared" si="62"/>
        <v>Weekend</v>
      </c>
    </row>
    <row r="1322" spans="1:16" x14ac:dyDescent="0.3">
      <c r="A1322" s="1">
        <v>42961</v>
      </c>
      <c r="B1322">
        <v>11.34</v>
      </c>
      <c r="C1322">
        <v>2.0670000000000002</v>
      </c>
      <c r="D1322">
        <v>4</v>
      </c>
      <c r="E1322">
        <v>13</v>
      </c>
      <c r="F1322">
        <v>4</v>
      </c>
      <c r="G1322">
        <v>0</v>
      </c>
      <c r="H1322">
        <v>0</v>
      </c>
      <c r="I1322">
        <v>2</v>
      </c>
      <c r="J1322">
        <v>2017</v>
      </c>
      <c r="K1322">
        <v>8</v>
      </c>
      <c r="L1322">
        <v>276</v>
      </c>
      <c r="M1322" t="s">
        <v>16</v>
      </c>
      <c r="N1322">
        <f t="shared" si="60"/>
        <v>36.406999999999996</v>
      </c>
      <c r="O1322" t="str">
        <f t="shared" si="61"/>
        <v>August</v>
      </c>
      <c r="P1322" t="str">
        <f t="shared" si="62"/>
        <v>Weekday</v>
      </c>
    </row>
    <row r="1323" spans="1:16" x14ac:dyDescent="0.3">
      <c r="A1323" s="1">
        <v>42962</v>
      </c>
      <c r="B1323">
        <v>2.33</v>
      </c>
      <c r="C1323">
        <v>6.7030000000000003</v>
      </c>
      <c r="D1323">
        <v>2.15</v>
      </c>
      <c r="E1323">
        <v>35</v>
      </c>
      <c r="F1323">
        <v>11</v>
      </c>
      <c r="G1323">
        <v>0</v>
      </c>
      <c r="H1323">
        <v>2</v>
      </c>
      <c r="I1323">
        <v>3</v>
      </c>
      <c r="J1323">
        <v>2017</v>
      </c>
      <c r="K1323">
        <v>8</v>
      </c>
      <c r="L1323">
        <v>276</v>
      </c>
      <c r="M1323" t="s">
        <v>17</v>
      </c>
      <c r="N1323">
        <f t="shared" si="60"/>
        <v>62.183</v>
      </c>
      <c r="O1323" t="str">
        <f t="shared" si="61"/>
        <v>August</v>
      </c>
      <c r="P1323" t="str">
        <f t="shared" si="62"/>
        <v>Weekday</v>
      </c>
    </row>
    <row r="1324" spans="1:16" x14ac:dyDescent="0.3">
      <c r="A1324" s="1">
        <v>42963</v>
      </c>
      <c r="B1324">
        <v>5.33</v>
      </c>
      <c r="C1324">
        <v>3.67</v>
      </c>
      <c r="D1324">
        <v>1</v>
      </c>
      <c r="E1324">
        <v>10.45</v>
      </c>
      <c r="F1324">
        <v>13</v>
      </c>
      <c r="G1324">
        <v>0</v>
      </c>
      <c r="H1324">
        <v>4</v>
      </c>
      <c r="I1324">
        <v>2</v>
      </c>
      <c r="J1324">
        <v>2017</v>
      </c>
      <c r="K1324">
        <v>8</v>
      </c>
      <c r="L1324">
        <v>276</v>
      </c>
      <c r="M1324" t="s">
        <v>18</v>
      </c>
      <c r="N1324">
        <f t="shared" si="60"/>
        <v>39.450000000000003</v>
      </c>
      <c r="O1324" t="str">
        <f t="shared" si="61"/>
        <v>August</v>
      </c>
      <c r="P1324" t="str">
        <f t="shared" si="62"/>
        <v>Weekday</v>
      </c>
    </row>
    <row r="1325" spans="1:16" x14ac:dyDescent="0.3">
      <c r="A1325" s="1">
        <v>42964</v>
      </c>
      <c r="B1325">
        <v>5.16</v>
      </c>
      <c r="C1325">
        <v>1.33</v>
      </c>
      <c r="D1325">
        <v>5</v>
      </c>
      <c r="E1325">
        <v>12</v>
      </c>
      <c r="F1325">
        <v>8</v>
      </c>
      <c r="G1325">
        <v>0</v>
      </c>
      <c r="H1325">
        <v>1</v>
      </c>
      <c r="I1325">
        <v>1.5</v>
      </c>
      <c r="J1325">
        <v>2017</v>
      </c>
      <c r="K1325">
        <v>8</v>
      </c>
      <c r="L1325">
        <v>276</v>
      </c>
      <c r="M1325" t="s">
        <v>12</v>
      </c>
      <c r="N1325">
        <f t="shared" si="60"/>
        <v>33.99</v>
      </c>
      <c r="O1325" t="str">
        <f t="shared" si="61"/>
        <v>August</v>
      </c>
      <c r="P1325" t="str">
        <f t="shared" si="62"/>
        <v>Weekday</v>
      </c>
    </row>
    <row r="1326" spans="1:16" x14ac:dyDescent="0.3">
      <c r="A1326" s="1">
        <v>42965</v>
      </c>
      <c r="B1326">
        <v>2.33</v>
      </c>
      <c r="C1326">
        <v>3.99</v>
      </c>
      <c r="D1326">
        <v>3</v>
      </c>
      <c r="E1326">
        <v>15</v>
      </c>
      <c r="F1326">
        <v>4</v>
      </c>
      <c r="G1326">
        <v>0</v>
      </c>
      <c r="H1326">
        <v>0</v>
      </c>
      <c r="I1326">
        <v>3</v>
      </c>
      <c r="J1326">
        <v>2017</v>
      </c>
      <c r="K1326">
        <v>8</v>
      </c>
      <c r="L1326">
        <v>276</v>
      </c>
      <c r="M1326" t="s">
        <v>13</v>
      </c>
      <c r="N1326">
        <f t="shared" si="60"/>
        <v>31.32</v>
      </c>
      <c r="O1326" t="str">
        <f t="shared" si="61"/>
        <v>August</v>
      </c>
      <c r="P1326" t="str">
        <f t="shared" si="62"/>
        <v>Weekday</v>
      </c>
    </row>
    <row r="1327" spans="1:16" x14ac:dyDescent="0.3">
      <c r="A1327" s="1">
        <v>42966</v>
      </c>
      <c r="B1327">
        <v>5</v>
      </c>
      <c r="C1327">
        <v>4.7130000000000001</v>
      </c>
      <c r="D1327">
        <v>3</v>
      </c>
      <c r="E1327">
        <v>16</v>
      </c>
      <c r="F1327">
        <v>10</v>
      </c>
      <c r="G1327">
        <v>0</v>
      </c>
      <c r="H1327">
        <v>11</v>
      </c>
      <c r="I1327">
        <v>2</v>
      </c>
      <c r="J1327">
        <v>2017</v>
      </c>
      <c r="K1327">
        <v>8</v>
      </c>
      <c r="L1327">
        <v>276</v>
      </c>
      <c r="M1327" t="s">
        <v>14</v>
      </c>
      <c r="N1327">
        <f t="shared" si="60"/>
        <v>51.713000000000001</v>
      </c>
      <c r="O1327" t="str">
        <f t="shared" si="61"/>
        <v>August</v>
      </c>
      <c r="P1327" t="str">
        <f t="shared" si="62"/>
        <v>Weekend</v>
      </c>
    </row>
    <row r="1328" spans="1:16" x14ac:dyDescent="0.3">
      <c r="A1328" s="1">
        <v>42967</v>
      </c>
      <c r="B1328">
        <v>4.33</v>
      </c>
      <c r="C1328">
        <v>2.056</v>
      </c>
      <c r="D1328">
        <v>6</v>
      </c>
      <c r="E1328">
        <v>14.4</v>
      </c>
      <c r="F1328">
        <v>6</v>
      </c>
      <c r="G1328">
        <v>0</v>
      </c>
      <c r="H1328">
        <v>2</v>
      </c>
      <c r="I1328">
        <v>1</v>
      </c>
      <c r="J1328">
        <v>2017</v>
      </c>
      <c r="K1328">
        <v>8</v>
      </c>
      <c r="L1328">
        <v>276</v>
      </c>
      <c r="M1328" t="s">
        <v>15</v>
      </c>
      <c r="N1328">
        <f t="shared" si="60"/>
        <v>35.786000000000001</v>
      </c>
      <c r="O1328" t="str">
        <f t="shared" si="61"/>
        <v>August</v>
      </c>
      <c r="P1328" t="str">
        <f t="shared" si="62"/>
        <v>Weekend</v>
      </c>
    </row>
    <row r="1329" spans="1:16" x14ac:dyDescent="0.3">
      <c r="A1329" s="1">
        <v>42968</v>
      </c>
      <c r="B1329">
        <v>9.33</v>
      </c>
      <c r="C1329">
        <v>3.34</v>
      </c>
      <c r="D1329">
        <v>2.4</v>
      </c>
      <c r="E1329">
        <v>19</v>
      </c>
      <c r="F1329">
        <v>4</v>
      </c>
      <c r="G1329">
        <v>0</v>
      </c>
      <c r="H1329">
        <v>0</v>
      </c>
      <c r="I1329">
        <v>0</v>
      </c>
      <c r="J1329">
        <v>2017</v>
      </c>
      <c r="K1329">
        <v>8</v>
      </c>
      <c r="L1329">
        <v>276</v>
      </c>
      <c r="M1329" t="s">
        <v>16</v>
      </c>
      <c r="N1329">
        <f t="shared" si="60"/>
        <v>38.07</v>
      </c>
      <c r="O1329" t="str">
        <f t="shared" si="61"/>
        <v>August</v>
      </c>
      <c r="P1329" t="str">
        <f t="shared" si="62"/>
        <v>Weekday</v>
      </c>
    </row>
    <row r="1330" spans="1:16" x14ac:dyDescent="0.3">
      <c r="A1330" s="1">
        <v>42969</v>
      </c>
      <c r="B1330">
        <v>6</v>
      </c>
      <c r="C1330">
        <v>1.34</v>
      </c>
      <c r="D1330">
        <v>3.15</v>
      </c>
      <c r="E1330">
        <v>22.2</v>
      </c>
      <c r="F1330">
        <v>3</v>
      </c>
      <c r="G1330">
        <v>0</v>
      </c>
      <c r="H1330">
        <v>0</v>
      </c>
      <c r="I1330">
        <v>2</v>
      </c>
      <c r="J1330">
        <v>2017</v>
      </c>
      <c r="K1330">
        <v>8</v>
      </c>
      <c r="L1330">
        <v>276</v>
      </c>
      <c r="M1330" t="s">
        <v>17</v>
      </c>
      <c r="N1330">
        <f t="shared" si="60"/>
        <v>37.69</v>
      </c>
      <c r="O1330" t="str">
        <f t="shared" si="61"/>
        <v>August</v>
      </c>
      <c r="P1330" t="str">
        <f t="shared" si="62"/>
        <v>Weekday</v>
      </c>
    </row>
    <row r="1331" spans="1:16" x14ac:dyDescent="0.3">
      <c r="A1331" s="1">
        <v>42970</v>
      </c>
      <c r="B1331">
        <v>3.33</v>
      </c>
      <c r="C1331">
        <v>2.33</v>
      </c>
      <c r="D1331">
        <v>2</v>
      </c>
      <c r="E1331">
        <v>42</v>
      </c>
      <c r="F1331">
        <v>8</v>
      </c>
      <c r="G1331">
        <v>0</v>
      </c>
      <c r="H1331">
        <v>9</v>
      </c>
      <c r="I1331">
        <v>3</v>
      </c>
      <c r="J1331">
        <v>2017</v>
      </c>
      <c r="K1331">
        <v>8</v>
      </c>
      <c r="L1331">
        <v>276</v>
      </c>
      <c r="M1331" t="s">
        <v>18</v>
      </c>
      <c r="N1331">
        <f t="shared" si="60"/>
        <v>69.66</v>
      </c>
      <c r="O1331" t="str">
        <f t="shared" si="61"/>
        <v>August</v>
      </c>
      <c r="P1331" t="str">
        <f t="shared" si="62"/>
        <v>Weekday</v>
      </c>
    </row>
    <row r="1332" spans="1:16" x14ac:dyDescent="0.3">
      <c r="A1332" s="1">
        <v>42971</v>
      </c>
      <c r="B1332">
        <v>8</v>
      </c>
      <c r="C1332">
        <v>9.0530000000000008</v>
      </c>
      <c r="D1332">
        <v>2</v>
      </c>
      <c r="E1332">
        <v>27</v>
      </c>
      <c r="F1332">
        <v>13</v>
      </c>
      <c r="G1332">
        <v>0</v>
      </c>
      <c r="H1332">
        <v>1</v>
      </c>
      <c r="I1332">
        <v>3</v>
      </c>
      <c r="J1332">
        <v>2017</v>
      </c>
      <c r="K1332">
        <v>8</v>
      </c>
      <c r="L1332">
        <v>276</v>
      </c>
      <c r="M1332" t="s">
        <v>12</v>
      </c>
      <c r="N1332">
        <f t="shared" si="60"/>
        <v>63.052999999999997</v>
      </c>
      <c r="O1332" t="str">
        <f t="shared" si="61"/>
        <v>August</v>
      </c>
      <c r="P1332" t="str">
        <f t="shared" si="62"/>
        <v>Weekday</v>
      </c>
    </row>
    <row r="1333" spans="1:16" x14ac:dyDescent="0.3">
      <c r="A1333" s="1">
        <v>42972</v>
      </c>
      <c r="B1333">
        <v>6</v>
      </c>
      <c r="C1333">
        <v>3.01</v>
      </c>
      <c r="D1333">
        <v>1</v>
      </c>
      <c r="E1333">
        <v>20.25</v>
      </c>
      <c r="F1333">
        <v>17</v>
      </c>
      <c r="G1333">
        <v>0</v>
      </c>
      <c r="H1333">
        <v>0</v>
      </c>
      <c r="I1333">
        <v>1</v>
      </c>
      <c r="J1333">
        <v>2017</v>
      </c>
      <c r="K1333">
        <v>8</v>
      </c>
      <c r="L1333">
        <v>276</v>
      </c>
      <c r="M1333" t="s">
        <v>13</v>
      </c>
      <c r="N1333">
        <f t="shared" si="60"/>
        <v>48.26</v>
      </c>
      <c r="O1333" t="str">
        <f t="shared" si="61"/>
        <v>August</v>
      </c>
      <c r="P1333" t="str">
        <f t="shared" si="62"/>
        <v>Weekday</v>
      </c>
    </row>
    <row r="1334" spans="1:16" x14ac:dyDescent="0.3">
      <c r="A1334" s="1">
        <v>42973</v>
      </c>
      <c r="B1334">
        <v>4.99</v>
      </c>
      <c r="C1334">
        <v>3.516</v>
      </c>
      <c r="D1334">
        <v>1</v>
      </c>
      <c r="E1334">
        <v>19</v>
      </c>
      <c r="F1334">
        <v>10</v>
      </c>
      <c r="G1334">
        <v>0</v>
      </c>
      <c r="H1334">
        <v>6</v>
      </c>
      <c r="I1334">
        <v>2</v>
      </c>
      <c r="J1334">
        <v>2017</v>
      </c>
      <c r="K1334">
        <v>8</v>
      </c>
      <c r="L1334">
        <v>276</v>
      </c>
      <c r="M1334" t="s">
        <v>14</v>
      </c>
      <c r="N1334">
        <f t="shared" si="60"/>
        <v>46.506</v>
      </c>
      <c r="O1334" t="str">
        <f t="shared" si="61"/>
        <v>August</v>
      </c>
      <c r="P1334" t="str">
        <f t="shared" si="62"/>
        <v>Weekend</v>
      </c>
    </row>
    <row r="1335" spans="1:16" x14ac:dyDescent="0.3">
      <c r="A1335" s="1">
        <v>42974</v>
      </c>
      <c r="B1335">
        <v>3</v>
      </c>
      <c r="C1335">
        <v>5.34</v>
      </c>
      <c r="D1335">
        <v>1</v>
      </c>
      <c r="E1335">
        <v>21.3</v>
      </c>
      <c r="F1335">
        <v>5</v>
      </c>
      <c r="G1335">
        <v>2</v>
      </c>
      <c r="H1335">
        <v>7</v>
      </c>
      <c r="I1335">
        <v>1</v>
      </c>
      <c r="J1335">
        <v>2017</v>
      </c>
      <c r="K1335">
        <v>8</v>
      </c>
      <c r="L1335">
        <v>276</v>
      </c>
      <c r="M1335" t="s">
        <v>15</v>
      </c>
      <c r="N1335">
        <f t="shared" si="60"/>
        <v>45.64</v>
      </c>
      <c r="O1335" t="str">
        <f t="shared" si="61"/>
        <v>August</v>
      </c>
      <c r="P1335" t="str">
        <f t="shared" si="62"/>
        <v>Weekend</v>
      </c>
    </row>
    <row r="1336" spans="1:16" x14ac:dyDescent="0.3">
      <c r="A1336" s="1">
        <v>42975</v>
      </c>
      <c r="B1336">
        <v>8</v>
      </c>
      <c r="C1336">
        <v>7</v>
      </c>
      <c r="D1336">
        <v>5</v>
      </c>
      <c r="E1336">
        <v>16</v>
      </c>
      <c r="F1336">
        <v>12</v>
      </c>
      <c r="G1336">
        <v>0</v>
      </c>
      <c r="H1336">
        <v>1</v>
      </c>
      <c r="I1336">
        <v>3</v>
      </c>
      <c r="J1336">
        <v>2017</v>
      </c>
      <c r="K1336">
        <v>8</v>
      </c>
      <c r="L1336">
        <v>276</v>
      </c>
      <c r="M1336" t="s">
        <v>16</v>
      </c>
      <c r="N1336">
        <f t="shared" si="60"/>
        <v>52</v>
      </c>
      <c r="O1336" t="str">
        <f t="shared" si="61"/>
        <v>August</v>
      </c>
      <c r="P1336" t="str">
        <f t="shared" si="62"/>
        <v>Weekday</v>
      </c>
    </row>
    <row r="1337" spans="1:16" x14ac:dyDescent="0.3">
      <c r="A1337" s="1">
        <v>42976</v>
      </c>
      <c r="B1337">
        <v>7</v>
      </c>
      <c r="C1337">
        <v>3.0659999999999998</v>
      </c>
      <c r="D1337">
        <v>3.5</v>
      </c>
      <c r="E1337">
        <v>17</v>
      </c>
      <c r="F1337">
        <v>5</v>
      </c>
      <c r="G1337">
        <v>0</v>
      </c>
      <c r="H1337">
        <v>11</v>
      </c>
      <c r="I1337">
        <v>2.1</v>
      </c>
      <c r="J1337">
        <v>2017</v>
      </c>
      <c r="K1337">
        <v>8</v>
      </c>
      <c r="L1337">
        <v>276</v>
      </c>
      <c r="M1337" t="s">
        <v>17</v>
      </c>
      <c r="N1337">
        <f t="shared" si="60"/>
        <v>48.666000000000004</v>
      </c>
      <c r="O1337" t="str">
        <f t="shared" si="61"/>
        <v>August</v>
      </c>
      <c r="P1337" t="str">
        <f t="shared" si="62"/>
        <v>Weekday</v>
      </c>
    </row>
    <row r="1338" spans="1:16" x14ac:dyDescent="0.3">
      <c r="A1338" s="1">
        <v>42977</v>
      </c>
      <c r="B1338">
        <v>7.67</v>
      </c>
      <c r="C1338">
        <v>3.99</v>
      </c>
      <c r="D1338">
        <v>3.15</v>
      </c>
      <c r="E1338">
        <v>17</v>
      </c>
      <c r="F1338">
        <v>4</v>
      </c>
      <c r="G1338">
        <v>3</v>
      </c>
      <c r="H1338">
        <v>0</v>
      </c>
      <c r="I1338">
        <v>2</v>
      </c>
      <c r="J1338">
        <v>2017</v>
      </c>
      <c r="K1338">
        <v>8</v>
      </c>
      <c r="L1338">
        <v>276</v>
      </c>
      <c r="M1338" t="s">
        <v>18</v>
      </c>
      <c r="N1338">
        <f t="shared" si="60"/>
        <v>40.81</v>
      </c>
      <c r="O1338" t="str">
        <f t="shared" si="61"/>
        <v>August</v>
      </c>
      <c r="P1338" t="str">
        <f t="shared" si="62"/>
        <v>Weekday</v>
      </c>
    </row>
    <row r="1339" spans="1:16" x14ac:dyDescent="0.3">
      <c r="A1339" s="1">
        <v>42978</v>
      </c>
      <c r="B1339">
        <v>16.68</v>
      </c>
      <c r="C1339">
        <v>3.0329999999999999</v>
      </c>
      <c r="D1339">
        <v>3.05</v>
      </c>
      <c r="E1339">
        <v>17</v>
      </c>
      <c r="F1339">
        <v>4</v>
      </c>
      <c r="G1339">
        <v>0</v>
      </c>
      <c r="H1339">
        <v>0</v>
      </c>
      <c r="I1339">
        <v>1</v>
      </c>
      <c r="J1339">
        <v>2017</v>
      </c>
      <c r="K1339">
        <v>8</v>
      </c>
      <c r="L1339">
        <v>276</v>
      </c>
      <c r="M1339" t="s">
        <v>12</v>
      </c>
      <c r="N1339">
        <f t="shared" si="60"/>
        <v>44.763000000000005</v>
      </c>
      <c r="O1339" t="str">
        <f t="shared" si="61"/>
        <v>August</v>
      </c>
      <c r="P1339" t="str">
        <f t="shared" si="62"/>
        <v>Weekday</v>
      </c>
    </row>
    <row r="1340" spans="1:16" x14ac:dyDescent="0.3">
      <c r="A1340" s="1">
        <v>42979</v>
      </c>
      <c r="B1340">
        <v>3.34</v>
      </c>
      <c r="C1340">
        <v>3</v>
      </c>
      <c r="D1340">
        <v>5</v>
      </c>
      <c r="E1340">
        <v>20.6</v>
      </c>
      <c r="F1340">
        <v>8</v>
      </c>
      <c r="G1340">
        <v>0</v>
      </c>
      <c r="H1340">
        <v>2</v>
      </c>
      <c r="I1340">
        <v>0</v>
      </c>
      <c r="J1340">
        <v>2017</v>
      </c>
      <c r="K1340">
        <v>9</v>
      </c>
      <c r="L1340">
        <v>276</v>
      </c>
      <c r="M1340" t="s">
        <v>13</v>
      </c>
      <c r="N1340">
        <f t="shared" si="60"/>
        <v>41.94</v>
      </c>
      <c r="O1340" t="str">
        <f t="shared" si="61"/>
        <v>September</v>
      </c>
      <c r="P1340" t="str">
        <f t="shared" si="62"/>
        <v>Weekday</v>
      </c>
    </row>
    <row r="1341" spans="1:16" x14ac:dyDescent="0.3">
      <c r="A1341" s="1">
        <v>42980</v>
      </c>
      <c r="B1341">
        <v>6.34</v>
      </c>
      <c r="C1341">
        <v>2.13</v>
      </c>
      <c r="D1341">
        <v>6</v>
      </c>
      <c r="E1341">
        <v>18.399999999999999</v>
      </c>
      <c r="F1341">
        <v>8</v>
      </c>
      <c r="G1341">
        <v>0</v>
      </c>
      <c r="H1341">
        <v>1</v>
      </c>
      <c r="I1341">
        <v>3</v>
      </c>
      <c r="J1341">
        <v>2017</v>
      </c>
      <c r="K1341">
        <v>9</v>
      </c>
      <c r="L1341">
        <v>276</v>
      </c>
      <c r="M1341" t="s">
        <v>14</v>
      </c>
      <c r="N1341">
        <f t="shared" si="60"/>
        <v>44.87</v>
      </c>
      <c r="O1341" t="str">
        <f t="shared" si="61"/>
        <v>September</v>
      </c>
      <c r="P1341" t="str">
        <f t="shared" si="62"/>
        <v>Weekend</v>
      </c>
    </row>
    <row r="1342" spans="1:16" x14ac:dyDescent="0.3">
      <c r="A1342" s="1">
        <v>42981</v>
      </c>
      <c r="B1342">
        <v>6.83</v>
      </c>
      <c r="C1342">
        <v>5.4619999999999997</v>
      </c>
      <c r="D1342">
        <v>2</v>
      </c>
      <c r="E1342">
        <v>18.399999999999999</v>
      </c>
      <c r="F1342">
        <v>7</v>
      </c>
      <c r="G1342">
        <v>0</v>
      </c>
      <c r="H1342">
        <v>1</v>
      </c>
      <c r="I1342">
        <v>3</v>
      </c>
      <c r="J1342">
        <v>2017</v>
      </c>
      <c r="K1342">
        <v>9</v>
      </c>
      <c r="L1342">
        <v>276</v>
      </c>
      <c r="M1342" t="s">
        <v>15</v>
      </c>
      <c r="N1342">
        <f t="shared" si="60"/>
        <v>43.692</v>
      </c>
      <c r="O1342" t="str">
        <f t="shared" si="61"/>
        <v>September</v>
      </c>
      <c r="P1342" t="str">
        <f t="shared" si="62"/>
        <v>Weekend</v>
      </c>
    </row>
    <row r="1343" spans="1:16" x14ac:dyDescent="0.3">
      <c r="A1343" s="1">
        <v>42982</v>
      </c>
      <c r="B1343">
        <v>6.5</v>
      </c>
      <c r="C1343">
        <v>3.33</v>
      </c>
      <c r="D1343">
        <v>6</v>
      </c>
      <c r="E1343">
        <v>24</v>
      </c>
      <c r="F1343">
        <v>7</v>
      </c>
      <c r="G1343">
        <v>0</v>
      </c>
      <c r="H1343">
        <v>0</v>
      </c>
      <c r="I1343">
        <v>3</v>
      </c>
      <c r="J1343">
        <v>2017</v>
      </c>
      <c r="K1343">
        <v>9</v>
      </c>
      <c r="L1343">
        <v>276</v>
      </c>
      <c r="M1343" t="s">
        <v>16</v>
      </c>
      <c r="N1343">
        <f t="shared" si="60"/>
        <v>49.83</v>
      </c>
      <c r="O1343" t="str">
        <f t="shared" si="61"/>
        <v>September</v>
      </c>
      <c r="P1343" t="str">
        <f t="shared" si="62"/>
        <v>Weekday</v>
      </c>
    </row>
    <row r="1344" spans="1:16" x14ac:dyDescent="0.3">
      <c r="A1344" s="1">
        <v>42983</v>
      </c>
      <c r="B1344">
        <v>6.17</v>
      </c>
      <c r="C1344">
        <v>4.0199999999999996</v>
      </c>
      <c r="D1344">
        <v>4</v>
      </c>
      <c r="E1344">
        <v>19.100000000000001</v>
      </c>
      <c r="F1344">
        <v>7</v>
      </c>
      <c r="G1344">
        <v>1</v>
      </c>
      <c r="H1344">
        <v>2</v>
      </c>
      <c r="I1344">
        <v>1.3</v>
      </c>
      <c r="J1344">
        <v>2017</v>
      </c>
      <c r="K1344">
        <v>9</v>
      </c>
      <c r="L1344">
        <v>276</v>
      </c>
      <c r="M1344" t="s">
        <v>17</v>
      </c>
      <c r="N1344">
        <f t="shared" si="60"/>
        <v>44.589999999999996</v>
      </c>
      <c r="O1344" t="str">
        <f t="shared" si="61"/>
        <v>September</v>
      </c>
      <c r="P1344" t="str">
        <f t="shared" si="62"/>
        <v>Weekday</v>
      </c>
    </row>
    <row r="1345" spans="1:16" x14ac:dyDescent="0.3">
      <c r="A1345" s="1">
        <v>42984</v>
      </c>
      <c r="B1345">
        <v>4.33</v>
      </c>
      <c r="C1345">
        <v>3</v>
      </c>
      <c r="D1345">
        <v>5</v>
      </c>
      <c r="E1345">
        <v>32</v>
      </c>
      <c r="F1345">
        <v>6</v>
      </c>
      <c r="G1345">
        <v>0</v>
      </c>
      <c r="H1345">
        <v>3</v>
      </c>
      <c r="I1345">
        <v>3</v>
      </c>
      <c r="J1345">
        <v>2017</v>
      </c>
      <c r="K1345">
        <v>9</v>
      </c>
      <c r="L1345">
        <v>276</v>
      </c>
      <c r="M1345" t="s">
        <v>18</v>
      </c>
      <c r="N1345">
        <f t="shared" si="60"/>
        <v>56.33</v>
      </c>
      <c r="O1345" t="str">
        <f t="shared" si="61"/>
        <v>September</v>
      </c>
      <c r="P1345" t="str">
        <f t="shared" si="62"/>
        <v>Weekday</v>
      </c>
    </row>
    <row r="1346" spans="1:16" x14ac:dyDescent="0.3">
      <c r="A1346" s="1">
        <v>42985</v>
      </c>
      <c r="B1346">
        <v>3</v>
      </c>
      <c r="C1346">
        <v>1</v>
      </c>
      <c r="D1346">
        <v>3.2</v>
      </c>
      <c r="E1346">
        <v>18</v>
      </c>
      <c r="F1346">
        <v>2</v>
      </c>
      <c r="G1346">
        <v>0</v>
      </c>
      <c r="H1346">
        <v>0</v>
      </c>
      <c r="I1346">
        <v>2</v>
      </c>
      <c r="J1346">
        <v>2017</v>
      </c>
      <c r="K1346">
        <v>9</v>
      </c>
      <c r="L1346">
        <v>276</v>
      </c>
      <c r="M1346" t="s">
        <v>12</v>
      </c>
      <c r="N1346">
        <f t="shared" si="60"/>
        <v>29.2</v>
      </c>
      <c r="O1346" t="str">
        <f t="shared" si="61"/>
        <v>September</v>
      </c>
      <c r="P1346" t="str">
        <f t="shared" si="62"/>
        <v>Weekday</v>
      </c>
    </row>
    <row r="1347" spans="1:16" x14ac:dyDescent="0.3">
      <c r="A1347" s="1">
        <v>42986</v>
      </c>
      <c r="B1347">
        <v>8.83</v>
      </c>
      <c r="C1347">
        <v>7.32</v>
      </c>
      <c r="D1347">
        <v>3.1</v>
      </c>
      <c r="E1347">
        <v>34</v>
      </c>
      <c r="F1347">
        <v>8</v>
      </c>
      <c r="G1347">
        <v>0</v>
      </c>
      <c r="H1347">
        <v>3</v>
      </c>
      <c r="I1347">
        <v>4</v>
      </c>
      <c r="J1347">
        <v>2017</v>
      </c>
      <c r="K1347">
        <v>9</v>
      </c>
      <c r="L1347">
        <v>276</v>
      </c>
      <c r="M1347" t="s">
        <v>13</v>
      </c>
      <c r="N1347">
        <f t="shared" ref="N1347:N1410" si="63">SUM(B1347:I1347)</f>
        <v>68.25</v>
      </c>
      <c r="O1347" t="str">
        <f t="shared" ref="O1347:O1410" si="64">TEXT(A1347,"mmmm")</f>
        <v>September</v>
      </c>
      <c r="P1347" t="str">
        <f t="shared" ref="P1347:P1410" si="65">IF(OR(M1347="Saturday",M1347="Sunday"),"Weekend","Weekday")</f>
        <v>Weekday</v>
      </c>
    </row>
    <row r="1348" spans="1:16" x14ac:dyDescent="0.3">
      <c r="A1348" s="1">
        <v>42987</v>
      </c>
      <c r="B1348">
        <v>6</v>
      </c>
      <c r="C1348">
        <v>8.34</v>
      </c>
      <c r="D1348">
        <v>2.5</v>
      </c>
      <c r="E1348">
        <v>20</v>
      </c>
      <c r="F1348">
        <v>7</v>
      </c>
      <c r="G1348">
        <v>0</v>
      </c>
      <c r="H1348">
        <v>0</v>
      </c>
      <c r="I1348">
        <v>4</v>
      </c>
      <c r="J1348">
        <v>2017</v>
      </c>
      <c r="K1348">
        <v>9</v>
      </c>
      <c r="L1348">
        <v>276</v>
      </c>
      <c r="M1348" t="s">
        <v>14</v>
      </c>
      <c r="N1348">
        <f t="shared" si="63"/>
        <v>47.84</v>
      </c>
      <c r="O1348" t="str">
        <f t="shared" si="64"/>
        <v>September</v>
      </c>
      <c r="P1348" t="str">
        <f t="shared" si="65"/>
        <v>Weekend</v>
      </c>
    </row>
    <row r="1349" spans="1:16" x14ac:dyDescent="0.3">
      <c r="A1349" s="1">
        <v>42988</v>
      </c>
      <c r="B1349">
        <v>3.34</v>
      </c>
      <c r="C1349">
        <v>5.35</v>
      </c>
      <c r="D1349">
        <v>1</v>
      </c>
      <c r="E1349">
        <v>35.6</v>
      </c>
      <c r="F1349">
        <v>7</v>
      </c>
      <c r="G1349">
        <v>0</v>
      </c>
      <c r="H1349">
        <v>0</v>
      </c>
      <c r="I1349">
        <v>4.2</v>
      </c>
      <c r="J1349">
        <v>2017</v>
      </c>
      <c r="K1349">
        <v>9</v>
      </c>
      <c r="L1349">
        <v>276</v>
      </c>
      <c r="M1349" t="s">
        <v>15</v>
      </c>
      <c r="N1349">
        <f t="shared" si="63"/>
        <v>56.49</v>
      </c>
      <c r="O1349" t="str">
        <f t="shared" si="64"/>
        <v>September</v>
      </c>
      <c r="P1349" t="str">
        <f t="shared" si="65"/>
        <v>Weekend</v>
      </c>
    </row>
    <row r="1350" spans="1:16" x14ac:dyDescent="0.3">
      <c r="A1350" s="1">
        <v>42989</v>
      </c>
      <c r="B1350">
        <v>2</v>
      </c>
      <c r="C1350">
        <v>3.3730000000000002</v>
      </c>
      <c r="D1350">
        <v>2</v>
      </c>
      <c r="E1350">
        <v>12</v>
      </c>
      <c r="F1350">
        <v>16</v>
      </c>
      <c r="G1350">
        <v>0</v>
      </c>
      <c r="H1350">
        <v>0</v>
      </c>
      <c r="I1350">
        <v>2</v>
      </c>
      <c r="J1350">
        <v>2017</v>
      </c>
      <c r="K1350">
        <v>9</v>
      </c>
      <c r="L1350">
        <v>276</v>
      </c>
      <c r="M1350" t="s">
        <v>16</v>
      </c>
      <c r="N1350">
        <f t="shared" si="63"/>
        <v>37.373000000000005</v>
      </c>
      <c r="O1350" t="str">
        <f t="shared" si="64"/>
        <v>September</v>
      </c>
      <c r="P1350" t="str">
        <f t="shared" si="65"/>
        <v>Weekday</v>
      </c>
    </row>
    <row r="1351" spans="1:16" x14ac:dyDescent="0.3">
      <c r="A1351" s="1">
        <v>42990</v>
      </c>
      <c r="B1351">
        <v>1</v>
      </c>
      <c r="C1351">
        <v>4.3499999999999996</v>
      </c>
      <c r="D1351">
        <v>5.2</v>
      </c>
      <c r="E1351">
        <v>18.25</v>
      </c>
      <c r="F1351">
        <v>6</v>
      </c>
      <c r="G1351">
        <v>1</v>
      </c>
      <c r="H1351">
        <v>1</v>
      </c>
      <c r="I1351">
        <v>2.2000000000000002</v>
      </c>
      <c r="J1351">
        <v>2017</v>
      </c>
      <c r="K1351">
        <v>9</v>
      </c>
      <c r="L1351">
        <v>276</v>
      </c>
      <c r="M1351" t="s">
        <v>17</v>
      </c>
      <c r="N1351">
        <f t="shared" si="63"/>
        <v>39</v>
      </c>
      <c r="O1351" t="str">
        <f t="shared" si="64"/>
        <v>September</v>
      </c>
      <c r="P1351" t="str">
        <f t="shared" si="65"/>
        <v>Weekday</v>
      </c>
    </row>
    <row r="1352" spans="1:16" x14ac:dyDescent="0.3">
      <c r="A1352" s="1">
        <v>42991</v>
      </c>
      <c r="B1352">
        <v>4</v>
      </c>
      <c r="C1352">
        <v>0.66</v>
      </c>
      <c r="D1352">
        <v>2</v>
      </c>
      <c r="E1352">
        <v>25</v>
      </c>
      <c r="F1352">
        <v>16</v>
      </c>
      <c r="G1352">
        <v>0</v>
      </c>
      <c r="H1352">
        <v>5</v>
      </c>
      <c r="I1352">
        <v>0</v>
      </c>
      <c r="J1352">
        <v>2017</v>
      </c>
      <c r="K1352">
        <v>9</v>
      </c>
      <c r="L1352">
        <v>276</v>
      </c>
      <c r="M1352" t="s">
        <v>18</v>
      </c>
      <c r="N1352">
        <f t="shared" si="63"/>
        <v>52.66</v>
      </c>
      <c r="O1352" t="str">
        <f t="shared" si="64"/>
        <v>September</v>
      </c>
      <c r="P1352" t="str">
        <f t="shared" si="65"/>
        <v>Weekday</v>
      </c>
    </row>
    <row r="1353" spans="1:16" x14ac:dyDescent="0.3">
      <c r="A1353" s="1">
        <v>42992</v>
      </c>
      <c r="B1353">
        <v>5</v>
      </c>
      <c r="C1353">
        <v>5.34</v>
      </c>
      <c r="D1353">
        <v>5</v>
      </c>
      <c r="E1353">
        <v>22.4</v>
      </c>
      <c r="F1353">
        <v>6</v>
      </c>
      <c r="G1353">
        <v>0</v>
      </c>
      <c r="H1353">
        <v>9</v>
      </c>
      <c r="I1353">
        <v>5</v>
      </c>
      <c r="J1353">
        <v>2017</v>
      </c>
      <c r="K1353">
        <v>9</v>
      </c>
      <c r="L1353">
        <v>276</v>
      </c>
      <c r="M1353" t="s">
        <v>12</v>
      </c>
      <c r="N1353">
        <f t="shared" si="63"/>
        <v>57.739999999999995</v>
      </c>
      <c r="O1353" t="str">
        <f t="shared" si="64"/>
        <v>September</v>
      </c>
      <c r="P1353" t="str">
        <f t="shared" si="65"/>
        <v>Weekday</v>
      </c>
    </row>
    <row r="1354" spans="1:16" x14ac:dyDescent="0.3">
      <c r="A1354" s="1">
        <v>42993</v>
      </c>
      <c r="B1354">
        <v>3</v>
      </c>
      <c r="C1354">
        <v>3</v>
      </c>
      <c r="D1354">
        <v>3</v>
      </c>
      <c r="E1354">
        <v>16</v>
      </c>
      <c r="F1354">
        <v>12</v>
      </c>
      <c r="G1354">
        <v>1</v>
      </c>
      <c r="H1354">
        <v>8</v>
      </c>
      <c r="I1354">
        <v>3</v>
      </c>
      <c r="J1354">
        <v>2017</v>
      </c>
      <c r="K1354">
        <v>9</v>
      </c>
      <c r="L1354">
        <v>276</v>
      </c>
      <c r="M1354" t="s">
        <v>13</v>
      </c>
      <c r="N1354">
        <f t="shared" si="63"/>
        <v>49</v>
      </c>
      <c r="O1354" t="str">
        <f t="shared" si="64"/>
        <v>September</v>
      </c>
      <c r="P1354" t="str">
        <f t="shared" si="65"/>
        <v>Weekday</v>
      </c>
    </row>
    <row r="1355" spans="1:16" x14ac:dyDescent="0.3">
      <c r="A1355" s="1">
        <v>42994</v>
      </c>
      <c r="B1355">
        <v>7</v>
      </c>
      <c r="C1355">
        <v>3</v>
      </c>
      <c r="D1355">
        <v>3.45</v>
      </c>
      <c r="E1355">
        <v>27.3</v>
      </c>
      <c r="F1355">
        <v>11</v>
      </c>
      <c r="G1355">
        <v>0</v>
      </c>
      <c r="H1355">
        <v>0</v>
      </c>
      <c r="I1355">
        <v>1.2</v>
      </c>
      <c r="J1355">
        <v>2017</v>
      </c>
      <c r="K1355">
        <v>9</v>
      </c>
      <c r="L1355">
        <v>276</v>
      </c>
      <c r="M1355" t="s">
        <v>14</v>
      </c>
      <c r="N1355">
        <f t="shared" si="63"/>
        <v>52.95</v>
      </c>
      <c r="O1355" t="str">
        <f t="shared" si="64"/>
        <v>September</v>
      </c>
      <c r="P1355" t="str">
        <f t="shared" si="65"/>
        <v>Weekend</v>
      </c>
    </row>
    <row r="1356" spans="1:16" x14ac:dyDescent="0.3">
      <c r="A1356" s="1">
        <v>42995</v>
      </c>
      <c r="B1356">
        <v>5</v>
      </c>
      <c r="C1356">
        <v>4.34</v>
      </c>
      <c r="D1356">
        <v>4</v>
      </c>
      <c r="E1356">
        <v>32</v>
      </c>
      <c r="F1356">
        <v>6</v>
      </c>
      <c r="G1356">
        <v>1</v>
      </c>
      <c r="H1356">
        <v>7</v>
      </c>
      <c r="I1356">
        <v>5</v>
      </c>
      <c r="J1356">
        <v>2017</v>
      </c>
      <c r="K1356">
        <v>9</v>
      </c>
      <c r="L1356">
        <v>276</v>
      </c>
      <c r="M1356" t="s">
        <v>15</v>
      </c>
      <c r="N1356">
        <f t="shared" si="63"/>
        <v>64.34</v>
      </c>
      <c r="O1356" t="str">
        <f t="shared" si="64"/>
        <v>September</v>
      </c>
      <c r="P1356" t="str">
        <f t="shared" si="65"/>
        <v>Weekend</v>
      </c>
    </row>
    <row r="1357" spans="1:16" x14ac:dyDescent="0.3">
      <c r="A1357" s="1">
        <v>42996</v>
      </c>
      <c r="B1357">
        <v>9</v>
      </c>
      <c r="C1357">
        <v>4.34</v>
      </c>
      <c r="D1357">
        <v>1</v>
      </c>
      <c r="E1357">
        <v>27</v>
      </c>
      <c r="F1357">
        <v>7</v>
      </c>
      <c r="G1357">
        <v>0</v>
      </c>
      <c r="H1357">
        <v>1</v>
      </c>
      <c r="I1357">
        <v>2</v>
      </c>
      <c r="J1357">
        <v>2017</v>
      </c>
      <c r="K1357">
        <v>9</v>
      </c>
      <c r="L1357">
        <v>276</v>
      </c>
      <c r="M1357" t="s">
        <v>16</v>
      </c>
      <c r="N1357">
        <f t="shared" si="63"/>
        <v>51.34</v>
      </c>
      <c r="O1357" t="str">
        <f t="shared" si="64"/>
        <v>September</v>
      </c>
      <c r="P1357" t="str">
        <f t="shared" si="65"/>
        <v>Weekday</v>
      </c>
    </row>
    <row r="1358" spans="1:16" x14ac:dyDescent="0.3">
      <c r="A1358" s="1">
        <v>42997</v>
      </c>
      <c r="B1358">
        <v>3.33</v>
      </c>
      <c r="C1358">
        <v>6.0330000000000004</v>
      </c>
      <c r="D1358">
        <v>1</v>
      </c>
      <c r="E1358">
        <v>43.25</v>
      </c>
      <c r="F1358">
        <v>6</v>
      </c>
      <c r="G1358">
        <v>2</v>
      </c>
      <c r="H1358">
        <v>6</v>
      </c>
      <c r="I1358">
        <v>9</v>
      </c>
      <c r="J1358">
        <v>2017</v>
      </c>
      <c r="K1358">
        <v>9</v>
      </c>
      <c r="L1358">
        <v>276</v>
      </c>
      <c r="M1358" t="s">
        <v>17</v>
      </c>
      <c r="N1358">
        <f t="shared" si="63"/>
        <v>76.613</v>
      </c>
      <c r="O1358" t="str">
        <f t="shared" si="64"/>
        <v>September</v>
      </c>
      <c r="P1358" t="str">
        <f t="shared" si="65"/>
        <v>Weekday</v>
      </c>
    </row>
    <row r="1359" spans="1:16" x14ac:dyDescent="0.3">
      <c r="A1359" s="1">
        <v>42998</v>
      </c>
      <c r="B1359">
        <v>2</v>
      </c>
      <c r="C1359">
        <v>2.363</v>
      </c>
      <c r="D1359">
        <v>0.1</v>
      </c>
      <c r="E1359">
        <v>35.450000000000003</v>
      </c>
      <c r="F1359">
        <v>6</v>
      </c>
      <c r="G1359">
        <v>0</v>
      </c>
      <c r="H1359">
        <v>6</v>
      </c>
      <c r="I1359">
        <v>0</v>
      </c>
      <c r="J1359">
        <v>2017</v>
      </c>
      <c r="K1359">
        <v>9</v>
      </c>
      <c r="L1359">
        <v>276</v>
      </c>
      <c r="M1359" t="s">
        <v>18</v>
      </c>
      <c r="N1359">
        <f t="shared" si="63"/>
        <v>51.913000000000004</v>
      </c>
      <c r="O1359" t="str">
        <f t="shared" si="64"/>
        <v>September</v>
      </c>
      <c r="P1359" t="str">
        <f t="shared" si="65"/>
        <v>Weekday</v>
      </c>
    </row>
    <row r="1360" spans="1:16" x14ac:dyDescent="0.3">
      <c r="A1360" s="1">
        <v>42999</v>
      </c>
      <c r="B1360">
        <v>7.34</v>
      </c>
      <c r="C1360">
        <v>3.6960000000000002</v>
      </c>
      <c r="D1360">
        <v>1</v>
      </c>
      <c r="E1360">
        <v>19.7</v>
      </c>
      <c r="F1360">
        <v>8</v>
      </c>
      <c r="G1360">
        <v>2</v>
      </c>
      <c r="H1360">
        <v>0</v>
      </c>
      <c r="I1360">
        <v>1</v>
      </c>
      <c r="J1360">
        <v>2017</v>
      </c>
      <c r="K1360">
        <v>9</v>
      </c>
      <c r="L1360">
        <v>276</v>
      </c>
      <c r="M1360" t="s">
        <v>12</v>
      </c>
      <c r="N1360">
        <f t="shared" si="63"/>
        <v>42.735999999999997</v>
      </c>
      <c r="O1360" t="str">
        <f t="shared" si="64"/>
        <v>September</v>
      </c>
      <c r="P1360" t="str">
        <f t="shared" si="65"/>
        <v>Weekday</v>
      </c>
    </row>
    <row r="1361" spans="1:16" x14ac:dyDescent="0.3">
      <c r="A1361" s="1">
        <v>43000</v>
      </c>
      <c r="B1361">
        <v>4.66</v>
      </c>
      <c r="C1361">
        <v>2.2410000000000001</v>
      </c>
      <c r="D1361">
        <v>3</v>
      </c>
      <c r="E1361">
        <v>27.5</v>
      </c>
      <c r="F1361">
        <v>2</v>
      </c>
      <c r="G1361">
        <v>0</v>
      </c>
      <c r="H1361">
        <v>0</v>
      </c>
      <c r="I1361">
        <v>3</v>
      </c>
      <c r="J1361">
        <v>2017</v>
      </c>
      <c r="K1361">
        <v>9</v>
      </c>
      <c r="L1361">
        <v>276</v>
      </c>
      <c r="M1361" t="s">
        <v>13</v>
      </c>
      <c r="N1361">
        <f t="shared" si="63"/>
        <v>42.400999999999996</v>
      </c>
      <c r="O1361" t="str">
        <f t="shared" si="64"/>
        <v>September</v>
      </c>
      <c r="P1361" t="str">
        <f t="shared" si="65"/>
        <v>Weekday</v>
      </c>
    </row>
    <row r="1362" spans="1:16" x14ac:dyDescent="0.3">
      <c r="A1362" s="1">
        <v>43001</v>
      </c>
      <c r="B1362">
        <v>9.99</v>
      </c>
      <c r="C1362">
        <v>6.99</v>
      </c>
      <c r="D1362">
        <v>3</v>
      </c>
      <c r="E1362">
        <v>14.45</v>
      </c>
      <c r="F1362">
        <v>12</v>
      </c>
      <c r="G1362">
        <v>2</v>
      </c>
      <c r="H1362">
        <v>0</v>
      </c>
      <c r="I1362">
        <v>2</v>
      </c>
      <c r="J1362">
        <v>2017</v>
      </c>
      <c r="K1362">
        <v>9</v>
      </c>
      <c r="L1362">
        <v>276</v>
      </c>
      <c r="M1362" t="s">
        <v>14</v>
      </c>
      <c r="N1362">
        <f t="shared" si="63"/>
        <v>50.43</v>
      </c>
      <c r="O1362" t="str">
        <f t="shared" si="64"/>
        <v>September</v>
      </c>
      <c r="P1362" t="str">
        <f t="shared" si="65"/>
        <v>Weekend</v>
      </c>
    </row>
    <row r="1363" spans="1:16" x14ac:dyDescent="0.3">
      <c r="A1363" s="1">
        <v>43002</v>
      </c>
      <c r="B1363">
        <v>3.66</v>
      </c>
      <c r="C1363">
        <v>4.8259999999999996</v>
      </c>
      <c r="D1363">
        <v>2</v>
      </c>
      <c r="E1363">
        <v>52.4</v>
      </c>
      <c r="F1363">
        <v>7</v>
      </c>
      <c r="G1363">
        <v>1</v>
      </c>
      <c r="H1363">
        <v>6</v>
      </c>
      <c r="I1363">
        <v>1</v>
      </c>
      <c r="J1363">
        <v>2017</v>
      </c>
      <c r="K1363">
        <v>9</v>
      </c>
      <c r="L1363">
        <v>276</v>
      </c>
      <c r="M1363" t="s">
        <v>15</v>
      </c>
      <c r="N1363">
        <f t="shared" si="63"/>
        <v>77.885999999999996</v>
      </c>
      <c r="O1363" t="str">
        <f t="shared" si="64"/>
        <v>September</v>
      </c>
      <c r="P1363" t="str">
        <f t="shared" si="65"/>
        <v>Weekend</v>
      </c>
    </row>
    <row r="1364" spans="1:16" x14ac:dyDescent="0.3">
      <c r="A1364" s="1">
        <v>43003</v>
      </c>
      <c r="B1364">
        <v>1</v>
      </c>
      <c r="C1364">
        <v>2.5169999999999999</v>
      </c>
      <c r="D1364">
        <v>1</v>
      </c>
      <c r="E1364">
        <v>39.200000000000003</v>
      </c>
      <c r="F1364">
        <v>7</v>
      </c>
      <c r="G1364">
        <v>3</v>
      </c>
      <c r="H1364">
        <v>26</v>
      </c>
      <c r="I1364">
        <v>1</v>
      </c>
      <c r="J1364">
        <v>2017</v>
      </c>
      <c r="K1364">
        <v>9</v>
      </c>
      <c r="L1364">
        <v>276</v>
      </c>
      <c r="M1364" t="s">
        <v>16</v>
      </c>
      <c r="N1364">
        <f t="shared" si="63"/>
        <v>80.716999999999999</v>
      </c>
      <c r="O1364" t="str">
        <f t="shared" si="64"/>
        <v>September</v>
      </c>
      <c r="P1364" t="str">
        <f t="shared" si="65"/>
        <v>Weekday</v>
      </c>
    </row>
    <row r="1365" spans="1:16" x14ac:dyDescent="0.3">
      <c r="A1365" s="1">
        <v>43004</v>
      </c>
      <c r="B1365">
        <v>2</v>
      </c>
      <c r="C1365">
        <v>5.67</v>
      </c>
      <c r="D1365">
        <v>2.1</v>
      </c>
      <c r="E1365">
        <v>38.6</v>
      </c>
      <c r="F1365">
        <v>4</v>
      </c>
      <c r="G1365">
        <v>0</v>
      </c>
      <c r="H1365">
        <v>6</v>
      </c>
      <c r="I1365">
        <v>1</v>
      </c>
      <c r="J1365">
        <v>2017</v>
      </c>
      <c r="K1365">
        <v>9</v>
      </c>
      <c r="L1365">
        <v>276</v>
      </c>
      <c r="M1365" t="s">
        <v>17</v>
      </c>
      <c r="N1365">
        <f t="shared" si="63"/>
        <v>59.370000000000005</v>
      </c>
      <c r="O1365" t="str">
        <f t="shared" si="64"/>
        <v>September</v>
      </c>
      <c r="P1365" t="str">
        <f t="shared" si="65"/>
        <v>Weekday</v>
      </c>
    </row>
    <row r="1366" spans="1:16" x14ac:dyDescent="0.3">
      <c r="A1366" s="1">
        <v>43005</v>
      </c>
      <c r="B1366">
        <v>4</v>
      </c>
      <c r="C1366">
        <v>2.33</v>
      </c>
      <c r="D1366">
        <v>3</v>
      </c>
      <c r="E1366">
        <v>38</v>
      </c>
      <c r="F1366">
        <v>7</v>
      </c>
      <c r="G1366">
        <v>3</v>
      </c>
      <c r="H1366">
        <v>3</v>
      </c>
      <c r="I1366">
        <v>0</v>
      </c>
      <c r="J1366">
        <v>2017</v>
      </c>
      <c r="K1366">
        <v>9</v>
      </c>
      <c r="L1366">
        <v>276</v>
      </c>
      <c r="M1366" t="s">
        <v>18</v>
      </c>
      <c r="N1366">
        <f t="shared" si="63"/>
        <v>60.33</v>
      </c>
      <c r="O1366" t="str">
        <f t="shared" si="64"/>
        <v>September</v>
      </c>
      <c r="P1366" t="str">
        <f t="shared" si="65"/>
        <v>Weekday</v>
      </c>
    </row>
    <row r="1367" spans="1:16" x14ac:dyDescent="0.3">
      <c r="A1367" s="1">
        <v>43006</v>
      </c>
      <c r="B1367">
        <v>3.34</v>
      </c>
      <c r="C1367">
        <v>2.68</v>
      </c>
      <c r="D1367">
        <v>2.5</v>
      </c>
      <c r="E1367">
        <v>37.85</v>
      </c>
      <c r="F1367">
        <v>3</v>
      </c>
      <c r="G1367">
        <v>0</v>
      </c>
      <c r="H1367">
        <v>10</v>
      </c>
      <c r="I1367">
        <v>0</v>
      </c>
      <c r="J1367">
        <v>2017</v>
      </c>
      <c r="K1367">
        <v>9</v>
      </c>
      <c r="L1367">
        <v>276</v>
      </c>
      <c r="M1367" t="s">
        <v>12</v>
      </c>
      <c r="N1367">
        <f t="shared" si="63"/>
        <v>59.370000000000005</v>
      </c>
      <c r="O1367" t="str">
        <f t="shared" si="64"/>
        <v>September</v>
      </c>
      <c r="P1367" t="str">
        <f t="shared" si="65"/>
        <v>Weekday</v>
      </c>
    </row>
    <row r="1368" spans="1:16" x14ac:dyDescent="0.3">
      <c r="A1368" s="1">
        <v>43007</v>
      </c>
      <c r="B1368">
        <v>1</v>
      </c>
      <c r="C1368">
        <v>5</v>
      </c>
      <c r="D1368">
        <v>3</v>
      </c>
      <c r="E1368">
        <v>35.4</v>
      </c>
      <c r="F1368">
        <v>8</v>
      </c>
      <c r="G1368">
        <v>6</v>
      </c>
      <c r="H1368">
        <v>5</v>
      </c>
      <c r="I1368">
        <v>1</v>
      </c>
      <c r="J1368">
        <v>2017</v>
      </c>
      <c r="K1368">
        <v>9</v>
      </c>
      <c r="L1368">
        <v>276</v>
      </c>
      <c r="M1368" t="s">
        <v>13</v>
      </c>
      <c r="N1368">
        <f t="shared" si="63"/>
        <v>64.400000000000006</v>
      </c>
      <c r="O1368" t="str">
        <f t="shared" si="64"/>
        <v>September</v>
      </c>
      <c r="P1368" t="str">
        <f t="shared" si="65"/>
        <v>Weekday</v>
      </c>
    </row>
    <row r="1369" spans="1:16" x14ac:dyDescent="0.3">
      <c r="A1369" s="1">
        <v>43008</v>
      </c>
      <c r="B1369">
        <v>5.33</v>
      </c>
      <c r="C1369">
        <v>3.01</v>
      </c>
      <c r="D1369">
        <v>3</v>
      </c>
      <c r="E1369">
        <v>61.9</v>
      </c>
      <c r="F1369">
        <v>6</v>
      </c>
      <c r="G1369">
        <v>0</v>
      </c>
      <c r="H1369">
        <v>28</v>
      </c>
      <c r="I1369">
        <v>0</v>
      </c>
      <c r="J1369">
        <v>2017</v>
      </c>
      <c r="K1369">
        <v>9</v>
      </c>
      <c r="L1369">
        <v>276</v>
      </c>
      <c r="M1369" t="s">
        <v>14</v>
      </c>
      <c r="N1369">
        <f t="shared" si="63"/>
        <v>107.24</v>
      </c>
      <c r="O1369" t="str">
        <f t="shared" si="64"/>
        <v>September</v>
      </c>
      <c r="P1369" t="str">
        <f t="shared" si="65"/>
        <v>Weekend</v>
      </c>
    </row>
    <row r="1370" spans="1:16" x14ac:dyDescent="0.3">
      <c r="A1370" s="1">
        <v>43009</v>
      </c>
      <c r="B1370">
        <v>4</v>
      </c>
      <c r="C1370">
        <v>5.891</v>
      </c>
      <c r="D1370">
        <v>3</v>
      </c>
      <c r="E1370">
        <v>72.099999999999994</v>
      </c>
      <c r="F1370">
        <v>7</v>
      </c>
      <c r="G1370">
        <v>1</v>
      </c>
      <c r="H1370">
        <v>20</v>
      </c>
      <c r="I1370">
        <v>1</v>
      </c>
      <c r="J1370">
        <v>2017</v>
      </c>
      <c r="K1370">
        <v>10</v>
      </c>
      <c r="L1370">
        <v>276</v>
      </c>
      <c r="M1370" t="s">
        <v>15</v>
      </c>
      <c r="N1370">
        <f t="shared" si="63"/>
        <v>113.991</v>
      </c>
      <c r="O1370" t="str">
        <f t="shared" si="64"/>
        <v>October</v>
      </c>
      <c r="P1370" t="str">
        <f t="shared" si="65"/>
        <v>Weekend</v>
      </c>
    </row>
    <row r="1371" spans="1:16" x14ac:dyDescent="0.3">
      <c r="A1371" s="1">
        <v>43010</v>
      </c>
      <c r="B1371">
        <v>8.33</v>
      </c>
      <c r="C1371">
        <v>2</v>
      </c>
      <c r="D1371">
        <v>3.15</v>
      </c>
      <c r="E1371">
        <v>18</v>
      </c>
      <c r="F1371">
        <v>3</v>
      </c>
      <c r="G1371">
        <v>1</v>
      </c>
      <c r="H1371">
        <v>0</v>
      </c>
      <c r="I1371">
        <v>0</v>
      </c>
      <c r="J1371">
        <v>2017</v>
      </c>
      <c r="K1371">
        <v>10</v>
      </c>
      <c r="L1371">
        <v>276</v>
      </c>
      <c r="M1371" t="s">
        <v>16</v>
      </c>
      <c r="N1371">
        <f t="shared" si="63"/>
        <v>35.480000000000004</v>
      </c>
      <c r="O1371" t="str">
        <f t="shared" si="64"/>
        <v>October</v>
      </c>
      <c r="P1371" t="str">
        <f t="shared" si="65"/>
        <v>Weekday</v>
      </c>
    </row>
    <row r="1372" spans="1:16" x14ac:dyDescent="0.3">
      <c r="A1372" s="1">
        <v>43011</v>
      </c>
      <c r="B1372">
        <v>0.34</v>
      </c>
      <c r="C1372">
        <v>2.1</v>
      </c>
      <c r="D1372">
        <v>3.15</v>
      </c>
      <c r="E1372">
        <v>57.2</v>
      </c>
      <c r="F1372">
        <v>21</v>
      </c>
      <c r="G1372">
        <v>3</v>
      </c>
      <c r="H1372">
        <v>5</v>
      </c>
      <c r="I1372">
        <v>2</v>
      </c>
      <c r="J1372">
        <v>2017</v>
      </c>
      <c r="K1372">
        <v>10</v>
      </c>
      <c r="L1372">
        <v>276</v>
      </c>
      <c r="M1372" t="s">
        <v>17</v>
      </c>
      <c r="N1372">
        <f t="shared" si="63"/>
        <v>93.79</v>
      </c>
      <c r="O1372" t="str">
        <f t="shared" si="64"/>
        <v>October</v>
      </c>
      <c r="P1372" t="str">
        <f t="shared" si="65"/>
        <v>Weekday</v>
      </c>
    </row>
    <row r="1373" spans="1:16" x14ac:dyDescent="0.3">
      <c r="A1373" s="1">
        <v>43012</v>
      </c>
      <c r="B1373">
        <v>2</v>
      </c>
      <c r="C1373">
        <v>4.33</v>
      </c>
      <c r="D1373">
        <v>4</v>
      </c>
      <c r="E1373">
        <v>37</v>
      </c>
      <c r="F1373">
        <v>6</v>
      </c>
      <c r="G1373">
        <v>0</v>
      </c>
      <c r="H1373">
        <v>2</v>
      </c>
      <c r="I1373">
        <v>1</v>
      </c>
      <c r="J1373">
        <v>2017</v>
      </c>
      <c r="K1373">
        <v>10</v>
      </c>
      <c r="L1373">
        <v>276</v>
      </c>
      <c r="M1373" t="s">
        <v>18</v>
      </c>
      <c r="N1373">
        <f t="shared" si="63"/>
        <v>56.33</v>
      </c>
      <c r="O1373" t="str">
        <f t="shared" si="64"/>
        <v>October</v>
      </c>
      <c r="P1373" t="str">
        <f t="shared" si="65"/>
        <v>Weekday</v>
      </c>
    </row>
    <row r="1374" spans="1:16" x14ac:dyDescent="0.3">
      <c r="A1374" s="1">
        <v>43013</v>
      </c>
      <c r="B1374">
        <v>5.33</v>
      </c>
      <c r="C1374">
        <v>3.99</v>
      </c>
      <c r="D1374">
        <v>5</v>
      </c>
      <c r="E1374">
        <v>40.799999999999997</v>
      </c>
      <c r="F1374">
        <v>5</v>
      </c>
      <c r="G1374">
        <v>0</v>
      </c>
      <c r="H1374">
        <v>11</v>
      </c>
      <c r="I1374">
        <v>2</v>
      </c>
      <c r="J1374">
        <v>2017</v>
      </c>
      <c r="K1374">
        <v>10</v>
      </c>
      <c r="L1374">
        <v>276</v>
      </c>
      <c r="M1374" t="s">
        <v>12</v>
      </c>
      <c r="N1374">
        <f t="shared" si="63"/>
        <v>73.12</v>
      </c>
      <c r="O1374" t="str">
        <f t="shared" si="64"/>
        <v>October</v>
      </c>
      <c r="P1374" t="str">
        <f t="shared" si="65"/>
        <v>Weekday</v>
      </c>
    </row>
    <row r="1375" spans="1:16" x14ac:dyDescent="0.3">
      <c r="A1375" s="1">
        <v>43014</v>
      </c>
      <c r="B1375">
        <v>3.99</v>
      </c>
      <c r="C1375">
        <v>4.66</v>
      </c>
      <c r="D1375">
        <v>1</v>
      </c>
      <c r="E1375">
        <v>39.799999999999997</v>
      </c>
      <c r="F1375">
        <v>7</v>
      </c>
      <c r="G1375">
        <v>0</v>
      </c>
      <c r="H1375">
        <v>6</v>
      </c>
      <c r="I1375">
        <v>2</v>
      </c>
      <c r="J1375">
        <v>2017</v>
      </c>
      <c r="K1375">
        <v>10</v>
      </c>
      <c r="L1375">
        <v>276</v>
      </c>
      <c r="M1375" t="s">
        <v>13</v>
      </c>
      <c r="N1375">
        <f t="shared" si="63"/>
        <v>64.449999999999989</v>
      </c>
      <c r="O1375" t="str">
        <f t="shared" si="64"/>
        <v>October</v>
      </c>
      <c r="P1375" t="str">
        <f t="shared" si="65"/>
        <v>Weekday</v>
      </c>
    </row>
    <row r="1376" spans="1:16" x14ac:dyDescent="0.3">
      <c r="A1376" s="1">
        <v>43015</v>
      </c>
      <c r="B1376">
        <v>4</v>
      </c>
      <c r="C1376">
        <v>2.0230000000000001</v>
      </c>
      <c r="D1376">
        <v>2</v>
      </c>
      <c r="E1376">
        <v>35.25</v>
      </c>
      <c r="F1376">
        <v>4</v>
      </c>
      <c r="G1376">
        <v>0</v>
      </c>
      <c r="H1376">
        <v>10</v>
      </c>
      <c r="I1376">
        <v>1</v>
      </c>
      <c r="J1376">
        <v>2017</v>
      </c>
      <c r="K1376">
        <v>10</v>
      </c>
      <c r="L1376">
        <v>276</v>
      </c>
      <c r="M1376" t="s">
        <v>14</v>
      </c>
      <c r="N1376">
        <f t="shared" si="63"/>
        <v>58.272999999999996</v>
      </c>
      <c r="O1376" t="str">
        <f t="shared" si="64"/>
        <v>October</v>
      </c>
      <c r="P1376" t="str">
        <f t="shared" si="65"/>
        <v>Weekend</v>
      </c>
    </row>
    <row r="1377" spans="1:16" x14ac:dyDescent="0.3">
      <c r="A1377" s="1">
        <v>43016</v>
      </c>
      <c r="B1377">
        <v>8.67</v>
      </c>
      <c r="C1377">
        <v>3.2610000000000001</v>
      </c>
      <c r="D1377">
        <v>5.2</v>
      </c>
      <c r="E1377">
        <v>77.099999999999994</v>
      </c>
      <c r="F1377">
        <v>2</v>
      </c>
      <c r="G1377">
        <v>0</v>
      </c>
      <c r="H1377">
        <v>15</v>
      </c>
      <c r="I1377">
        <v>4</v>
      </c>
      <c r="J1377">
        <v>2017</v>
      </c>
      <c r="K1377">
        <v>10</v>
      </c>
      <c r="L1377">
        <v>276</v>
      </c>
      <c r="M1377" t="s">
        <v>15</v>
      </c>
      <c r="N1377">
        <f t="shared" si="63"/>
        <v>115.23099999999999</v>
      </c>
      <c r="O1377" t="str">
        <f t="shared" si="64"/>
        <v>October</v>
      </c>
      <c r="P1377" t="str">
        <f t="shared" si="65"/>
        <v>Weekend</v>
      </c>
    </row>
    <row r="1378" spans="1:16" x14ac:dyDescent="0.3">
      <c r="A1378" s="1">
        <v>43017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2017</v>
      </c>
      <c r="K1378">
        <v>10</v>
      </c>
      <c r="L1378">
        <v>276</v>
      </c>
      <c r="M1378" t="s">
        <v>16</v>
      </c>
      <c r="N1378">
        <f t="shared" si="63"/>
        <v>0</v>
      </c>
      <c r="O1378" t="str">
        <f t="shared" si="64"/>
        <v>October</v>
      </c>
      <c r="P1378" t="str">
        <f t="shared" si="65"/>
        <v>Weekday</v>
      </c>
    </row>
    <row r="1379" spans="1:16" x14ac:dyDescent="0.3">
      <c r="A1379" s="1">
        <v>43018</v>
      </c>
      <c r="B1379">
        <v>10</v>
      </c>
      <c r="C1379">
        <v>2.68</v>
      </c>
      <c r="D1379">
        <v>2</v>
      </c>
      <c r="E1379">
        <v>25</v>
      </c>
      <c r="F1379">
        <v>8</v>
      </c>
      <c r="G1379">
        <v>0</v>
      </c>
      <c r="H1379">
        <v>11</v>
      </c>
      <c r="I1379">
        <v>3</v>
      </c>
      <c r="J1379">
        <v>2017</v>
      </c>
      <c r="K1379">
        <v>10</v>
      </c>
      <c r="L1379">
        <v>276</v>
      </c>
      <c r="M1379" t="s">
        <v>17</v>
      </c>
      <c r="N1379">
        <f t="shared" si="63"/>
        <v>61.68</v>
      </c>
      <c r="O1379" t="str">
        <f t="shared" si="64"/>
        <v>October</v>
      </c>
      <c r="P1379" t="str">
        <f t="shared" si="65"/>
        <v>Weekday</v>
      </c>
    </row>
    <row r="1380" spans="1:16" x14ac:dyDescent="0.3">
      <c r="A1380" s="1">
        <v>43019</v>
      </c>
      <c r="B1380">
        <v>3.5</v>
      </c>
      <c r="C1380">
        <v>1</v>
      </c>
      <c r="D1380">
        <v>4.5999999999999996</v>
      </c>
      <c r="E1380">
        <v>39.4</v>
      </c>
      <c r="F1380">
        <v>2</v>
      </c>
      <c r="G1380">
        <v>0</v>
      </c>
      <c r="H1380">
        <v>6</v>
      </c>
      <c r="I1380">
        <v>2.5</v>
      </c>
      <c r="J1380">
        <v>2017</v>
      </c>
      <c r="K1380">
        <v>10</v>
      </c>
      <c r="L1380">
        <v>276</v>
      </c>
      <c r="M1380" t="s">
        <v>18</v>
      </c>
      <c r="N1380">
        <f t="shared" si="63"/>
        <v>59</v>
      </c>
      <c r="O1380" t="str">
        <f t="shared" si="64"/>
        <v>October</v>
      </c>
      <c r="P1380" t="str">
        <f t="shared" si="65"/>
        <v>Weekday</v>
      </c>
    </row>
    <row r="1381" spans="1:16" x14ac:dyDescent="0.3">
      <c r="A1381" s="1">
        <v>43020</v>
      </c>
      <c r="B1381">
        <v>4</v>
      </c>
      <c r="C1381">
        <v>2.3929999999999998</v>
      </c>
      <c r="D1381">
        <v>2.2999999999999998</v>
      </c>
      <c r="E1381">
        <v>41</v>
      </c>
      <c r="F1381">
        <v>9</v>
      </c>
      <c r="G1381">
        <v>0</v>
      </c>
      <c r="H1381">
        <v>1</v>
      </c>
      <c r="I1381">
        <v>2</v>
      </c>
      <c r="J1381">
        <v>2017</v>
      </c>
      <c r="K1381">
        <v>10</v>
      </c>
      <c r="L1381">
        <v>276</v>
      </c>
      <c r="M1381" t="s">
        <v>12</v>
      </c>
      <c r="N1381">
        <f t="shared" si="63"/>
        <v>61.692999999999998</v>
      </c>
      <c r="O1381" t="str">
        <f t="shared" si="64"/>
        <v>October</v>
      </c>
      <c r="P1381" t="str">
        <f t="shared" si="65"/>
        <v>Weekday</v>
      </c>
    </row>
    <row r="1382" spans="1:16" x14ac:dyDescent="0.3">
      <c r="A1382" s="1">
        <v>43021</v>
      </c>
      <c r="B1382">
        <v>5.33</v>
      </c>
      <c r="C1382">
        <v>1.3959999999999999</v>
      </c>
      <c r="D1382">
        <v>0.6</v>
      </c>
      <c r="E1382">
        <v>38</v>
      </c>
      <c r="F1382">
        <v>8</v>
      </c>
      <c r="G1382">
        <v>2</v>
      </c>
      <c r="H1382">
        <v>3</v>
      </c>
      <c r="I1382">
        <v>4</v>
      </c>
      <c r="J1382">
        <v>2017</v>
      </c>
      <c r="K1382">
        <v>10</v>
      </c>
      <c r="L1382">
        <v>276</v>
      </c>
      <c r="M1382" t="s">
        <v>13</v>
      </c>
      <c r="N1382">
        <f t="shared" si="63"/>
        <v>62.326000000000001</v>
      </c>
      <c r="O1382" t="str">
        <f t="shared" si="64"/>
        <v>October</v>
      </c>
      <c r="P1382" t="str">
        <f t="shared" si="65"/>
        <v>Weekday</v>
      </c>
    </row>
    <row r="1383" spans="1:16" x14ac:dyDescent="0.3">
      <c r="A1383" s="1">
        <v>43022</v>
      </c>
      <c r="B1383">
        <v>4.84</v>
      </c>
      <c r="C1383">
        <v>3.66</v>
      </c>
      <c r="D1383">
        <v>4</v>
      </c>
      <c r="E1383">
        <v>42.2</v>
      </c>
      <c r="F1383">
        <v>9</v>
      </c>
      <c r="G1383">
        <v>1</v>
      </c>
      <c r="H1383">
        <v>20</v>
      </c>
      <c r="I1383">
        <v>0</v>
      </c>
      <c r="J1383">
        <v>2017</v>
      </c>
      <c r="K1383">
        <v>10</v>
      </c>
      <c r="L1383">
        <v>276</v>
      </c>
      <c r="M1383" t="s">
        <v>14</v>
      </c>
      <c r="N1383">
        <f t="shared" si="63"/>
        <v>84.7</v>
      </c>
      <c r="O1383" t="str">
        <f t="shared" si="64"/>
        <v>October</v>
      </c>
      <c r="P1383" t="str">
        <f t="shared" si="65"/>
        <v>Weekend</v>
      </c>
    </row>
    <row r="1384" spans="1:16" x14ac:dyDescent="0.3">
      <c r="A1384" s="1">
        <v>43023</v>
      </c>
      <c r="B1384">
        <v>6</v>
      </c>
      <c r="C1384">
        <v>6.68</v>
      </c>
      <c r="D1384">
        <v>1</v>
      </c>
      <c r="E1384">
        <v>37</v>
      </c>
      <c r="F1384">
        <v>5</v>
      </c>
      <c r="G1384">
        <v>0</v>
      </c>
      <c r="H1384">
        <v>11</v>
      </c>
      <c r="I1384">
        <v>2</v>
      </c>
      <c r="J1384">
        <v>2017</v>
      </c>
      <c r="K1384">
        <v>10</v>
      </c>
      <c r="L1384">
        <v>276</v>
      </c>
      <c r="M1384" t="s">
        <v>15</v>
      </c>
      <c r="N1384">
        <f t="shared" si="63"/>
        <v>68.680000000000007</v>
      </c>
      <c r="O1384" t="str">
        <f t="shared" si="64"/>
        <v>October</v>
      </c>
      <c r="P1384" t="str">
        <f t="shared" si="65"/>
        <v>Weekend</v>
      </c>
    </row>
    <row r="1385" spans="1:16" x14ac:dyDescent="0.3">
      <c r="A1385" s="1">
        <v>43024</v>
      </c>
      <c r="B1385">
        <v>2.33</v>
      </c>
      <c r="C1385">
        <v>0.67</v>
      </c>
      <c r="D1385">
        <v>0</v>
      </c>
      <c r="E1385">
        <v>45.1</v>
      </c>
      <c r="F1385">
        <v>9</v>
      </c>
      <c r="G1385">
        <v>0</v>
      </c>
      <c r="H1385">
        <v>2</v>
      </c>
      <c r="I1385">
        <v>2</v>
      </c>
      <c r="J1385">
        <v>2017</v>
      </c>
      <c r="K1385">
        <v>10</v>
      </c>
      <c r="L1385">
        <v>276</v>
      </c>
      <c r="M1385" t="s">
        <v>16</v>
      </c>
      <c r="N1385">
        <f t="shared" si="63"/>
        <v>61.1</v>
      </c>
      <c r="O1385" t="str">
        <f t="shared" si="64"/>
        <v>October</v>
      </c>
      <c r="P1385" t="str">
        <f t="shared" si="65"/>
        <v>Weekday</v>
      </c>
    </row>
    <row r="1386" spans="1:16" x14ac:dyDescent="0.3">
      <c r="A1386" s="1">
        <v>43025</v>
      </c>
      <c r="B1386">
        <v>3.34</v>
      </c>
      <c r="C1386">
        <v>1.67</v>
      </c>
      <c r="D1386">
        <v>6</v>
      </c>
      <c r="E1386">
        <v>26.2</v>
      </c>
      <c r="F1386">
        <v>9</v>
      </c>
      <c r="G1386">
        <v>2</v>
      </c>
      <c r="H1386">
        <v>6</v>
      </c>
      <c r="I1386">
        <v>1</v>
      </c>
      <c r="J1386">
        <v>2017</v>
      </c>
      <c r="K1386">
        <v>10</v>
      </c>
      <c r="L1386">
        <v>276</v>
      </c>
      <c r="M1386" t="s">
        <v>17</v>
      </c>
      <c r="N1386">
        <f t="shared" si="63"/>
        <v>55.21</v>
      </c>
      <c r="O1386" t="str">
        <f t="shared" si="64"/>
        <v>October</v>
      </c>
      <c r="P1386" t="str">
        <f t="shared" si="65"/>
        <v>Weekday</v>
      </c>
    </row>
    <row r="1387" spans="1:16" x14ac:dyDescent="0.3">
      <c r="A1387" s="1">
        <v>43026</v>
      </c>
      <c r="B1387">
        <v>5.34</v>
      </c>
      <c r="C1387">
        <v>1.33</v>
      </c>
      <c r="D1387">
        <v>1</v>
      </c>
      <c r="E1387">
        <v>52.85</v>
      </c>
      <c r="F1387">
        <v>15</v>
      </c>
      <c r="G1387">
        <v>0</v>
      </c>
      <c r="H1387">
        <v>1</v>
      </c>
      <c r="I1387">
        <v>1</v>
      </c>
      <c r="J1387">
        <v>2017</v>
      </c>
      <c r="K1387">
        <v>10</v>
      </c>
      <c r="L1387">
        <v>276</v>
      </c>
      <c r="M1387" t="s">
        <v>18</v>
      </c>
      <c r="N1387">
        <f t="shared" si="63"/>
        <v>77.52000000000001</v>
      </c>
      <c r="O1387" t="str">
        <f t="shared" si="64"/>
        <v>October</v>
      </c>
      <c r="P1387" t="str">
        <f t="shared" si="65"/>
        <v>Weekday</v>
      </c>
    </row>
    <row r="1388" spans="1:16" x14ac:dyDescent="0.3">
      <c r="A1388" s="1">
        <v>43027</v>
      </c>
      <c r="B1388">
        <v>4.33</v>
      </c>
      <c r="C1388">
        <v>5.99</v>
      </c>
      <c r="D1388">
        <v>4.7</v>
      </c>
      <c r="E1388">
        <v>25.5</v>
      </c>
      <c r="F1388">
        <v>8</v>
      </c>
      <c r="G1388">
        <v>0</v>
      </c>
      <c r="H1388">
        <v>13</v>
      </c>
      <c r="I1388">
        <v>0</v>
      </c>
      <c r="J1388">
        <v>2017</v>
      </c>
      <c r="K1388">
        <v>10</v>
      </c>
      <c r="L1388">
        <v>276</v>
      </c>
      <c r="M1388" t="s">
        <v>12</v>
      </c>
      <c r="N1388">
        <f t="shared" si="63"/>
        <v>61.519999999999996</v>
      </c>
      <c r="O1388" t="str">
        <f t="shared" si="64"/>
        <v>October</v>
      </c>
      <c r="P1388" t="str">
        <f t="shared" si="65"/>
        <v>Weekday</v>
      </c>
    </row>
    <row r="1389" spans="1:16" x14ac:dyDescent="0.3">
      <c r="A1389" s="1">
        <v>43028</v>
      </c>
      <c r="B1389">
        <v>2.83</v>
      </c>
      <c r="C1389">
        <v>4.3630000000000004</v>
      </c>
      <c r="D1389">
        <v>3</v>
      </c>
      <c r="E1389">
        <v>36.25</v>
      </c>
      <c r="F1389">
        <v>15</v>
      </c>
      <c r="G1389">
        <v>0</v>
      </c>
      <c r="H1389">
        <v>8</v>
      </c>
      <c r="I1389">
        <v>0</v>
      </c>
      <c r="J1389">
        <v>2017</v>
      </c>
      <c r="K1389">
        <v>10</v>
      </c>
      <c r="L1389">
        <v>276</v>
      </c>
      <c r="M1389" t="s">
        <v>13</v>
      </c>
      <c r="N1389">
        <f t="shared" si="63"/>
        <v>69.442999999999998</v>
      </c>
      <c r="O1389" t="str">
        <f t="shared" si="64"/>
        <v>October</v>
      </c>
      <c r="P1389" t="str">
        <f t="shared" si="65"/>
        <v>Weekday</v>
      </c>
    </row>
    <row r="1390" spans="1:16" x14ac:dyDescent="0.3">
      <c r="A1390" s="1">
        <v>43029</v>
      </c>
      <c r="B1390">
        <v>3.33</v>
      </c>
      <c r="C1390">
        <v>3.7690000000000001</v>
      </c>
      <c r="D1390">
        <v>3.3</v>
      </c>
      <c r="E1390">
        <v>25.2</v>
      </c>
      <c r="F1390">
        <v>9</v>
      </c>
      <c r="G1390">
        <v>3</v>
      </c>
      <c r="H1390">
        <v>5</v>
      </c>
      <c r="I1390">
        <v>4</v>
      </c>
      <c r="J1390">
        <v>2017</v>
      </c>
      <c r="K1390">
        <v>10</v>
      </c>
      <c r="L1390">
        <v>276</v>
      </c>
      <c r="M1390" t="s">
        <v>14</v>
      </c>
      <c r="N1390">
        <f t="shared" si="63"/>
        <v>56.599000000000004</v>
      </c>
      <c r="O1390" t="str">
        <f t="shared" si="64"/>
        <v>October</v>
      </c>
      <c r="P1390" t="str">
        <f t="shared" si="65"/>
        <v>Weekend</v>
      </c>
    </row>
    <row r="1391" spans="1:16" x14ac:dyDescent="0.3">
      <c r="A1391" s="1">
        <v>43030</v>
      </c>
      <c r="B1391">
        <v>8</v>
      </c>
      <c r="C1391">
        <v>5</v>
      </c>
      <c r="D1391">
        <v>5</v>
      </c>
      <c r="E1391">
        <v>57.8</v>
      </c>
      <c r="F1391">
        <v>8</v>
      </c>
      <c r="G1391">
        <v>0</v>
      </c>
      <c r="H1391">
        <v>9</v>
      </c>
      <c r="I1391">
        <v>2</v>
      </c>
      <c r="J1391">
        <v>2017</v>
      </c>
      <c r="K1391">
        <v>10</v>
      </c>
      <c r="L1391">
        <v>276</v>
      </c>
      <c r="M1391" t="s">
        <v>15</v>
      </c>
      <c r="N1391">
        <f t="shared" si="63"/>
        <v>94.8</v>
      </c>
      <c r="O1391" t="str">
        <f t="shared" si="64"/>
        <v>October</v>
      </c>
      <c r="P1391" t="str">
        <f t="shared" si="65"/>
        <v>Weekend</v>
      </c>
    </row>
    <row r="1392" spans="1:16" x14ac:dyDescent="0.3">
      <c r="A1392" s="1">
        <v>43031</v>
      </c>
      <c r="B1392">
        <v>3.33</v>
      </c>
      <c r="C1392">
        <v>1.363</v>
      </c>
      <c r="D1392">
        <v>2</v>
      </c>
      <c r="E1392">
        <v>28.6</v>
      </c>
      <c r="F1392">
        <v>4</v>
      </c>
      <c r="G1392">
        <v>0</v>
      </c>
      <c r="H1392">
        <v>28</v>
      </c>
      <c r="I1392">
        <v>1</v>
      </c>
      <c r="J1392">
        <v>2017</v>
      </c>
      <c r="K1392">
        <v>10</v>
      </c>
      <c r="L1392">
        <v>276</v>
      </c>
      <c r="M1392" t="s">
        <v>16</v>
      </c>
      <c r="N1392">
        <f t="shared" si="63"/>
        <v>68.293000000000006</v>
      </c>
      <c r="O1392" t="str">
        <f t="shared" si="64"/>
        <v>October</v>
      </c>
      <c r="P1392" t="str">
        <f t="shared" si="65"/>
        <v>Weekday</v>
      </c>
    </row>
    <row r="1393" spans="1:16" x14ac:dyDescent="0.3">
      <c r="A1393" s="1">
        <v>43032</v>
      </c>
      <c r="B1393">
        <v>2</v>
      </c>
      <c r="C1393">
        <v>2</v>
      </c>
      <c r="D1393">
        <v>10</v>
      </c>
      <c r="E1393">
        <v>65.2</v>
      </c>
      <c r="F1393">
        <v>3</v>
      </c>
      <c r="G1393">
        <v>0</v>
      </c>
      <c r="H1393">
        <v>10</v>
      </c>
      <c r="I1393">
        <v>1</v>
      </c>
      <c r="J1393">
        <v>2017</v>
      </c>
      <c r="K1393">
        <v>10</v>
      </c>
      <c r="L1393">
        <v>276</v>
      </c>
      <c r="M1393" t="s">
        <v>17</v>
      </c>
      <c r="N1393">
        <f t="shared" si="63"/>
        <v>93.2</v>
      </c>
      <c r="O1393" t="str">
        <f t="shared" si="64"/>
        <v>October</v>
      </c>
      <c r="P1393" t="str">
        <f t="shared" si="65"/>
        <v>Weekday</v>
      </c>
    </row>
    <row r="1394" spans="1:16" x14ac:dyDescent="0.3">
      <c r="A1394" s="1">
        <v>43033</v>
      </c>
      <c r="B1394">
        <v>6.34</v>
      </c>
      <c r="C1394">
        <v>3.33</v>
      </c>
      <c r="D1394">
        <v>5.35</v>
      </c>
      <c r="E1394">
        <v>26.9</v>
      </c>
      <c r="F1394">
        <v>4</v>
      </c>
      <c r="G1394">
        <v>0</v>
      </c>
      <c r="H1394">
        <v>1</v>
      </c>
      <c r="I1394">
        <v>1</v>
      </c>
      <c r="J1394">
        <v>2017</v>
      </c>
      <c r="K1394">
        <v>10</v>
      </c>
      <c r="L1394">
        <v>276</v>
      </c>
      <c r="M1394" t="s">
        <v>18</v>
      </c>
      <c r="N1394">
        <f t="shared" si="63"/>
        <v>47.92</v>
      </c>
      <c r="O1394" t="str">
        <f t="shared" si="64"/>
        <v>October</v>
      </c>
      <c r="P1394" t="str">
        <f t="shared" si="65"/>
        <v>Weekday</v>
      </c>
    </row>
    <row r="1395" spans="1:16" x14ac:dyDescent="0.3">
      <c r="A1395" s="1">
        <v>43034</v>
      </c>
      <c r="B1395">
        <v>1.33</v>
      </c>
      <c r="C1395">
        <v>1.099</v>
      </c>
      <c r="D1395">
        <v>2</v>
      </c>
      <c r="E1395">
        <v>38</v>
      </c>
      <c r="F1395">
        <v>9</v>
      </c>
      <c r="G1395">
        <v>1</v>
      </c>
      <c r="H1395">
        <v>5</v>
      </c>
      <c r="I1395">
        <v>2.2999999999999998</v>
      </c>
      <c r="J1395">
        <v>2017</v>
      </c>
      <c r="K1395">
        <v>10</v>
      </c>
      <c r="L1395">
        <v>276</v>
      </c>
      <c r="M1395" t="s">
        <v>12</v>
      </c>
      <c r="N1395">
        <f t="shared" si="63"/>
        <v>59.728999999999999</v>
      </c>
      <c r="O1395" t="str">
        <f t="shared" si="64"/>
        <v>October</v>
      </c>
      <c r="P1395" t="str">
        <f t="shared" si="65"/>
        <v>Weekday</v>
      </c>
    </row>
    <row r="1396" spans="1:16" x14ac:dyDescent="0.3">
      <c r="A1396" s="1">
        <v>43035</v>
      </c>
      <c r="B1396">
        <v>6.32</v>
      </c>
      <c r="C1396">
        <v>2.363</v>
      </c>
      <c r="D1396">
        <v>6</v>
      </c>
      <c r="E1396">
        <v>26</v>
      </c>
      <c r="F1396">
        <v>14</v>
      </c>
      <c r="G1396">
        <v>1</v>
      </c>
      <c r="H1396">
        <v>21</v>
      </c>
      <c r="I1396">
        <v>2</v>
      </c>
      <c r="J1396">
        <v>2017</v>
      </c>
      <c r="K1396">
        <v>10</v>
      </c>
      <c r="L1396">
        <v>276</v>
      </c>
      <c r="M1396" t="s">
        <v>13</v>
      </c>
      <c r="N1396">
        <f t="shared" si="63"/>
        <v>78.682999999999993</v>
      </c>
      <c r="O1396" t="str">
        <f t="shared" si="64"/>
        <v>October</v>
      </c>
      <c r="P1396" t="str">
        <f t="shared" si="65"/>
        <v>Weekday</v>
      </c>
    </row>
    <row r="1397" spans="1:16" x14ac:dyDescent="0.3">
      <c r="A1397" s="1">
        <v>43036</v>
      </c>
      <c r="B1397">
        <v>5</v>
      </c>
      <c r="C1397">
        <v>2.33</v>
      </c>
      <c r="D1397">
        <v>4</v>
      </c>
      <c r="E1397">
        <v>24.1</v>
      </c>
      <c r="F1397">
        <v>11</v>
      </c>
      <c r="G1397">
        <v>0</v>
      </c>
      <c r="H1397">
        <v>7</v>
      </c>
      <c r="I1397">
        <v>3</v>
      </c>
      <c r="J1397">
        <v>2017</v>
      </c>
      <c r="K1397">
        <v>10</v>
      </c>
      <c r="L1397">
        <v>276</v>
      </c>
      <c r="M1397" t="s">
        <v>14</v>
      </c>
      <c r="N1397">
        <f t="shared" si="63"/>
        <v>56.43</v>
      </c>
      <c r="O1397" t="str">
        <f t="shared" si="64"/>
        <v>October</v>
      </c>
      <c r="P1397" t="str">
        <f t="shared" si="65"/>
        <v>Weekend</v>
      </c>
    </row>
    <row r="1398" spans="1:16" x14ac:dyDescent="0.3">
      <c r="A1398" s="1">
        <v>43037</v>
      </c>
      <c r="B1398">
        <v>7.66</v>
      </c>
      <c r="C1398">
        <v>2.3730000000000002</v>
      </c>
      <c r="D1398">
        <v>1.05</v>
      </c>
      <c r="E1398">
        <v>36</v>
      </c>
      <c r="F1398">
        <v>3</v>
      </c>
      <c r="G1398">
        <v>0</v>
      </c>
      <c r="H1398">
        <v>1</v>
      </c>
      <c r="I1398">
        <v>2.2000000000000002</v>
      </c>
      <c r="J1398">
        <v>2017</v>
      </c>
      <c r="K1398">
        <v>10</v>
      </c>
      <c r="L1398">
        <v>276</v>
      </c>
      <c r="M1398" t="s">
        <v>15</v>
      </c>
      <c r="N1398">
        <f t="shared" si="63"/>
        <v>53.283000000000001</v>
      </c>
      <c r="O1398" t="str">
        <f t="shared" si="64"/>
        <v>October</v>
      </c>
      <c r="P1398" t="str">
        <f t="shared" si="65"/>
        <v>Weekend</v>
      </c>
    </row>
    <row r="1399" spans="1:16" x14ac:dyDescent="0.3">
      <c r="A1399" s="1">
        <v>43038</v>
      </c>
      <c r="B1399">
        <v>1.5</v>
      </c>
      <c r="C1399">
        <v>3.66</v>
      </c>
      <c r="D1399">
        <v>2</v>
      </c>
      <c r="E1399">
        <v>32.799999999999997</v>
      </c>
      <c r="F1399">
        <v>7</v>
      </c>
      <c r="G1399">
        <v>0</v>
      </c>
      <c r="H1399">
        <v>9</v>
      </c>
      <c r="I1399">
        <v>1</v>
      </c>
      <c r="J1399">
        <v>2017</v>
      </c>
      <c r="K1399">
        <v>10</v>
      </c>
      <c r="L1399">
        <v>276</v>
      </c>
      <c r="M1399" t="s">
        <v>16</v>
      </c>
      <c r="N1399">
        <f t="shared" si="63"/>
        <v>56.959999999999994</v>
      </c>
      <c r="O1399" t="str">
        <f t="shared" si="64"/>
        <v>October</v>
      </c>
      <c r="P1399" t="str">
        <f t="shared" si="65"/>
        <v>Weekday</v>
      </c>
    </row>
    <row r="1400" spans="1:16" x14ac:dyDescent="0.3">
      <c r="A1400" s="1">
        <v>43039</v>
      </c>
      <c r="B1400">
        <v>4.33</v>
      </c>
      <c r="C1400">
        <v>1.363</v>
      </c>
      <c r="D1400">
        <v>4</v>
      </c>
      <c r="E1400">
        <v>38</v>
      </c>
      <c r="F1400">
        <v>2</v>
      </c>
      <c r="G1400">
        <v>0</v>
      </c>
      <c r="H1400">
        <v>0</v>
      </c>
      <c r="I1400">
        <v>1</v>
      </c>
      <c r="J1400">
        <v>2017</v>
      </c>
      <c r="K1400">
        <v>10</v>
      </c>
      <c r="L1400">
        <v>276</v>
      </c>
      <c r="M1400" t="s">
        <v>17</v>
      </c>
      <c r="N1400">
        <f t="shared" si="63"/>
        <v>50.692999999999998</v>
      </c>
      <c r="O1400" t="str">
        <f t="shared" si="64"/>
        <v>October</v>
      </c>
      <c r="P1400" t="str">
        <f t="shared" si="65"/>
        <v>Weekday</v>
      </c>
    </row>
    <row r="1401" spans="1:16" x14ac:dyDescent="0.3">
      <c r="A1401" s="1">
        <v>43040</v>
      </c>
      <c r="B1401">
        <v>0.67</v>
      </c>
      <c r="C1401">
        <v>3.4289999999999998</v>
      </c>
      <c r="D1401">
        <v>2</v>
      </c>
      <c r="E1401">
        <v>23</v>
      </c>
      <c r="F1401">
        <v>5</v>
      </c>
      <c r="G1401">
        <v>0</v>
      </c>
      <c r="H1401">
        <v>3</v>
      </c>
      <c r="I1401">
        <v>1</v>
      </c>
      <c r="J1401">
        <v>2017</v>
      </c>
      <c r="K1401">
        <v>11</v>
      </c>
      <c r="L1401">
        <v>276</v>
      </c>
      <c r="M1401" t="s">
        <v>18</v>
      </c>
      <c r="N1401">
        <f t="shared" si="63"/>
        <v>38.099000000000004</v>
      </c>
      <c r="O1401" t="str">
        <f t="shared" si="64"/>
        <v>November</v>
      </c>
      <c r="P1401" t="str">
        <f t="shared" si="65"/>
        <v>Weekday</v>
      </c>
    </row>
    <row r="1402" spans="1:16" x14ac:dyDescent="0.3">
      <c r="A1402" s="1">
        <v>43041</v>
      </c>
      <c r="B1402">
        <v>4</v>
      </c>
      <c r="C1402">
        <v>2.0659999999999998</v>
      </c>
      <c r="D1402">
        <v>1.55</v>
      </c>
      <c r="E1402">
        <v>22.1</v>
      </c>
      <c r="F1402">
        <v>5</v>
      </c>
      <c r="G1402">
        <v>0</v>
      </c>
      <c r="H1402">
        <v>11</v>
      </c>
      <c r="I1402">
        <v>3</v>
      </c>
      <c r="J1402">
        <v>2017</v>
      </c>
      <c r="K1402">
        <v>11</v>
      </c>
      <c r="L1402">
        <v>276</v>
      </c>
      <c r="M1402" t="s">
        <v>12</v>
      </c>
      <c r="N1402">
        <f t="shared" si="63"/>
        <v>48.716000000000001</v>
      </c>
      <c r="O1402" t="str">
        <f t="shared" si="64"/>
        <v>November</v>
      </c>
      <c r="P1402" t="str">
        <f t="shared" si="65"/>
        <v>Weekday</v>
      </c>
    </row>
    <row r="1403" spans="1:16" x14ac:dyDescent="0.3">
      <c r="A1403" s="1">
        <v>43042</v>
      </c>
      <c r="B1403">
        <v>2.33</v>
      </c>
      <c r="C1403">
        <v>7.67</v>
      </c>
      <c r="D1403">
        <v>4.4000000000000004</v>
      </c>
      <c r="E1403">
        <v>37.4</v>
      </c>
      <c r="F1403">
        <v>10</v>
      </c>
      <c r="G1403">
        <v>3</v>
      </c>
      <c r="H1403">
        <v>6</v>
      </c>
      <c r="I1403">
        <v>1</v>
      </c>
      <c r="J1403">
        <v>2017</v>
      </c>
      <c r="K1403">
        <v>11</v>
      </c>
      <c r="L1403">
        <v>276</v>
      </c>
      <c r="M1403" t="s">
        <v>13</v>
      </c>
      <c r="N1403">
        <f t="shared" si="63"/>
        <v>71.8</v>
      </c>
      <c r="O1403" t="str">
        <f t="shared" si="64"/>
        <v>November</v>
      </c>
      <c r="P1403" t="str">
        <f t="shared" si="65"/>
        <v>Weekday</v>
      </c>
    </row>
    <row r="1404" spans="1:16" x14ac:dyDescent="0.3">
      <c r="A1404" s="1">
        <v>43043</v>
      </c>
      <c r="B1404">
        <v>10.34</v>
      </c>
      <c r="C1404">
        <v>7.4720000000000004</v>
      </c>
      <c r="D1404">
        <v>6</v>
      </c>
      <c r="E1404">
        <v>33</v>
      </c>
      <c r="F1404">
        <v>5</v>
      </c>
      <c r="G1404">
        <v>0</v>
      </c>
      <c r="H1404">
        <v>1</v>
      </c>
      <c r="I1404">
        <v>3.2</v>
      </c>
      <c r="J1404">
        <v>2017</v>
      </c>
      <c r="K1404">
        <v>11</v>
      </c>
      <c r="L1404">
        <v>276</v>
      </c>
      <c r="M1404" t="s">
        <v>14</v>
      </c>
      <c r="N1404">
        <f t="shared" si="63"/>
        <v>66.012</v>
      </c>
      <c r="O1404" t="str">
        <f t="shared" si="64"/>
        <v>November</v>
      </c>
      <c r="P1404" t="str">
        <f t="shared" si="65"/>
        <v>Weekend</v>
      </c>
    </row>
    <row r="1405" spans="1:16" x14ac:dyDescent="0.3">
      <c r="A1405" s="1">
        <v>43044</v>
      </c>
      <c r="B1405">
        <v>6.33</v>
      </c>
      <c r="C1405">
        <v>5.7990000000000004</v>
      </c>
      <c r="D1405">
        <v>1.1000000000000001</v>
      </c>
      <c r="E1405">
        <v>35.450000000000003</v>
      </c>
      <c r="F1405">
        <v>1</v>
      </c>
      <c r="G1405">
        <v>0</v>
      </c>
      <c r="H1405">
        <v>5</v>
      </c>
      <c r="I1405">
        <v>2</v>
      </c>
      <c r="J1405">
        <v>2017</v>
      </c>
      <c r="K1405">
        <v>11</v>
      </c>
      <c r="L1405">
        <v>276</v>
      </c>
      <c r="M1405" t="s">
        <v>15</v>
      </c>
      <c r="N1405">
        <f t="shared" si="63"/>
        <v>56.679000000000002</v>
      </c>
      <c r="O1405" t="str">
        <f t="shared" si="64"/>
        <v>November</v>
      </c>
      <c r="P1405" t="str">
        <f t="shared" si="65"/>
        <v>Weekend</v>
      </c>
    </row>
    <row r="1406" spans="1:16" x14ac:dyDescent="0.3">
      <c r="A1406" s="1">
        <v>43045</v>
      </c>
      <c r="B1406">
        <v>8.34</v>
      </c>
      <c r="C1406">
        <v>3.2</v>
      </c>
      <c r="D1406">
        <v>2</v>
      </c>
      <c r="E1406">
        <v>20.2</v>
      </c>
      <c r="F1406">
        <v>11</v>
      </c>
      <c r="G1406">
        <v>3</v>
      </c>
      <c r="H1406">
        <v>8</v>
      </c>
      <c r="I1406">
        <v>1</v>
      </c>
      <c r="J1406">
        <v>2017</v>
      </c>
      <c r="K1406">
        <v>11</v>
      </c>
      <c r="L1406">
        <v>276</v>
      </c>
      <c r="M1406" t="s">
        <v>16</v>
      </c>
      <c r="N1406">
        <f t="shared" si="63"/>
        <v>56.739999999999995</v>
      </c>
      <c r="O1406" t="str">
        <f t="shared" si="64"/>
        <v>November</v>
      </c>
      <c r="P1406" t="str">
        <f t="shared" si="65"/>
        <v>Weekday</v>
      </c>
    </row>
    <row r="1407" spans="1:16" x14ac:dyDescent="0.3">
      <c r="A1407" s="1">
        <v>43046</v>
      </c>
      <c r="B1407">
        <v>0.67</v>
      </c>
      <c r="C1407">
        <v>4</v>
      </c>
      <c r="D1407">
        <v>7</v>
      </c>
      <c r="E1407">
        <v>20</v>
      </c>
      <c r="F1407">
        <v>4</v>
      </c>
      <c r="G1407">
        <v>0</v>
      </c>
      <c r="H1407">
        <v>0</v>
      </c>
      <c r="I1407">
        <v>1.5</v>
      </c>
      <c r="J1407">
        <v>2017</v>
      </c>
      <c r="K1407">
        <v>11</v>
      </c>
      <c r="L1407">
        <v>276</v>
      </c>
      <c r="M1407" t="s">
        <v>17</v>
      </c>
      <c r="N1407">
        <f t="shared" si="63"/>
        <v>37.17</v>
      </c>
      <c r="O1407" t="str">
        <f t="shared" si="64"/>
        <v>November</v>
      </c>
      <c r="P1407" t="str">
        <f t="shared" si="65"/>
        <v>Weekday</v>
      </c>
    </row>
    <row r="1408" spans="1:16" x14ac:dyDescent="0.3">
      <c r="A1408" s="1">
        <v>43047</v>
      </c>
      <c r="B1408">
        <v>6</v>
      </c>
      <c r="C1408">
        <v>1.1000000000000001</v>
      </c>
      <c r="D1408">
        <v>2</v>
      </c>
      <c r="E1408">
        <v>9.1999999999999993</v>
      </c>
      <c r="F1408">
        <v>1</v>
      </c>
      <c r="G1408">
        <v>0</v>
      </c>
      <c r="H1408">
        <v>5</v>
      </c>
      <c r="I1408">
        <v>1</v>
      </c>
      <c r="J1408">
        <v>2017</v>
      </c>
      <c r="K1408">
        <v>11</v>
      </c>
      <c r="L1408">
        <v>276</v>
      </c>
      <c r="M1408" t="s">
        <v>18</v>
      </c>
      <c r="N1408">
        <f t="shared" si="63"/>
        <v>25.299999999999997</v>
      </c>
      <c r="O1408" t="str">
        <f t="shared" si="64"/>
        <v>November</v>
      </c>
      <c r="P1408" t="str">
        <f t="shared" si="65"/>
        <v>Weekday</v>
      </c>
    </row>
    <row r="1409" spans="1:16" x14ac:dyDescent="0.3">
      <c r="A1409" s="1">
        <v>43048</v>
      </c>
      <c r="B1409">
        <v>2.67</v>
      </c>
      <c r="C1409">
        <v>3.746</v>
      </c>
      <c r="D1409">
        <v>0</v>
      </c>
      <c r="E1409">
        <v>28.8</v>
      </c>
      <c r="F1409">
        <v>2</v>
      </c>
      <c r="G1409">
        <v>0</v>
      </c>
      <c r="H1409">
        <v>11</v>
      </c>
      <c r="I1409">
        <v>1</v>
      </c>
      <c r="J1409">
        <v>2017</v>
      </c>
      <c r="K1409">
        <v>11</v>
      </c>
      <c r="L1409">
        <v>276</v>
      </c>
      <c r="M1409" t="s">
        <v>12</v>
      </c>
      <c r="N1409">
        <f t="shared" si="63"/>
        <v>49.216000000000001</v>
      </c>
      <c r="O1409" t="str">
        <f t="shared" si="64"/>
        <v>November</v>
      </c>
      <c r="P1409" t="str">
        <f t="shared" si="65"/>
        <v>Weekday</v>
      </c>
    </row>
    <row r="1410" spans="1:16" x14ac:dyDescent="0.3">
      <c r="A1410" s="1">
        <v>43049</v>
      </c>
      <c r="B1410">
        <v>9.34</v>
      </c>
      <c r="C1410">
        <v>6.66</v>
      </c>
      <c r="D1410">
        <v>6.2</v>
      </c>
      <c r="E1410">
        <v>34</v>
      </c>
      <c r="F1410">
        <v>9</v>
      </c>
      <c r="G1410">
        <v>0</v>
      </c>
      <c r="H1410">
        <v>22</v>
      </c>
      <c r="I1410">
        <v>2</v>
      </c>
      <c r="J1410">
        <v>2017</v>
      </c>
      <c r="K1410">
        <v>11</v>
      </c>
      <c r="L1410">
        <v>276</v>
      </c>
      <c r="M1410" t="s">
        <v>13</v>
      </c>
      <c r="N1410">
        <f t="shared" si="63"/>
        <v>89.2</v>
      </c>
      <c r="O1410" t="str">
        <f t="shared" si="64"/>
        <v>November</v>
      </c>
      <c r="P1410" t="str">
        <f t="shared" si="65"/>
        <v>Weekday</v>
      </c>
    </row>
    <row r="1411" spans="1:16" x14ac:dyDescent="0.3">
      <c r="A1411" s="1">
        <v>43050</v>
      </c>
      <c r="B1411">
        <v>8.5</v>
      </c>
      <c r="C1411">
        <v>3</v>
      </c>
      <c r="D1411">
        <v>4.0999999999999996</v>
      </c>
      <c r="E1411">
        <v>32</v>
      </c>
      <c r="F1411">
        <v>8</v>
      </c>
      <c r="G1411">
        <v>0</v>
      </c>
      <c r="H1411">
        <v>2</v>
      </c>
      <c r="I1411">
        <v>0</v>
      </c>
      <c r="J1411">
        <v>2017</v>
      </c>
      <c r="K1411">
        <v>11</v>
      </c>
      <c r="L1411">
        <v>276</v>
      </c>
      <c r="M1411" t="s">
        <v>14</v>
      </c>
      <c r="N1411">
        <f t="shared" ref="N1411:N1474" si="66">SUM(B1411:I1411)</f>
        <v>57.6</v>
      </c>
      <c r="O1411" t="str">
        <f t="shared" ref="O1411:O1474" si="67">TEXT(A1411,"mmmm")</f>
        <v>November</v>
      </c>
      <c r="P1411" t="str">
        <f t="shared" ref="P1411:P1474" si="68">IF(OR(M1411="Saturday",M1411="Sunday"),"Weekend","Weekday")</f>
        <v>Weekend</v>
      </c>
    </row>
    <row r="1412" spans="1:16" x14ac:dyDescent="0.3">
      <c r="A1412" s="1">
        <v>43051</v>
      </c>
      <c r="B1412">
        <v>5</v>
      </c>
      <c r="C1412">
        <v>3.65</v>
      </c>
      <c r="D1412">
        <v>6.15</v>
      </c>
      <c r="E1412">
        <v>40</v>
      </c>
      <c r="F1412">
        <v>9</v>
      </c>
      <c r="G1412">
        <v>0</v>
      </c>
      <c r="H1412">
        <v>3</v>
      </c>
      <c r="I1412">
        <v>2</v>
      </c>
      <c r="J1412">
        <v>2017</v>
      </c>
      <c r="K1412">
        <v>11</v>
      </c>
      <c r="L1412">
        <v>276</v>
      </c>
      <c r="M1412" t="s">
        <v>15</v>
      </c>
      <c r="N1412">
        <f t="shared" si="66"/>
        <v>68.8</v>
      </c>
      <c r="O1412" t="str">
        <f t="shared" si="67"/>
        <v>November</v>
      </c>
      <c r="P1412" t="str">
        <f t="shared" si="68"/>
        <v>Weekend</v>
      </c>
    </row>
    <row r="1413" spans="1:16" x14ac:dyDescent="0.3">
      <c r="A1413" s="1">
        <v>43052</v>
      </c>
      <c r="B1413">
        <v>9.33</v>
      </c>
      <c r="C1413">
        <v>2.4289999999999998</v>
      </c>
      <c r="D1413">
        <v>4.2</v>
      </c>
      <c r="E1413">
        <v>44.2</v>
      </c>
      <c r="F1413">
        <v>5</v>
      </c>
      <c r="G1413">
        <v>0</v>
      </c>
      <c r="H1413">
        <v>5</v>
      </c>
      <c r="I1413">
        <v>0.2</v>
      </c>
      <c r="J1413">
        <v>2017</v>
      </c>
      <c r="K1413">
        <v>11</v>
      </c>
      <c r="L1413">
        <v>276</v>
      </c>
      <c r="M1413" t="s">
        <v>16</v>
      </c>
      <c r="N1413">
        <f t="shared" si="66"/>
        <v>70.359000000000009</v>
      </c>
      <c r="O1413" t="str">
        <f t="shared" si="67"/>
        <v>November</v>
      </c>
      <c r="P1413" t="str">
        <f t="shared" si="68"/>
        <v>Weekday</v>
      </c>
    </row>
    <row r="1414" spans="1:16" x14ac:dyDescent="0.3">
      <c r="A1414" s="1">
        <v>43053</v>
      </c>
      <c r="B1414">
        <v>3</v>
      </c>
      <c r="C1414">
        <v>0.85899999999999999</v>
      </c>
      <c r="D1414">
        <v>2</v>
      </c>
      <c r="E1414">
        <v>6.8</v>
      </c>
      <c r="F1414">
        <v>14</v>
      </c>
      <c r="G1414">
        <v>0</v>
      </c>
      <c r="H1414">
        <v>19</v>
      </c>
      <c r="I1414">
        <v>1</v>
      </c>
      <c r="J1414">
        <v>2017</v>
      </c>
      <c r="K1414">
        <v>11</v>
      </c>
      <c r="L1414">
        <v>276</v>
      </c>
      <c r="M1414" t="s">
        <v>17</v>
      </c>
      <c r="N1414">
        <f t="shared" si="66"/>
        <v>46.658999999999999</v>
      </c>
      <c r="O1414" t="str">
        <f t="shared" si="67"/>
        <v>November</v>
      </c>
      <c r="P1414" t="str">
        <f t="shared" si="68"/>
        <v>Weekday</v>
      </c>
    </row>
    <row r="1415" spans="1:16" x14ac:dyDescent="0.3">
      <c r="A1415" s="1">
        <v>43054</v>
      </c>
      <c r="B1415">
        <v>5.33</v>
      </c>
      <c r="C1415">
        <v>2.726</v>
      </c>
      <c r="D1415">
        <v>7.7</v>
      </c>
      <c r="E1415">
        <v>17</v>
      </c>
      <c r="F1415">
        <v>8</v>
      </c>
      <c r="G1415">
        <v>3</v>
      </c>
      <c r="H1415">
        <v>0</v>
      </c>
      <c r="I1415">
        <v>1</v>
      </c>
      <c r="J1415">
        <v>2017</v>
      </c>
      <c r="K1415">
        <v>11</v>
      </c>
      <c r="L1415">
        <v>276</v>
      </c>
      <c r="M1415" t="s">
        <v>18</v>
      </c>
      <c r="N1415">
        <f t="shared" si="66"/>
        <v>44.756</v>
      </c>
      <c r="O1415" t="str">
        <f t="shared" si="67"/>
        <v>November</v>
      </c>
      <c r="P1415" t="str">
        <f t="shared" si="68"/>
        <v>Weekday</v>
      </c>
    </row>
    <row r="1416" spans="1:16" x14ac:dyDescent="0.3">
      <c r="A1416" s="1">
        <v>43055</v>
      </c>
      <c r="B1416">
        <v>5.33</v>
      </c>
      <c r="C1416">
        <v>2</v>
      </c>
      <c r="D1416">
        <v>3</v>
      </c>
      <c r="E1416">
        <v>17.600000000000001</v>
      </c>
      <c r="F1416">
        <v>3</v>
      </c>
      <c r="G1416">
        <v>0</v>
      </c>
      <c r="H1416">
        <v>1</v>
      </c>
      <c r="I1416">
        <v>1</v>
      </c>
      <c r="J1416">
        <v>2017</v>
      </c>
      <c r="K1416">
        <v>11</v>
      </c>
      <c r="L1416">
        <v>276</v>
      </c>
      <c r="M1416" t="s">
        <v>12</v>
      </c>
      <c r="N1416">
        <f t="shared" si="66"/>
        <v>32.93</v>
      </c>
      <c r="O1416" t="str">
        <f t="shared" si="67"/>
        <v>November</v>
      </c>
      <c r="P1416" t="str">
        <f t="shared" si="68"/>
        <v>Weekday</v>
      </c>
    </row>
    <row r="1417" spans="1:16" x14ac:dyDescent="0.3">
      <c r="A1417" s="1">
        <v>43056</v>
      </c>
      <c r="B1417">
        <v>3</v>
      </c>
      <c r="C1417">
        <v>4.8369999999999997</v>
      </c>
      <c r="D1417">
        <v>3</v>
      </c>
      <c r="E1417">
        <v>34</v>
      </c>
      <c r="F1417">
        <v>5</v>
      </c>
      <c r="G1417">
        <v>0</v>
      </c>
      <c r="H1417">
        <v>30</v>
      </c>
      <c r="I1417">
        <v>2</v>
      </c>
      <c r="J1417">
        <v>2017</v>
      </c>
      <c r="K1417">
        <v>11</v>
      </c>
      <c r="L1417">
        <v>276</v>
      </c>
      <c r="M1417" t="s">
        <v>13</v>
      </c>
      <c r="N1417">
        <f t="shared" si="66"/>
        <v>81.837000000000003</v>
      </c>
      <c r="O1417" t="str">
        <f t="shared" si="67"/>
        <v>November</v>
      </c>
      <c r="P1417" t="str">
        <f t="shared" si="68"/>
        <v>Weekday</v>
      </c>
    </row>
    <row r="1418" spans="1:16" x14ac:dyDescent="0.3">
      <c r="A1418" s="1">
        <v>43057</v>
      </c>
      <c r="B1418">
        <v>5.33</v>
      </c>
      <c r="C1418">
        <v>8.4499999999999993</v>
      </c>
      <c r="D1418">
        <v>2</v>
      </c>
      <c r="E1418">
        <v>42.5</v>
      </c>
      <c r="F1418">
        <v>2</v>
      </c>
      <c r="G1418">
        <v>0</v>
      </c>
      <c r="H1418">
        <v>8</v>
      </c>
      <c r="I1418">
        <v>1.2</v>
      </c>
      <c r="J1418">
        <v>2017</v>
      </c>
      <c r="K1418">
        <v>11</v>
      </c>
      <c r="L1418">
        <v>276</v>
      </c>
      <c r="M1418" t="s">
        <v>14</v>
      </c>
      <c r="N1418">
        <f t="shared" si="66"/>
        <v>69.48</v>
      </c>
      <c r="O1418" t="str">
        <f t="shared" si="67"/>
        <v>November</v>
      </c>
      <c r="P1418" t="str">
        <f t="shared" si="68"/>
        <v>Weekend</v>
      </c>
    </row>
    <row r="1419" spans="1:16" x14ac:dyDescent="0.3">
      <c r="A1419" s="1">
        <v>43058</v>
      </c>
      <c r="B1419">
        <v>4</v>
      </c>
      <c r="C1419">
        <v>6.88</v>
      </c>
      <c r="D1419">
        <v>1</v>
      </c>
      <c r="E1419">
        <v>29</v>
      </c>
      <c r="F1419">
        <v>3</v>
      </c>
      <c r="G1419">
        <v>0</v>
      </c>
      <c r="H1419">
        <v>6</v>
      </c>
      <c r="I1419">
        <v>2.5</v>
      </c>
      <c r="J1419">
        <v>2017</v>
      </c>
      <c r="K1419">
        <v>11</v>
      </c>
      <c r="L1419">
        <v>276</v>
      </c>
      <c r="M1419" t="s">
        <v>15</v>
      </c>
      <c r="N1419">
        <f t="shared" si="66"/>
        <v>52.379999999999995</v>
      </c>
      <c r="O1419" t="str">
        <f t="shared" si="67"/>
        <v>November</v>
      </c>
      <c r="P1419" t="str">
        <f t="shared" si="68"/>
        <v>Weekend</v>
      </c>
    </row>
    <row r="1420" spans="1:16" x14ac:dyDescent="0.3">
      <c r="A1420" s="1">
        <v>43059</v>
      </c>
      <c r="B1420">
        <v>2.34</v>
      </c>
      <c r="C1420">
        <v>5.34</v>
      </c>
      <c r="D1420">
        <v>2.4</v>
      </c>
      <c r="E1420">
        <v>28.8</v>
      </c>
      <c r="F1420">
        <v>10</v>
      </c>
      <c r="G1420">
        <v>0</v>
      </c>
      <c r="H1420">
        <v>2</v>
      </c>
      <c r="I1420">
        <v>0</v>
      </c>
      <c r="J1420">
        <v>2017</v>
      </c>
      <c r="K1420">
        <v>11</v>
      </c>
      <c r="L1420">
        <v>276</v>
      </c>
      <c r="M1420" t="s">
        <v>16</v>
      </c>
      <c r="N1420">
        <f t="shared" si="66"/>
        <v>50.88</v>
      </c>
      <c r="O1420" t="str">
        <f t="shared" si="67"/>
        <v>November</v>
      </c>
      <c r="P1420" t="str">
        <f t="shared" si="68"/>
        <v>Weekday</v>
      </c>
    </row>
    <row r="1421" spans="1:16" x14ac:dyDescent="0.3">
      <c r="A1421" s="1">
        <v>43060</v>
      </c>
      <c r="B1421">
        <v>13.33</v>
      </c>
      <c r="C1421">
        <v>0.68</v>
      </c>
      <c r="D1421">
        <v>1</v>
      </c>
      <c r="E1421">
        <v>22.4</v>
      </c>
      <c r="F1421">
        <v>5</v>
      </c>
      <c r="G1421">
        <v>0</v>
      </c>
      <c r="H1421">
        <v>2</v>
      </c>
      <c r="I1421">
        <v>1</v>
      </c>
      <c r="J1421">
        <v>2017</v>
      </c>
      <c r="K1421">
        <v>11</v>
      </c>
      <c r="L1421">
        <v>276</v>
      </c>
      <c r="M1421" t="s">
        <v>17</v>
      </c>
      <c r="N1421">
        <f t="shared" si="66"/>
        <v>45.41</v>
      </c>
      <c r="O1421" t="str">
        <f t="shared" si="67"/>
        <v>November</v>
      </c>
      <c r="P1421" t="str">
        <f t="shared" si="68"/>
        <v>Weekday</v>
      </c>
    </row>
    <row r="1422" spans="1:16" x14ac:dyDescent="0.3">
      <c r="A1422" s="1">
        <v>43061</v>
      </c>
      <c r="B1422">
        <v>2</v>
      </c>
      <c r="C1422">
        <v>4</v>
      </c>
      <c r="D1422">
        <v>1</v>
      </c>
      <c r="E1422">
        <v>26.1</v>
      </c>
      <c r="F1422">
        <v>20</v>
      </c>
      <c r="G1422">
        <v>0</v>
      </c>
      <c r="H1422">
        <v>1</v>
      </c>
      <c r="I1422">
        <v>1</v>
      </c>
      <c r="J1422">
        <v>2017</v>
      </c>
      <c r="K1422">
        <v>11</v>
      </c>
      <c r="L1422">
        <v>276</v>
      </c>
      <c r="M1422" t="s">
        <v>18</v>
      </c>
      <c r="N1422">
        <f t="shared" si="66"/>
        <v>55.1</v>
      </c>
      <c r="O1422" t="str">
        <f t="shared" si="67"/>
        <v>November</v>
      </c>
      <c r="P1422" t="str">
        <f t="shared" si="68"/>
        <v>Weekday</v>
      </c>
    </row>
    <row r="1423" spans="1:16" x14ac:dyDescent="0.3">
      <c r="A1423" s="1">
        <v>43062</v>
      </c>
      <c r="B1423">
        <v>9.33</v>
      </c>
      <c r="C1423">
        <v>5.99</v>
      </c>
      <c r="D1423">
        <v>6</v>
      </c>
      <c r="E1423">
        <v>34.299999999999997</v>
      </c>
      <c r="F1423">
        <v>14</v>
      </c>
      <c r="G1423">
        <v>0</v>
      </c>
      <c r="H1423">
        <v>0</v>
      </c>
      <c r="I1423">
        <v>3</v>
      </c>
      <c r="J1423">
        <v>2017</v>
      </c>
      <c r="K1423">
        <v>11</v>
      </c>
      <c r="L1423">
        <v>276</v>
      </c>
      <c r="M1423" t="s">
        <v>12</v>
      </c>
      <c r="N1423">
        <f t="shared" si="66"/>
        <v>72.62</v>
      </c>
      <c r="O1423" t="str">
        <f t="shared" si="67"/>
        <v>November</v>
      </c>
      <c r="P1423" t="str">
        <f t="shared" si="68"/>
        <v>Weekday</v>
      </c>
    </row>
    <row r="1424" spans="1:16" x14ac:dyDescent="0.3">
      <c r="A1424" s="1">
        <v>43063</v>
      </c>
      <c r="B1424">
        <v>8</v>
      </c>
      <c r="C1424">
        <v>3.1320000000000001</v>
      </c>
      <c r="D1424">
        <v>5</v>
      </c>
      <c r="E1424">
        <v>34.323999999999998</v>
      </c>
      <c r="F1424">
        <v>5</v>
      </c>
      <c r="G1424">
        <v>2</v>
      </c>
      <c r="H1424">
        <v>2</v>
      </c>
      <c r="I1424">
        <v>0</v>
      </c>
      <c r="J1424">
        <v>2017</v>
      </c>
      <c r="K1424">
        <v>11</v>
      </c>
      <c r="L1424">
        <v>276</v>
      </c>
      <c r="M1424" t="s">
        <v>13</v>
      </c>
      <c r="N1424">
        <f t="shared" si="66"/>
        <v>59.455999999999996</v>
      </c>
      <c r="O1424" t="str">
        <f t="shared" si="67"/>
        <v>November</v>
      </c>
      <c r="P1424" t="str">
        <f t="shared" si="68"/>
        <v>Weekday</v>
      </c>
    </row>
    <row r="1425" spans="1:16" x14ac:dyDescent="0.3">
      <c r="A1425" s="1">
        <v>43064</v>
      </c>
      <c r="B1425">
        <v>5.33</v>
      </c>
      <c r="C1425">
        <v>6.0759999999999996</v>
      </c>
      <c r="D1425">
        <v>4.0999999999999996</v>
      </c>
      <c r="E1425">
        <v>26.5</v>
      </c>
      <c r="F1425">
        <v>8</v>
      </c>
      <c r="G1425">
        <v>0</v>
      </c>
      <c r="H1425">
        <v>2</v>
      </c>
      <c r="I1425">
        <v>0</v>
      </c>
      <c r="J1425">
        <v>2017</v>
      </c>
      <c r="K1425">
        <v>11</v>
      </c>
      <c r="L1425">
        <v>276</v>
      </c>
      <c r="M1425" t="s">
        <v>14</v>
      </c>
      <c r="N1425">
        <f t="shared" si="66"/>
        <v>52.006</v>
      </c>
      <c r="O1425" t="str">
        <f t="shared" si="67"/>
        <v>November</v>
      </c>
      <c r="P1425" t="str">
        <f t="shared" si="68"/>
        <v>Weekend</v>
      </c>
    </row>
    <row r="1426" spans="1:16" x14ac:dyDescent="0.3">
      <c r="A1426" s="1">
        <v>43065</v>
      </c>
      <c r="B1426">
        <v>5.66</v>
      </c>
      <c r="C1426">
        <v>5.7859999999999996</v>
      </c>
      <c r="D1426">
        <v>1</v>
      </c>
      <c r="E1426">
        <v>31.2</v>
      </c>
      <c r="F1426">
        <v>2</v>
      </c>
      <c r="G1426">
        <v>1</v>
      </c>
      <c r="H1426">
        <v>12</v>
      </c>
      <c r="I1426">
        <v>2</v>
      </c>
      <c r="J1426">
        <v>2017</v>
      </c>
      <c r="K1426">
        <v>11</v>
      </c>
      <c r="L1426">
        <v>276</v>
      </c>
      <c r="M1426" t="s">
        <v>15</v>
      </c>
      <c r="N1426">
        <f t="shared" si="66"/>
        <v>60.646000000000001</v>
      </c>
      <c r="O1426" t="str">
        <f t="shared" si="67"/>
        <v>November</v>
      </c>
      <c r="P1426" t="str">
        <f t="shared" si="68"/>
        <v>Weekend</v>
      </c>
    </row>
    <row r="1427" spans="1:16" x14ac:dyDescent="0.3">
      <c r="A1427" s="1">
        <v>43066</v>
      </c>
      <c r="B1427">
        <v>1.34</v>
      </c>
      <c r="C1427">
        <v>3.67</v>
      </c>
      <c r="D1427">
        <v>6.1</v>
      </c>
      <c r="E1427">
        <v>34.825000000000003</v>
      </c>
      <c r="F1427">
        <v>4</v>
      </c>
      <c r="G1427">
        <v>0</v>
      </c>
      <c r="H1427">
        <v>7</v>
      </c>
      <c r="I1427">
        <v>3</v>
      </c>
      <c r="J1427">
        <v>2017</v>
      </c>
      <c r="K1427">
        <v>11</v>
      </c>
      <c r="L1427">
        <v>276</v>
      </c>
      <c r="M1427" t="s">
        <v>16</v>
      </c>
      <c r="N1427">
        <f t="shared" si="66"/>
        <v>59.935000000000002</v>
      </c>
      <c r="O1427" t="str">
        <f t="shared" si="67"/>
        <v>November</v>
      </c>
      <c r="P1427" t="str">
        <f t="shared" si="68"/>
        <v>Weekday</v>
      </c>
    </row>
    <row r="1428" spans="1:16" x14ac:dyDescent="0.3">
      <c r="A1428" s="1">
        <v>43067</v>
      </c>
      <c r="B1428">
        <v>5</v>
      </c>
      <c r="C1428">
        <v>1.34</v>
      </c>
      <c r="D1428">
        <v>5.35</v>
      </c>
      <c r="E1428">
        <v>40.6</v>
      </c>
      <c r="F1428">
        <v>5</v>
      </c>
      <c r="G1428">
        <v>3</v>
      </c>
      <c r="H1428">
        <v>8</v>
      </c>
      <c r="I1428">
        <v>3</v>
      </c>
      <c r="J1428">
        <v>2017</v>
      </c>
      <c r="K1428">
        <v>11</v>
      </c>
      <c r="L1428">
        <v>276</v>
      </c>
      <c r="M1428" t="s">
        <v>17</v>
      </c>
      <c r="N1428">
        <f t="shared" si="66"/>
        <v>71.289999999999992</v>
      </c>
      <c r="O1428" t="str">
        <f t="shared" si="67"/>
        <v>November</v>
      </c>
      <c r="P1428" t="str">
        <f t="shared" si="68"/>
        <v>Weekday</v>
      </c>
    </row>
    <row r="1429" spans="1:16" x14ac:dyDescent="0.3">
      <c r="A1429" s="1">
        <v>43068</v>
      </c>
      <c r="B1429">
        <v>6.34</v>
      </c>
      <c r="C1429">
        <v>2.3969999999999998</v>
      </c>
      <c r="D1429">
        <v>4.0999999999999996</v>
      </c>
      <c r="E1429">
        <v>32.6</v>
      </c>
      <c r="F1429">
        <v>7</v>
      </c>
      <c r="G1429">
        <v>0</v>
      </c>
      <c r="H1429">
        <v>5</v>
      </c>
      <c r="I1429">
        <v>3</v>
      </c>
      <c r="J1429">
        <v>2017</v>
      </c>
      <c r="K1429">
        <v>11</v>
      </c>
      <c r="L1429">
        <v>276</v>
      </c>
      <c r="M1429" t="s">
        <v>18</v>
      </c>
      <c r="N1429">
        <f t="shared" si="66"/>
        <v>60.436999999999998</v>
      </c>
      <c r="O1429" t="str">
        <f t="shared" si="67"/>
        <v>November</v>
      </c>
      <c r="P1429" t="str">
        <f t="shared" si="68"/>
        <v>Weekday</v>
      </c>
    </row>
    <row r="1430" spans="1:16" x14ac:dyDescent="0.3">
      <c r="A1430" s="1">
        <v>43069</v>
      </c>
      <c r="B1430">
        <v>5.67</v>
      </c>
      <c r="C1430">
        <v>1.3959999999999999</v>
      </c>
      <c r="D1430">
        <v>3</v>
      </c>
      <c r="E1430">
        <v>30</v>
      </c>
      <c r="F1430">
        <v>2</v>
      </c>
      <c r="G1430">
        <v>0</v>
      </c>
      <c r="H1430">
        <v>9</v>
      </c>
      <c r="I1430">
        <v>3</v>
      </c>
      <c r="J1430">
        <v>2017</v>
      </c>
      <c r="K1430">
        <v>11</v>
      </c>
      <c r="L1430">
        <v>276</v>
      </c>
      <c r="M1430" t="s">
        <v>12</v>
      </c>
      <c r="N1430">
        <f t="shared" si="66"/>
        <v>54.066000000000003</v>
      </c>
      <c r="O1430" t="str">
        <f t="shared" si="67"/>
        <v>November</v>
      </c>
      <c r="P1430" t="str">
        <f t="shared" si="68"/>
        <v>Weekday</v>
      </c>
    </row>
    <row r="1431" spans="1:16" x14ac:dyDescent="0.3">
      <c r="A1431" s="1">
        <v>43070</v>
      </c>
      <c r="B1431">
        <v>10.33</v>
      </c>
      <c r="C1431">
        <v>7.66</v>
      </c>
      <c r="D1431">
        <v>1</v>
      </c>
      <c r="E1431">
        <v>25.4</v>
      </c>
      <c r="F1431">
        <v>3</v>
      </c>
      <c r="G1431">
        <v>0</v>
      </c>
      <c r="H1431">
        <v>5</v>
      </c>
      <c r="I1431">
        <v>2</v>
      </c>
      <c r="J1431">
        <v>2017</v>
      </c>
      <c r="K1431">
        <v>12</v>
      </c>
      <c r="L1431">
        <v>276</v>
      </c>
      <c r="M1431" t="s">
        <v>13</v>
      </c>
      <c r="N1431">
        <f t="shared" si="66"/>
        <v>54.39</v>
      </c>
      <c r="O1431" t="str">
        <f t="shared" si="67"/>
        <v>December</v>
      </c>
      <c r="P1431" t="str">
        <f t="shared" si="68"/>
        <v>Weekday</v>
      </c>
    </row>
    <row r="1432" spans="1:16" x14ac:dyDescent="0.3">
      <c r="A1432" s="1">
        <v>43071</v>
      </c>
      <c r="B1432">
        <v>4.33</v>
      </c>
      <c r="C1432">
        <v>3.67</v>
      </c>
      <c r="D1432">
        <v>5</v>
      </c>
      <c r="E1432">
        <v>22</v>
      </c>
      <c r="F1432">
        <v>11</v>
      </c>
      <c r="G1432">
        <v>0</v>
      </c>
      <c r="H1432">
        <v>0</v>
      </c>
      <c r="I1432">
        <v>1.5</v>
      </c>
      <c r="J1432">
        <v>2017</v>
      </c>
      <c r="K1432">
        <v>12</v>
      </c>
      <c r="L1432">
        <v>276</v>
      </c>
      <c r="M1432" t="s">
        <v>14</v>
      </c>
      <c r="N1432">
        <f t="shared" si="66"/>
        <v>47.5</v>
      </c>
      <c r="O1432" t="str">
        <f t="shared" si="67"/>
        <v>December</v>
      </c>
      <c r="P1432" t="str">
        <f t="shared" si="68"/>
        <v>Weekend</v>
      </c>
    </row>
    <row r="1433" spans="1:16" x14ac:dyDescent="0.3">
      <c r="A1433" s="1">
        <v>43072</v>
      </c>
      <c r="B1433">
        <v>5.33</v>
      </c>
      <c r="C1433">
        <v>6.0229999999999997</v>
      </c>
      <c r="D1433">
        <v>3</v>
      </c>
      <c r="E1433">
        <v>33.4</v>
      </c>
      <c r="F1433">
        <v>3</v>
      </c>
      <c r="G1433">
        <v>0</v>
      </c>
      <c r="H1433">
        <v>6</v>
      </c>
      <c r="I1433">
        <v>2</v>
      </c>
      <c r="J1433">
        <v>2017</v>
      </c>
      <c r="K1433">
        <v>12</v>
      </c>
      <c r="L1433">
        <v>276</v>
      </c>
      <c r="M1433" t="s">
        <v>15</v>
      </c>
      <c r="N1433">
        <f t="shared" si="66"/>
        <v>58.753</v>
      </c>
      <c r="O1433" t="str">
        <f t="shared" si="67"/>
        <v>December</v>
      </c>
      <c r="P1433" t="str">
        <f t="shared" si="68"/>
        <v>Weekend</v>
      </c>
    </row>
    <row r="1434" spans="1:16" x14ac:dyDescent="0.3">
      <c r="A1434" s="1">
        <v>43073</v>
      </c>
      <c r="B1434">
        <v>1</v>
      </c>
      <c r="C1434">
        <v>2.363</v>
      </c>
      <c r="D1434">
        <v>4</v>
      </c>
      <c r="E1434">
        <v>15.6</v>
      </c>
      <c r="F1434">
        <v>3</v>
      </c>
      <c r="G1434">
        <v>0</v>
      </c>
      <c r="H1434">
        <v>13</v>
      </c>
      <c r="I1434">
        <v>3</v>
      </c>
      <c r="J1434">
        <v>2017</v>
      </c>
      <c r="K1434">
        <v>12</v>
      </c>
      <c r="L1434">
        <v>276</v>
      </c>
      <c r="M1434" t="s">
        <v>16</v>
      </c>
      <c r="N1434">
        <f t="shared" si="66"/>
        <v>41.963000000000001</v>
      </c>
      <c r="O1434" t="str">
        <f t="shared" si="67"/>
        <v>December</v>
      </c>
      <c r="P1434" t="str">
        <f t="shared" si="68"/>
        <v>Weekday</v>
      </c>
    </row>
    <row r="1435" spans="1:16" x14ac:dyDescent="0.3">
      <c r="A1435" s="1">
        <v>43074</v>
      </c>
      <c r="B1435">
        <v>3.68</v>
      </c>
      <c r="C1435">
        <v>3.165</v>
      </c>
      <c r="D1435">
        <v>4.05</v>
      </c>
      <c r="E1435">
        <v>17.100000000000001</v>
      </c>
      <c r="F1435">
        <v>1</v>
      </c>
      <c r="G1435">
        <v>0</v>
      </c>
      <c r="H1435">
        <v>6</v>
      </c>
      <c r="I1435">
        <v>2</v>
      </c>
      <c r="J1435">
        <v>2017</v>
      </c>
      <c r="K1435">
        <v>12</v>
      </c>
      <c r="L1435">
        <v>276</v>
      </c>
      <c r="M1435" t="s">
        <v>17</v>
      </c>
      <c r="N1435">
        <f t="shared" si="66"/>
        <v>36.995000000000005</v>
      </c>
      <c r="O1435" t="str">
        <f t="shared" si="67"/>
        <v>December</v>
      </c>
      <c r="P1435" t="str">
        <f t="shared" si="68"/>
        <v>Weekday</v>
      </c>
    </row>
    <row r="1436" spans="1:16" x14ac:dyDescent="0.3">
      <c r="A1436" s="1">
        <v>43075</v>
      </c>
      <c r="B1436">
        <v>4</v>
      </c>
      <c r="C1436">
        <v>4.3959999999999999</v>
      </c>
      <c r="D1436">
        <v>2.1</v>
      </c>
      <c r="E1436">
        <v>29.2</v>
      </c>
      <c r="F1436">
        <v>12</v>
      </c>
      <c r="G1436">
        <v>0</v>
      </c>
      <c r="H1436">
        <v>6</v>
      </c>
      <c r="I1436">
        <v>1</v>
      </c>
      <c r="J1436">
        <v>2017</v>
      </c>
      <c r="K1436">
        <v>12</v>
      </c>
      <c r="L1436">
        <v>276</v>
      </c>
      <c r="M1436" t="s">
        <v>18</v>
      </c>
      <c r="N1436">
        <f t="shared" si="66"/>
        <v>58.695999999999998</v>
      </c>
      <c r="O1436" t="str">
        <f t="shared" si="67"/>
        <v>December</v>
      </c>
      <c r="P1436" t="str">
        <f t="shared" si="68"/>
        <v>Weekday</v>
      </c>
    </row>
    <row r="1437" spans="1:16" x14ac:dyDescent="0.3">
      <c r="A1437" s="1">
        <v>43076</v>
      </c>
      <c r="B1437">
        <v>3</v>
      </c>
      <c r="C1437">
        <v>2.66</v>
      </c>
      <c r="D1437">
        <v>5.45</v>
      </c>
      <c r="E1437">
        <v>24.9</v>
      </c>
      <c r="F1437">
        <v>8</v>
      </c>
      <c r="G1437">
        <v>0</v>
      </c>
      <c r="H1437">
        <v>7</v>
      </c>
      <c r="I1437">
        <v>1</v>
      </c>
      <c r="J1437">
        <v>2017</v>
      </c>
      <c r="K1437">
        <v>12</v>
      </c>
      <c r="L1437">
        <v>276</v>
      </c>
      <c r="M1437" t="s">
        <v>12</v>
      </c>
      <c r="N1437">
        <f t="shared" si="66"/>
        <v>52.01</v>
      </c>
      <c r="O1437" t="str">
        <f t="shared" si="67"/>
        <v>December</v>
      </c>
      <c r="P1437" t="str">
        <f t="shared" si="68"/>
        <v>Weekday</v>
      </c>
    </row>
    <row r="1438" spans="1:16" x14ac:dyDescent="0.3">
      <c r="A1438" s="1">
        <v>43077</v>
      </c>
      <c r="B1438">
        <v>5.33</v>
      </c>
      <c r="C1438">
        <v>2.5099999999999998</v>
      </c>
      <c r="D1438">
        <v>3.5</v>
      </c>
      <c r="E1438">
        <v>44.2</v>
      </c>
      <c r="F1438">
        <v>5</v>
      </c>
      <c r="G1438">
        <v>1</v>
      </c>
      <c r="H1438">
        <v>7</v>
      </c>
      <c r="I1438">
        <v>2</v>
      </c>
      <c r="J1438">
        <v>2017</v>
      </c>
      <c r="K1438">
        <v>12</v>
      </c>
      <c r="L1438">
        <v>276</v>
      </c>
      <c r="M1438" t="s">
        <v>13</v>
      </c>
      <c r="N1438">
        <f t="shared" si="66"/>
        <v>70.540000000000006</v>
      </c>
      <c r="O1438" t="str">
        <f t="shared" si="67"/>
        <v>December</v>
      </c>
      <c r="P1438" t="str">
        <f t="shared" si="68"/>
        <v>Weekday</v>
      </c>
    </row>
    <row r="1439" spans="1:16" x14ac:dyDescent="0.3">
      <c r="A1439" s="1">
        <v>43078</v>
      </c>
      <c r="B1439">
        <v>5</v>
      </c>
      <c r="C1439">
        <v>2.17</v>
      </c>
      <c r="D1439">
        <v>5.4</v>
      </c>
      <c r="E1439">
        <v>36.6</v>
      </c>
      <c r="F1439">
        <v>14</v>
      </c>
      <c r="G1439">
        <v>0</v>
      </c>
      <c r="H1439">
        <v>7</v>
      </c>
      <c r="I1439">
        <v>2</v>
      </c>
      <c r="J1439">
        <v>2017</v>
      </c>
      <c r="K1439">
        <v>12</v>
      </c>
      <c r="L1439">
        <v>276</v>
      </c>
      <c r="M1439" t="s">
        <v>14</v>
      </c>
      <c r="N1439">
        <f t="shared" si="66"/>
        <v>72.17</v>
      </c>
      <c r="O1439" t="str">
        <f t="shared" si="67"/>
        <v>December</v>
      </c>
      <c r="P1439" t="str">
        <f t="shared" si="68"/>
        <v>Weekend</v>
      </c>
    </row>
    <row r="1440" spans="1:16" x14ac:dyDescent="0.3">
      <c r="A1440" s="1">
        <v>43079</v>
      </c>
      <c r="B1440">
        <v>5</v>
      </c>
      <c r="C1440">
        <v>2.802</v>
      </c>
      <c r="D1440">
        <v>5</v>
      </c>
      <c r="E1440">
        <v>48</v>
      </c>
      <c r="F1440">
        <v>7</v>
      </c>
      <c r="G1440">
        <v>0</v>
      </c>
      <c r="H1440">
        <v>18</v>
      </c>
      <c r="I1440">
        <v>2</v>
      </c>
      <c r="J1440">
        <v>2017</v>
      </c>
      <c r="K1440">
        <v>12</v>
      </c>
      <c r="L1440">
        <v>276</v>
      </c>
      <c r="M1440" t="s">
        <v>15</v>
      </c>
      <c r="N1440">
        <f t="shared" si="66"/>
        <v>87.801999999999992</v>
      </c>
      <c r="O1440" t="str">
        <f t="shared" si="67"/>
        <v>December</v>
      </c>
      <c r="P1440" t="str">
        <f t="shared" si="68"/>
        <v>Weekend</v>
      </c>
    </row>
    <row r="1441" spans="1:16" x14ac:dyDescent="0.3">
      <c r="A1441" s="1">
        <v>43080</v>
      </c>
      <c r="B1441">
        <v>8</v>
      </c>
      <c r="C1441">
        <v>6</v>
      </c>
      <c r="D1441">
        <v>5.5</v>
      </c>
      <c r="E1441">
        <v>34.4</v>
      </c>
      <c r="F1441">
        <v>10</v>
      </c>
      <c r="G1441">
        <v>0</v>
      </c>
      <c r="H1441">
        <v>6</v>
      </c>
      <c r="I1441">
        <v>1</v>
      </c>
      <c r="J1441">
        <v>2017</v>
      </c>
      <c r="K1441">
        <v>12</v>
      </c>
      <c r="L1441">
        <v>276</v>
      </c>
      <c r="M1441" t="s">
        <v>16</v>
      </c>
      <c r="N1441">
        <f t="shared" si="66"/>
        <v>70.900000000000006</v>
      </c>
      <c r="O1441" t="str">
        <f t="shared" si="67"/>
        <v>December</v>
      </c>
      <c r="P1441" t="str">
        <f t="shared" si="68"/>
        <v>Weekday</v>
      </c>
    </row>
    <row r="1442" spans="1:16" x14ac:dyDescent="0.3">
      <c r="A1442" s="1">
        <v>43081</v>
      </c>
      <c r="B1442">
        <v>1.33</v>
      </c>
      <c r="C1442">
        <v>5.0659999999999998</v>
      </c>
      <c r="D1442">
        <v>3</v>
      </c>
      <c r="E1442">
        <v>44</v>
      </c>
      <c r="F1442">
        <v>6</v>
      </c>
      <c r="G1442">
        <v>1</v>
      </c>
      <c r="H1442">
        <v>12</v>
      </c>
      <c r="I1442">
        <v>2</v>
      </c>
      <c r="J1442">
        <v>2017</v>
      </c>
      <c r="K1442">
        <v>12</v>
      </c>
      <c r="L1442">
        <v>276</v>
      </c>
      <c r="M1442" t="s">
        <v>17</v>
      </c>
      <c r="N1442">
        <f t="shared" si="66"/>
        <v>74.396000000000001</v>
      </c>
      <c r="O1442" t="str">
        <f t="shared" si="67"/>
        <v>December</v>
      </c>
      <c r="P1442" t="str">
        <f t="shared" si="68"/>
        <v>Weekday</v>
      </c>
    </row>
    <row r="1443" spans="1:16" x14ac:dyDescent="0.3">
      <c r="A1443" s="1">
        <v>43082</v>
      </c>
      <c r="B1443">
        <v>4</v>
      </c>
      <c r="C1443">
        <v>3.34</v>
      </c>
      <c r="D1443">
        <v>2.2999999999999998</v>
      </c>
      <c r="E1443">
        <v>29</v>
      </c>
      <c r="F1443">
        <v>9</v>
      </c>
      <c r="G1443">
        <v>0</v>
      </c>
      <c r="H1443">
        <v>0</v>
      </c>
      <c r="I1443">
        <v>1</v>
      </c>
      <c r="J1443">
        <v>2017</v>
      </c>
      <c r="K1443">
        <v>12</v>
      </c>
      <c r="L1443">
        <v>276</v>
      </c>
      <c r="M1443" t="s">
        <v>18</v>
      </c>
      <c r="N1443">
        <f t="shared" si="66"/>
        <v>48.64</v>
      </c>
      <c r="O1443" t="str">
        <f t="shared" si="67"/>
        <v>December</v>
      </c>
      <c r="P1443" t="str">
        <f t="shared" si="68"/>
        <v>Weekday</v>
      </c>
    </row>
    <row r="1444" spans="1:16" x14ac:dyDescent="0.3">
      <c r="A1444" s="1">
        <v>43083</v>
      </c>
      <c r="B1444">
        <v>3</v>
      </c>
      <c r="C1444">
        <v>3</v>
      </c>
      <c r="D1444">
        <v>3</v>
      </c>
      <c r="E1444">
        <v>30</v>
      </c>
      <c r="F1444">
        <v>5</v>
      </c>
      <c r="G1444">
        <v>0</v>
      </c>
      <c r="H1444">
        <v>0</v>
      </c>
      <c r="I1444">
        <v>3</v>
      </c>
      <c r="J1444">
        <v>2017</v>
      </c>
      <c r="K1444">
        <v>12</v>
      </c>
      <c r="L1444">
        <v>276</v>
      </c>
      <c r="M1444" t="s">
        <v>12</v>
      </c>
      <c r="N1444">
        <f t="shared" si="66"/>
        <v>47</v>
      </c>
      <c r="O1444" t="str">
        <f t="shared" si="67"/>
        <v>December</v>
      </c>
      <c r="P1444" t="str">
        <f t="shared" si="68"/>
        <v>Weekday</v>
      </c>
    </row>
    <row r="1445" spans="1:16" x14ac:dyDescent="0.3">
      <c r="A1445" s="1">
        <v>43084</v>
      </c>
      <c r="B1445">
        <v>4.18</v>
      </c>
      <c r="C1445">
        <v>5.01</v>
      </c>
      <c r="D1445">
        <v>2.5</v>
      </c>
      <c r="E1445">
        <v>29</v>
      </c>
      <c r="F1445">
        <v>6</v>
      </c>
      <c r="G1445">
        <v>0</v>
      </c>
      <c r="H1445">
        <v>0</v>
      </c>
      <c r="I1445">
        <v>1</v>
      </c>
      <c r="J1445">
        <v>2017</v>
      </c>
      <c r="K1445">
        <v>12</v>
      </c>
      <c r="L1445">
        <v>276</v>
      </c>
      <c r="M1445" t="s">
        <v>13</v>
      </c>
      <c r="N1445">
        <f t="shared" si="66"/>
        <v>47.69</v>
      </c>
      <c r="O1445" t="str">
        <f t="shared" si="67"/>
        <v>December</v>
      </c>
      <c r="P1445" t="str">
        <f t="shared" si="68"/>
        <v>Weekday</v>
      </c>
    </row>
    <row r="1446" spans="1:16" x14ac:dyDescent="0.3">
      <c r="A1446" s="1">
        <v>43085</v>
      </c>
      <c r="B1446">
        <v>11</v>
      </c>
      <c r="C1446">
        <v>6</v>
      </c>
      <c r="D1446">
        <v>3</v>
      </c>
      <c r="E1446">
        <v>36.6</v>
      </c>
      <c r="F1446">
        <v>6</v>
      </c>
      <c r="G1446">
        <v>1</v>
      </c>
      <c r="H1446">
        <v>1</v>
      </c>
      <c r="I1446">
        <v>2</v>
      </c>
      <c r="J1446">
        <v>2017</v>
      </c>
      <c r="K1446">
        <v>12</v>
      </c>
      <c r="L1446">
        <v>276</v>
      </c>
      <c r="M1446" t="s">
        <v>14</v>
      </c>
      <c r="N1446">
        <f t="shared" si="66"/>
        <v>66.599999999999994</v>
      </c>
      <c r="O1446" t="str">
        <f t="shared" si="67"/>
        <v>December</v>
      </c>
      <c r="P1446" t="str">
        <f t="shared" si="68"/>
        <v>Weekend</v>
      </c>
    </row>
    <row r="1447" spans="1:16" x14ac:dyDescent="0.3">
      <c r="A1447" s="1">
        <v>43086</v>
      </c>
      <c r="B1447">
        <v>7</v>
      </c>
      <c r="C1447">
        <v>0.33</v>
      </c>
      <c r="D1447">
        <v>5.0999999999999996</v>
      </c>
      <c r="E1447">
        <v>37</v>
      </c>
      <c r="F1447">
        <v>11</v>
      </c>
      <c r="G1447">
        <v>0</v>
      </c>
      <c r="H1447">
        <v>15</v>
      </c>
      <c r="I1447">
        <v>2</v>
      </c>
      <c r="J1447">
        <v>2017</v>
      </c>
      <c r="K1447">
        <v>12</v>
      </c>
      <c r="L1447">
        <v>276</v>
      </c>
      <c r="M1447" t="s">
        <v>15</v>
      </c>
      <c r="N1447">
        <f t="shared" si="66"/>
        <v>77.430000000000007</v>
      </c>
      <c r="O1447" t="str">
        <f t="shared" si="67"/>
        <v>December</v>
      </c>
      <c r="P1447" t="str">
        <f t="shared" si="68"/>
        <v>Weekend</v>
      </c>
    </row>
    <row r="1448" spans="1:16" x14ac:dyDescent="0.3">
      <c r="A1448" s="1">
        <v>43087</v>
      </c>
      <c r="B1448">
        <v>0.66</v>
      </c>
      <c r="C1448">
        <v>4.67</v>
      </c>
      <c r="D1448">
        <v>6</v>
      </c>
      <c r="E1448">
        <v>31.6</v>
      </c>
      <c r="F1448">
        <v>7</v>
      </c>
      <c r="G1448">
        <v>0</v>
      </c>
      <c r="H1448">
        <v>8</v>
      </c>
      <c r="I1448">
        <v>0</v>
      </c>
      <c r="J1448">
        <v>2017</v>
      </c>
      <c r="K1448">
        <v>12</v>
      </c>
      <c r="L1448">
        <v>276</v>
      </c>
      <c r="M1448" t="s">
        <v>16</v>
      </c>
      <c r="N1448">
        <f t="shared" si="66"/>
        <v>57.93</v>
      </c>
      <c r="O1448" t="str">
        <f t="shared" si="67"/>
        <v>December</v>
      </c>
      <c r="P1448" t="str">
        <f t="shared" si="68"/>
        <v>Weekday</v>
      </c>
    </row>
    <row r="1449" spans="1:16" x14ac:dyDescent="0.3">
      <c r="A1449" s="1">
        <v>43088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2017</v>
      </c>
      <c r="K1449">
        <v>12</v>
      </c>
      <c r="L1449">
        <v>276</v>
      </c>
      <c r="M1449" t="s">
        <v>17</v>
      </c>
      <c r="N1449">
        <f t="shared" si="66"/>
        <v>0</v>
      </c>
      <c r="O1449" t="str">
        <f t="shared" si="67"/>
        <v>December</v>
      </c>
      <c r="P1449" t="str">
        <f t="shared" si="68"/>
        <v>Weekday</v>
      </c>
    </row>
    <row r="1450" spans="1:16" x14ac:dyDescent="0.3">
      <c r="A1450" s="1">
        <v>43089</v>
      </c>
      <c r="B1450">
        <v>2</v>
      </c>
      <c r="C1450">
        <v>3.3959999999999999</v>
      </c>
      <c r="D1450">
        <v>3</v>
      </c>
      <c r="E1450">
        <v>27.2</v>
      </c>
      <c r="F1450">
        <v>3</v>
      </c>
      <c r="G1450">
        <v>0</v>
      </c>
      <c r="H1450">
        <v>11</v>
      </c>
      <c r="I1450">
        <v>2</v>
      </c>
      <c r="J1450">
        <v>2017</v>
      </c>
      <c r="K1450">
        <v>12</v>
      </c>
      <c r="L1450">
        <v>276</v>
      </c>
      <c r="M1450" t="s">
        <v>18</v>
      </c>
      <c r="N1450">
        <f t="shared" si="66"/>
        <v>51.596000000000004</v>
      </c>
      <c r="O1450" t="str">
        <f t="shared" si="67"/>
        <v>December</v>
      </c>
      <c r="P1450" t="str">
        <f t="shared" si="68"/>
        <v>Weekday</v>
      </c>
    </row>
    <row r="1451" spans="1:16" x14ac:dyDescent="0.3">
      <c r="A1451" s="1">
        <v>43090</v>
      </c>
      <c r="B1451">
        <v>2.02</v>
      </c>
      <c r="C1451">
        <v>2.66</v>
      </c>
      <c r="D1451">
        <v>4</v>
      </c>
      <c r="E1451">
        <v>23.4</v>
      </c>
      <c r="F1451">
        <v>5</v>
      </c>
      <c r="G1451">
        <v>0</v>
      </c>
      <c r="H1451">
        <v>6</v>
      </c>
      <c r="I1451">
        <v>0</v>
      </c>
      <c r="J1451">
        <v>2017</v>
      </c>
      <c r="K1451">
        <v>12</v>
      </c>
      <c r="L1451">
        <v>276</v>
      </c>
      <c r="M1451" t="s">
        <v>12</v>
      </c>
      <c r="N1451">
        <f t="shared" si="66"/>
        <v>43.08</v>
      </c>
      <c r="O1451" t="str">
        <f t="shared" si="67"/>
        <v>December</v>
      </c>
      <c r="P1451" t="str">
        <f t="shared" si="68"/>
        <v>Weekday</v>
      </c>
    </row>
    <row r="1452" spans="1:16" x14ac:dyDescent="0.3">
      <c r="A1452" s="1">
        <v>43091</v>
      </c>
      <c r="B1452">
        <v>5.99</v>
      </c>
      <c r="C1452">
        <v>2.7690000000000001</v>
      </c>
      <c r="D1452">
        <v>1.5</v>
      </c>
      <c r="E1452">
        <v>26</v>
      </c>
      <c r="F1452">
        <v>13</v>
      </c>
      <c r="G1452">
        <v>0</v>
      </c>
      <c r="H1452">
        <v>1</v>
      </c>
      <c r="I1452">
        <v>1.6</v>
      </c>
      <c r="J1452">
        <v>2017</v>
      </c>
      <c r="K1452">
        <v>12</v>
      </c>
      <c r="L1452">
        <v>276</v>
      </c>
      <c r="M1452" t="s">
        <v>13</v>
      </c>
      <c r="N1452">
        <f t="shared" si="66"/>
        <v>51.859000000000002</v>
      </c>
      <c r="O1452" t="str">
        <f t="shared" si="67"/>
        <v>December</v>
      </c>
      <c r="P1452" t="str">
        <f t="shared" si="68"/>
        <v>Weekday</v>
      </c>
    </row>
    <row r="1453" spans="1:16" x14ac:dyDescent="0.3">
      <c r="A1453" s="1">
        <v>43092</v>
      </c>
      <c r="B1453">
        <v>6</v>
      </c>
      <c r="C1453">
        <v>4.5049999999999999</v>
      </c>
      <c r="D1453">
        <v>6.1</v>
      </c>
      <c r="E1453">
        <v>28.3</v>
      </c>
      <c r="F1453">
        <v>6</v>
      </c>
      <c r="G1453">
        <v>0</v>
      </c>
      <c r="H1453">
        <v>1</v>
      </c>
      <c r="I1453">
        <v>1</v>
      </c>
      <c r="J1453">
        <v>2017</v>
      </c>
      <c r="K1453">
        <v>12</v>
      </c>
      <c r="L1453">
        <v>276</v>
      </c>
      <c r="M1453" t="s">
        <v>14</v>
      </c>
      <c r="N1453">
        <f t="shared" si="66"/>
        <v>52.905000000000001</v>
      </c>
      <c r="O1453" t="str">
        <f t="shared" si="67"/>
        <v>December</v>
      </c>
      <c r="P1453" t="str">
        <f t="shared" si="68"/>
        <v>Weekend</v>
      </c>
    </row>
    <row r="1454" spans="1:16" x14ac:dyDescent="0.3">
      <c r="A1454" s="1">
        <v>43093</v>
      </c>
      <c r="B1454">
        <v>7.66</v>
      </c>
      <c r="C1454">
        <v>3.46</v>
      </c>
      <c r="D1454">
        <v>2</v>
      </c>
      <c r="E1454">
        <v>32.200000000000003</v>
      </c>
      <c r="F1454">
        <v>4</v>
      </c>
      <c r="G1454">
        <v>0</v>
      </c>
      <c r="H1454">
        <v>5</v>
      </c>
      <c r="I1454">
        <v>1</v>
      </c>
      <c r="J1454">
        <v>2017</v>
      </c>
      <c r="K1454">
        <v>12</v>
      </c>
      <c r="L1454">
        <v>276</v>
      </c>
      <c r="M1454" t="s">
        <v>15</v>
      </c>
      <c r="N1454">
        <f t="shared" si="66"/>
        <v>55.320000000000007</v>
      </c>
      <c r="O1454" t="str">
        <f t="shared" si="67"/>
        <v>December</v>
      </c>
      <c r="P1454" t="str">
        <f t="shared" si="68"/>
        <v>Weekend</v>
      </c>
    </row>
    <row r="1455" spans="1:16" x14ac:dyDescent="0.3">
      <c r="A1455" s="1">
        <v>43094</v>
      </c>
      <c r="B1455">
        <v>1</v>
      </c>
      <c r="C1455">
        <v>0.62</v>
      </c>
      <c r="D1455">
        <v>4.0999999999999996</v>
      </c>
      <c r="E1455">
        <v>15.53</v>
      </c>
      <c r="F1455">
        <v>4</v>
      </c>
      <c r="G1455">
        <v>0</v>
      </c>
      <c r="H1455">
        <v>6</v>
      </c>
      <c r="I1455">
        <v>2</v>
      </c>
      <c r="J1455">
        <v>2017</v>
      </c>
      <c r="K1455">
        <v>12</v>
      </c>
      <c r="L1455">
        <v>276</v>
      </c>
      <c r="M1455" t="s">
        <v>16</v>
      </c>
      <c r="N1455">
        <f t="shared" si="66"/>
        <v>33.25</v>
      </c>
      <c r="O1455" t="str">
        <f t="shared" si="67"/>
        <v>December</v>
      </c>
      <c r="P1455" t="str">
        <f t="shared" si="68"/>
        <v>Weekday</v>
      </c>
    </row>
    <row r="1456" spans="1:16" x14ac:dyDescent="0.3">
      <c r="A1456" s="1">
        <v>43095</v>
      </c>
      <c r="B1456">
        <v>2.99</v>
      </c>
      <c r="C1456">
        <v>4.67</v>
      </c>
      <c r="D1456">
        <v>3.5</v>
      </c>
      <c r="E1456">
        <v>56.9</v>
      </c>
      <c r="F1456">
        <v>9</v>
      </c>
      <c r="G1456">
        <v>0</v>
      </c>
      <c r="H1456">
        <v>9</v>
      </c>
      <c r="I1456">
        <v>2</v>
      </c>
      <c r="J1456">
        <v>2017</v>
      </c>
      <c r="K1456">
        <v>12</v>
      </c>
      <c r="L1456">
        <v>276</v>
      </c>
      <c r="M1456" t="s">
        <v>17</v>
      </c>
      <c r="N1456">
        <f t="shared" si="66"/>
        <v>88.06</v>
      </c>
      <c r="O1456" t="str">
        <f t="shared" si="67"/>
        <v>December</v>
      </c>
      <c r="P1456" t="str">
        <f t="shared" si="68"/>
        <v>Weekday</v>
      </c>
    </row>
    <row r="1457" spans="1:16" x14ac:dyDescent="0.3">
      <c r="A1457" s="1">
        <v>43096</v>
      </c>
      <c r="B1457">
        <v>7</v>
      </c>
      <c r="C1457">
        <v>4.8140000000000001</v>
      </c>
      <c r="D1457">
        <v>5.15</v>
      </c>
      <c r="E1457">
        <v>32.700000000000003</v>
      </c>
      <c r="F1457">
        <v>9</v>
      </c>
      <c r="G1457">
        <v>0</v>
      </c>
      <c r="H1457">
        <v>3</v>
      </c>
      <c r="I1457">
        <v>0</v>
      </c>
      <c r="J1457">
        <v>2017</v>
      </c>
      <c r="K1457">
        <v>12</v>
      </c>
      <c r="L1457">
        <v>276</v>
      </c>
      <c r="M1457" t="s">
        <v>18</v>
      </c>
      <c r="N1457">
        <f t="shared" si="66"/>
        <v>61.664000000000001</v>
      </c>
      <c r="O1457" t="str">
        <f t="shared" si="67"/>
        <v>December</v>
      </c>
      <c r="P1457" t="str">
        <f t="shared" si="68"/>
        <v>Weekday</v>
      </c>
    </row>
    <row r="1458" spans="1:16" x14ac:dyDescent="0.3">
      <c r="A1458" s="1">
        <v>43097</v>
      </c>
      <c r="B1458">
        <v>7.33</v>
      </c>
      <c r="C1458">
        <v>3.4620000000000002</v>
      </c>
      <c r="D1458">
        <v>5.0999999999999996</v>
      </c>
      <c r="E1458">
        <v>35.35</v>
      </c>
      <c r="F1458">
        <v>12</v>
      </c>
      <c r="G1458">
        <v>3</v>
      </c>
      <c r="H1458">
        <v>24</v>
      </c>
      <c r="I1458">
        <v>1</v>
      </c>
      <c r="J1458">
        <v>2017</v>
      </c>
      <c r="K1458">
        <v>12</v>
      </c>
      <c r="L1458">
        <v>276</v>
      </c>
      <c r="M1458" t="s">
        <v>12</v>
      </c>
      <c r="N1458">
        <f t="shared" si="66"/>
        <v>91.242000000000004</v>
      </c>
      <c r="O1458" t="str">
        <f t="shared" si="67"/>
        <v>December</v>
      </c>
      <c r="P1458" t="str">
        <f t="shared" si="68"/>
        <v>Weekday</v>
      </c>
    </row>
    <row r="1459" spans="1:16" x14ac:dyDescent="0.3">
      <c r="A1459" s="1">
        <v>43098</v>
      </c>
      <c r="B1459">
        <v>9.34</v>
      </c>
      <c r="C1459">
        <v>2.0659999999999998</v>
      </c>
      <c r="D1459">
        <v>2.5</v>
      </c>
      <c r="E1459">
        <v>41.4</v>
      </c>
      <c r="F1459">
        <v>17</v>
      </c>
      <c r="G1459">
        <v>0</v>
      </c>
      <c r="H1459">
        <v>11</v>
      </c>
      <c r="I1459">
        <v>2</v>
      </c>
      <c r="J1459">
        <v>2017</v>
      </c>
      <c r="K1459">
        <v>12</v>
      </c>
      <c r="L1459">
        <v>276</v>
      </c>
      <c r="M1459" t="s">
        <v>13</v>
      </c>
      <c r="N1459">
        <f t="shared" si="66"/>
        <v>85.305999999999997</v>
      </c>
      <c r="O1459" t="str">
        <f t="shared" si="67"/>
        <v>December</v>
      </c>
      <c r="P1459" t="str">
        <f t="shared" si="68"/>
        <v>Weekday</v>
      </c>
    </row>
    <row r="1460" spans="1:16" x14ac:dyDescent="0.3">
      <c r="A1460" s="1">
        <v>43099</v>
      </c>
      <c r="B1460">
        <v>8.68</v>
      </c>
      <c r="C1460">
        <v>8.3629999999999995</v>
      </c>
      <c r="D1460">
        <v>4</v>
      </c>
      <c r="E1460">
        <v>50</v>
      </c>
      <c r="F1460">
        <v>8</v>
      </c>
      <c r="G1460">
        <v>0</v>
      </c>
      <c r="H1460">
        <v>10</v>
      </c>
      <c r="I1460">
        <v>3</v>
      </c>
      <c r="J1460">
        <v>2017</v>
      </c>
      <c r="K1460">
        <v>12</v>
      </c>
      <c r="L1460">
        <v>276</v>
      </c>
      <c r="M1460" t="s">
        <v>14</v>
      </c>
      <c r="N1460">
        <f t="shared" si="66"/>
        <v>92.043000000000006</v>
      </c>
      <c r="O1460" t="str">
        <f t="shared" si="67"/>
        <v>December</v>
      </c>
      <c r="P1460" t="str">
        <f t="shared" si="68"/>
        <v>Weekend</v>
      </c>
    </row>
    <row r="1461" spans="1:16" x14ac:dyDescent="0.3">
      <c r="A1461" s="1">
        <v>43100</v>
      </c>
      <c r="B1461">
        <v>13.83</v>
      </c>
      <c r="C1461">
        <v>10.042999999999999</v>
      </c>
      <c r="D1461">
        <v>5.3</v>
      </c>
      <c r="E1461">
        <v>70.2</v>
      </c>
      <c r="F1461">
        <v>9</v>
      </c>
      <c r="G1461">
        <v>0</v>
      </c>
      <c r="H1461">
        <v>0</v>
      </c>
      <c r="I1461">
        <v>1</v>
      </c>
      <c r="J1461">
        <v>2017</v>
      </c>
      <c r="K1461">
        <v>12</v>
      </c>
      <c r="L1461">
        <v>276</v>
      </c>
      <c r="M1461" t="s">
        <v>15</v>
      </c>
      <c r="N1461">
        <f t="shared" si="66"/>
        <v>109.373</v>
      </c>
      <c r="O1461" t="str">
        <f t="shared" si="67"/>
        <v>December</v>
      </c>
      <c r="P1461" t="str">
        <f t="shared" si="68"/>
        <v>Weekend</v>
      </c>
    </row>
    <row r="1462" spans="1:16" x14ac:dyDescent="0.3">
      <c r="A1462" s="1">
        <v>43101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2018</v>
      </c>
      <c r="K1462">
        <v>1</v>
      </c>
      <c r="L1462">
        <v>276</v>
      </c>
      <c r="M1462" t="s">
        <v>16</v>
      </c>
      <c r="N1462">
        <f t="shared" si="66"/>
        <v>0</v>
      </c>
      <c r="O1462" t="str">
        <f t="shared" si="67"/>
        <v>January</v>
      </c>
      <c r="P1462" t="str">
        <f t="shared" si="68"/>
        <v>Weekday</v>
      </c>
    </row>
    <row r="1463" spans="1:16" x14ac:dyDescent="0.3">
      <c r="A1463" s="1">
        <v>43102</v>
      </c>
      <c r="B1463">
        <v>1</v>
      </c>
      <c r="C1463">
        <v>5.33</v>
      </c>
      <c r="D1463">
        <v>2.25</v>
      </c>
      <c r="E1463">
        <v>38</v>
      </c>
      <c r="F1463">
        <v>3</v>
      </c>
      <c r="G1463">
        <v>0</v>
      </c>
      <c r="H1463">
        <v>2</v>
      </c>
      <c r="I1463">
        <v>2</v>
      </c>
      <c r="J1463">
        <v>2018</v>
      </c>
      <c r="K1463">
        <v>1</v>
      </c>
      <c r="L1463">
        <v>276</v>
      </c>
      <c r="M1463" t="s">
        <v>17</v>
      </c>
      <c r="N1463">
        <f t="shared" si="66"/>
        <v>53.58</v>
      </c>
      <c r="O1463" t="str">
        <f t="shared" si="67"/>
        <v>January</v>
      </c>
      <c r="P1463" t="str">
        <f t="shared" si="68"/>
        <v>Weekday</v>
      </c>
    </row>
    <row r="1464" spans="1:16" x14ac:dyDescent="0.3">
      <c r="A1464" s="1">
        <v>43103</v>
      </c>
      <c r="B1464">
        <v>4.67</v>
      </c>
      <c r="C1464">
        <v>2.3969999999999998</v>
      </c>
      <c r="D1464">
        <v>3</v>
      </c>
      <c r="E1464">
        <v>54</v>
      </c>
      <c r="F1464">
        <v>4</v>
      </c>
      <c r="G1464">
        <v>0</v>
      </c>
      <c r="H1464">
        <v>10</v>
      </c>
      <c r="I1464">
        <v>3</v>
      </c>
      <c r="J1464">
        <v>2018</v>
      </c>
      <c r="K1464">
        <v>1</v>
      </c>
      <c r="L1464">
        <v>276</v>
      </c>
      <c r="M1464" t="s">
        <v>18</v>
      </c>
      <c r="N1464">
        <f t="shared" si="66"/>
        <v>81.067000000000007</v>
      </c>
      <c r="O1464" t="str">
        <f t="shared" si="67"/>
        <v>January</v>
      </c>
      <c r="P1464" t="str">
        <f t="shared" si="68"/>
        <v>Weekday</v>
      </c>
    </row>
    <row r="1465" spans="1:16" x14ac:dyDescent="0.3">
      <c r="A1465" s="1">
        <v>43104</v>
      </c>
      <c r="B1465">
        <v>6</v>
      </c>
      <c r="C1465">
        <v>1.099</v>
      </c>
      <c r="D1465">
        <v>1</v>
      </c>
      <c r="E1465">
        <v>39.200000000000003</v>
      </c>
      <c r="F1465">
        <v>9</v>
      </c>
      <c r="G1465">
        <v>0</v>
      </c>
      <c r="H1465">
        <v>1</v>
      </c>
      <c r="I1465">
        <v>2</v>
      </c>
      <c r="J1465">
        <v>2018</v>
      </c>
      <c r="K1465">
        <v>1</v>
      </c>
      <c r="L1465">
        <v>276</v>
      </c>
      <c r="M1465" t="s">
        <v>12</v>
      </c>
      <c r="N1465">
        <f t="shared" si="66"/>
        <v>59.299000000000007</v>
      </c>
      <c r="O1465" t="str">
        <f t="shared" si="67"/>
        <v>January</v>
      </c>
      <c r="P1465" t="str">
        <f t="shared" si="68"/>
        <v>Weekday</v>
      </c>
    </row>
    <row r="1466" spans="1:16" x14ac:dyDescent="0.3">
      <c r="A1466" s="1">
        <v>43105</v>
      </c>
      <c r="B1466">
        <v>12</v>
      </c>
      <c r="C1466">
        <v>6.8250000000000002</v>
      </c>
      <c r="D1466">
        <v>3</v>
      </c>
      <c r="E1466">
        <v>26</v>
      </c>
      <c r="F1466">
        <v>11</v>
      </c>
      <c r="G1466">
        <v>0</v>
      </c>
      <c r="H1466">
        <v>21</v>
      </c>
      <c r="I1466">
        <v>1</v>
      </c>
      <c r="J1466">
        <v>2018</v>
      </c>
      <c r="K1466">
        <v>1</v>
      </c>
      <c r="L1466">
        <v>276</v>
      </c>
      <c r="M1466" t="s">
        <v>13</v>
      </c>
      <c r="N1466">
        <f t="shared" si="66"/>
        <v>80.825000000000003</v>
      </c>
      <c r="O1466" t="str">
        <f t="shared" si="67"/>
        <v>January</v>
      </c>
      <c r="P1466" t="str">
        <f t="shared" si="68"/>
        <v>Weekday</v>
      </c>
    </row>
    <row r="1467" spans="1:16" x14ac:dyDescent="0.3">
      <c r="A1467" s="1">
        <v>43106</v>
      </c>
      <c r="B1467">
        <v>4.66</v>
      </c>
      <c r="C1467">
        <v>1.66</v>
      </c>
      <c r="D1467">
        <v>2.2000000000000002</v>
      </c>
      <c r="E1467">
        <v>73</v>
      </c>
      <c r="F1467">
        <v>4</v>
      </c>
      <c r="G1467">
        <v>0</v>
      </c>
      <c r="H1467">
        <v>5</v>
      </c>
      <c r="I1467">
        <v>8</v>
      </c>
      <c r="J1467">
        <v>2018</v>
      </c>
      <c r="K1467">
        <v>1</v>
      </c>
      <c r="L1467">
        <v>276</v>
      </c>
      <c r="M1467" t="s">
        <v>14</v>
      </c>
      <c r="N1467">
        <f t="shared" si="66"/>
        <v>98.52</v>
      </c>
      <c r="O1467" t="str">
        <f t="shared" si="67"/>
        <v>January</v>
      </c>
      <c r="P1467" t="str">
        <f t="shared" si="68"/>
        <v>Weekend</v>
      </c>
    </row>
    <row r="1468" spans="1:16" x14ac:dyDescent="0.3">
      <c r="A1468" s="1">
        <v>43107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2018</v>
      </c>
      <c r="K1468">
        <v>1</v>
      </c>
      <c r="L1468">
        <v>276</v>
      </c>
      <c r="M1468" t="s">
        <v>15</v>
      </c>
      <c r="N1468">
        <f t="shared" si="66"/>
        <v>0</v>
      </c>
      <c r="O1468" t="str">
        <f t="shared" si="67"/>
        <v>January</v>
      </c>
      <c r="P1468" t="str">
        <f t="shared" si="68"/>
        <v>Weekend</v>
      </c>
    </row>
    <row r="1469" spans="1:16" x14ac:dyDescent="0.3">
      <c r="A1469" s="1">
        <v>43108</v>
      </c>
      <c r="B1469">
        <v>2.33</v>
      </c>
      <c r="C1469">
        <v>6.53</v>
      </c>
      <c r="D1469">
        <v>4.2</v>
      </c>
      <c r="E1469">
        <v>29.6</v>
      </c>
      <c r="F1469">
        <v>5</v>
      </c>
      <c r="G1469">
        <v>0</v>
      </c>
      <c r="H1469">
        <v>0</v>
      </c>
      <c r="I1469">
        <v>1</v>
      </c>
      <c r="J1469">
        <v>2018</v>
      </c>
      <c r="K1469">
        <v>1</v>
      </c>
      <c r="L1469">
        <v>276</v>
      </c>
      <c r="M1469" t="s">
        <v>16</v>
      </c>
      <c r="N1469">
        <f t="shared" si="66"/>
        <v>48.66</v>
      </c>
      <c r="O1469" t="str">
        <f t="shared" si="67"/>
        <v>January</v>
      </c>
      <c r="P1469" t="str">
        <f t="shared" si="68"/>
        <v>Weekday</v>
      </c>
    </row>
    <row r="1470" spans="1:16" x14ac:dyDescent="0.3">
      <c r="A1470" s="1">
        <v>43109</v>
      </c>
      <c r="B1470">
        <v>5.33</v>
      </c>
      <c r="C1470">
        <v>2.0990000000000002</v>
      </c>
      <c r="D1470">
        <v>5</v>
      </c>
      <c r="E1470">
        <v>33.825000000000003</v>
      </c>
      <c r="F1470">
        <v>9</v>
      </c>
      <c r="G1470">
        <v>6</v>
      </c>
      <c r="H1470">
        <v>10</v>
      </c>
      <c r="I1470">
        <v>1</v>
      </c>
      <c r="J1470">
        <v>2018</v>
      </c>
      <c r="K1470">
        <v>1</v>
      </c>
      <c r="L1470">
        <v>276</v>
      </c>
      <c r="M1470" t="s">
        <v>17</v>
      </c>
      <c r="N1470">
        <f t="shared" si="66"/>
        <v>72.254000000000005</v>
      </c>
      <c r="O1470" t="str">
        <f t="shared" si="67"/>
        <v>January</v>
      </c>
      <c r="P1470" t="str">
        <f t="shared" si="68"/>
        <v>Weekday</v>
      </c>
    </row>
    <row r="1471" spans="1:16" x14ac:dyDescent="0.3">
      <c r="A1471" s="1">
        <v>43110</v>
      </c>
      <c r="B1471">
        <v>9.33</v>
      </c>
      <c r="C1471">
        <v>7.4059999999999997</v>
      </c>
      <c r="D1471">
        <v>6</v>
      </c>
      <c r="E1471">
        <v>44.5</v>
      </c>
      <c r="F1471">
        <v>12</v>
      </c>
      <c r="G1471">
        <v>0</v>
      </c>
      <c r="H1471">
        <v>6</v>
      </c>
      <c r="I1471">
        <v>2</v>
      </c>
      <c r="J1471">
        <v>2018</v>
      </c>
      <c r="K1471">
        <v>1</v>
      </c>
      <c r="L1471">
        <v>276</v>
      </c>
      <c r="M1471" t="s">
        <v>18</v>
      </c>
      <c r="N1471">
        <f t="shared" si="66"/>
        <v>87.236000000000004</v>
      </c>
      <c r="O1471" t="str">
        <f t="shared" si="67"/>
        <v>January</v>
      </c>
      <c r="P1471" t="str">
        <f t="shared" si="68"/>
        <v>Weekday</v>
      </c>
    </row>
    <row r="1472" spans="1:16" x14ac:dyDescent="0.3">
      <c r="A1472" s="1">
        <v>43111</v>
      </c>
      <c r="B1472">
        <v>4</v>
      </c>
      <c r="C1472">
        <v>4.33</v>
      </c>
      <c r="D1472">
        <v>5.5</v>
      </c>
      <c r="E1472">
        <v>37.6</v>
      </c>
      <c r="F1472">
        <v>7</v>
      </c>
      <c r="G1472">
        <v>0</v>
      </c>
      <c r="H1472">
        <v>5</v>
      </c>
      <c r="I1472">
        <v>0</v>
      </c>
      <c r="J1472">
        <v>2018</v>
      </c>
      <c r="K1472">
        <v>1</v>
      </c>
      <c r="L1472">
        <v>276</v>
      </c>
      <c r="M1472" t="s">
        <v>12</v>
      </c>
      <c r="N1472">
        <f t="shared" si="66"/>
        <v>63.43</v>
      </c>
      <c r="O1472" t="str">
        <f t="shared" si="67"/>
        <v>January</v>
      </c>
      <c r="P1472" t="str">
        <f t="shared" si="68"/>
        <v>Weekday</v>
      </c>
    </row>
    <row r="1473" spans="1:16" x14ac:dyDescent="0.3">
      <c r="A1473" s="1">
        <v>43112</v>
      </c>
      <c r="B1473">
        <v>5.66</v>
      </c>
      <c r="C1473">
        <v>1.33</v>
      </c>
      <c r="D1473">
        <v>3</v>
      </c>
      <c r="E1473">
        <v>42</v>
      </c>
      <c r="F1473">
        <v>11</v>
      </c>
      <c r="G1473">
        <v>0</v>
      </c>
      <c r="H1473">
        <v>10</v>
      </c>
      <c r="I1473">
        <v>0</v>
      </c>
      <c r="J1473">
        <v>2018</v>
      </c>
      <c r="K1473">
        <v>1</v>
      </c>
      <c r="L1473">
        <v>276</v>
      </c>
      <c r="M1473" t="s">
        <v>13</v>
      </c>
      <c r="N1473">
        <f t="shared" si="66"/>
        <v>72.990000000000009</v>
      </c>
      <c r="O1473" t="str">
        <f t="shared" si="67"/>
        <v>January</v>
      </c>
      <c r="P1473" t="str">
        <f t="shared" si="68"/>
        <v>Weekday</v>
      </c>
    </row>
    <row r="1474" spans="1:16" x14ac:dyDescent="0.3">
      <c r="A1474" s="1">
        <v>43113</v>
      </c>
      <c r="B1474">
        <v>3.5</v>
      </c>
      <c r="C1474">
        <v>3.4950000000000001</v>
      </c>
      <c r="D1474">
        <v>3.2</v>
      </c>
      <c r="E1474">
        <v>32</v>
      </c>
      <c r="F1474">
        <v>6</v>
      </c>
      <c r="G1474">
        <v>0</v>
      </c>
      <c r="H1474">
        <v>8</v>
      </c>
      <c r="I1474">
        <v>1</v>
      </c>
      <c r="J1474">
        <v>2018</v>
      </c>
      <c r="K1474">
        <v>1</v>
      </c>
      <c r="L1474">
        <v>276</v>
      </c>
      <c r="M1474" t="s">
        <v>14</v>
      </c>
      <c r="N1474">
        <f t="shared" si="66"/>
        <v>57.195</v>
      </c>
      <c r="O1474" t="str">
        <f t="shared" si="67"/>
        <v>January</v>
      </c>
      <c r="P1474" t="str">
        <f t="shared" si="68"/>
        <v>Weekend</v>
      </c>
    </row>
    <row r="1475" spans="1:16" x14ac:dyDescent="0.3">
      <c r="A1475" s="1">
        <v>43114</v>
      </c>
      <c r="B1475">
        <v>4.33</v>
      </c>
      <c r="C1475">
        <v>5.1550000000000002</v>
      </c>
      <c r="D1475">
        <v>1.2</v>
      </c>
      <c r="E1475">
        <v>36</v>
      </c>
      <c r="F1475">
        <v>2</v>
      </c>
      <c r="G1475">
        <v>0</v>
      </c>
      <c r="H1475">
        <v>5</v>
      </c>
      <c r="I1475">
        <v>1</v>
      </c>
      <c r="J1475">
        <v>2018</v>
      </c>
      <c r="K1475">
        <v>1</v>
      </c>
      <c r="L1475">
        <v>276</v>
      </c>
      <c r="M1475" t="s">
        <v>15</v>
      </c>
      <c r="N1475">
        <f t="shared" ref="N1475:N1538" si="69">SUM(B1475:I1475)</f>
        <v>54.685000000000002</v>
      </c>
      <c r="O1475" t="str">
        <f t="shared" ref="O1475:O1538" si="70">TEXT(A1475,"mmmm")</f>
        <v>January</v>
      </c>
      <c r="P1475" t="str">
        <f t="shared" ref="P1475:P1538" si="71">IF(OR(M1475="Saturday",M1475="Sunday"),"Weekend","Weekday")</f>
        <v>Weekend</v>
      </c>
    </row>
    <row r="1476" spans="1:16" x14ac:dyDescent="0.3">
      <c r="A1476" s="1">
        <v>43115</v>
      </c>
      <c r="B1476">
        <v>6.99</v>
      </c>
      <c r="C1476">
        <v>2</v>
      </c>
      <c r="D1476">
        <v>5.0999999999999996</v>
      </c>
      <c r="E1476">
        <v>26</v>
      </c>
      <c r="F1476">
        <v>8</v>
      </c>
      <c r="G1476">
        <v>0</v>
      </c>
      <c r="H1476">
        <v>15</v>
      </c>
      <c r="I1476">
        <v>2</v>
      </c>
      <c r="J1476">
        <v>2018</v>
      </c>
      <c r="K1476">
        <v>1</v>
      </c>
      <c r="L1476">
        <v>276</v>
      </c>
      <c r="M1476" t="s">
        <v>16</v>
      </c>
      <c r="N1476">
        <f t="shared" si="69"/>
        <v>65.09</v>
      </c>
      <c r="O1476" t="str">
        <f t="shared" si="70"/>
        <v>January</v>
      </c>
      <c r="P1476" t="str">
        <f t="shared" si="71"/>
        <v>Weekday</v>
      </c>
    </row>
    <row r="1477" spans="1:16" x14ac:dyDescent="0.3">
      <c r="A1477" s="1">
        <v>43116</v>
      </c>
      <c r="B1477">
        <v>6.34</v>
      </c>
      <c r="C1477">
        <v>2.67</v>
      </c>
      <c r="D1477">
        <v>3</v>
      </c>
      <c r="E1477">
        <v>18</v>
      </c>
      <c r="F1477">
        <v>2</v>
      </c>
      <c r="G1477">
        <v>0</v>
      </c>
      <c r="H1477">
        <v>8</v>
      </c>
      <c r="I1477">
        <v>0</v>
      </c>
      <c r="J1477">
        <v>2018</v>
      </c>
      <c r="K1477">
        <v>1</v>
      </c>
      <c r="L1477">
        <v>276</v>
      </c>
      <c r="M1477" t="s">
        <v>17</v>
      </c>
      <c r="N1477">
        <f t="shared" si="69"/>
        <v>40.01</v>
      </c>
      <c r="O1477" t="str">
        <f t="shared" si="70"/>
        <v>January</v>
      </c>
      <c r="P1477" t="str">
        <f t="shared" si="71"/>
        <v>Weekday</v>
      </c>
    </row>
    <row r="1478" spans="1:16" x14ac:dyDescent="0.3">
      <c r="A1478" s="1">
        <v>43117</v>
      </c>
      <c r="B1478">
        <v>6.67</v>
      </c>
      <c r="C1478">
        <v>2.85</v>
      </c>
      <c r="D1478">
        <v>2</v>
      </c>
      <c r="E1478">
        <v>30.2</v>
      </c>
      <c r="F1478">
        <v>10</v>
      </c>
      <c r="G1478">
        <v>2</v>
      </c>
      <c r="H1478">
        <v>41</v>
      </c>
      <c r="I1478">
        <v>2</v>
      </c>
      <c r="J1478">
        <v>2018</v>
      </c>
      <c r="K1478">
        <v>1</v>
      </c>
      <c r="L1478">
        <v>276</v>
      </c>
      <c r="M1478" t="s">
        <v>18</v>
      </c>
      <c r="N1478">
        <f t="shared" si="69"/>
        <v>96.72</v>
      </c>
      <c r="O1478" t="str">
        <f t="shared" si="70"/>
        <v>January</v>
      </c>
      <c r="P1478" t="str">
        <f t="shared" si="71"/>
        <v>Weekday</v>
      </c>
    </row>
    <row r="1479" spans="1:16" x14ac:dyDescent="0.3">
      <c r="A1479" s="1">
        <v>43118</v>
      </c>
      <c r="B1479">
        <v>4.33</v>
      </c>
      <c r="C1479">
        <v>3.726</v>
      </c>
      <c r="D1479">
        <v>4</v>
      </c>
      <c r="E1479">
        <v>58.4</v>
      </c>
      <c r="F1479">
        <v>9</v>
      </c>
      <c r="G1479">
        <v>0</v>
      </c>
      <c r="H1479">
        <v>2</v>
      </c>
      <c r="I1479">
        <v>1</v>
      </c>
      <c r="J1479">
        <v>2018</v>
      </c>
      <c r="K1479">
        <v>1</v>
      </c>
      <c r="L1479">
        <v>276</v>
      </c>
      <c r="M1479" t="s">
        <v>12</v>
      </c>
      <c r="N1479">
        <f t="shared" si="69"/>
        <v>82.456000000000003</v>
      </c>
      <c r="O1479" t="str">
        <f t="shared" si="70"/>
        <v>January</v>
      </c>
      <c r="P1479" t="str">
        <f t="shared" si="71"/>
        <v>Weekday</v>
      </c>
    </row>
    <row r="1480" spans="1:16" x14ac:dyDescent="0.3">
      <c r="A1480" s="1">
        <v>43119</v>
      </c>
      <c r="B1480">
        <v>6.33</v>
      </c>
      <c r="C1480">
        <v>2.528</v>
      </c>
      <c r="D1480">
        <v>3</v>
      </c>
      <c r="E1480">
        <v>23.4</v>
      </c>
      <c r="F1480">
        <v>12</v>
      </c>
      <c r="G1480">
        <v>0</v>
      </c>
      <c r="H1480">
        <v>3</v>
      </c>
      <c r="I1480">
        <v>1</v>
      </c>
      <c r="J1480">
        <v>2018</v>
      </c>
      <c r="K1480">
        <v>1</v>
      </c>
      <c r="L1480">
        <v>276</v>
      </c>
      <c r="M1480" t="s">
        <v>13</v>
      </c>
      <c r="N1480">
        <f t="shared" si="69"/>
        <v>51.257999999999996</v>
      </c>
      <c r="O1480" t="str">
        <f t="shared" si="70"/>
        <v>January</v>
      </c>
      <c r="P1480" t="str">
        <f t="shared" si="71"/>
        <v>Weekday</v>
      </c>
    </row>
    <row r="1481" spans="1:16" x14ac:dyDescent="0.3">
      <c r="A1481" s="1">
        <v>43120</v>
      </c>
      <c r="B1481">
        <v>2.66</v>
      </c>
      <c r="C1481">
        <v>2.3199999999999998</v>
      </c>
      <c r="D1481">
        <v>2</v>
      </c>
      <c r="E1481">
        <v>38</v>
      </c>
      <c r="F1481">
        <v>2</v>
      </c>
      <c r="G1481">
        <v>0</v>
      </c>
      <c r="H1481">
        <v>5</v>
      </c>
      <c r="I1481">
        <v>0</v>
      </c>
      <c r="J1481">
        <v>2018</v>
      </c>
      <c r="K1481">
        <v>1</v>
      </c>
      <c r="L1481">
        <v>276</v>
      </c>
      <c r="M1481" t="s">
        <v>14</v>
      </c>
      <c r="N1481">
        <f t="shared" si="69"/>
        <v>51.980000000000004</v>
      </c>
      <c r="O1481" t="str">
        <f t="shared" si="70"/>
        <v>January</v>
      </c>
      <c r="P1481" t="str">
        <f t="shared" si="71"/>
        <v>Weekend</v>
      </c>
    </row>
    <row r="1482" spans="1:16" x14ac:dyDescent="0.3">
      <c r="A1482" s="1">
        <v>43121</v>
      </c>
      <c r="B1482">
        <v>3.33</v>
      </c>
      <c r="C1482">
        <v>3.53</v>
      </c>
      <c r="D1482">
        <v>3.4</v>
      </c>
      <c r="E1482">
        <v>32.799999999999997</v>
      </c>
      <c r="F1482">
        <v>6</v>
      </c>
      <c r="G1482">
        <v>0</v>
      </c>
      <c r="H1482">
        <v>1</v>
      </c>
      <c r="I1482">
        <v>3.5</v>
      </c>
      <c r="J1482">
        <v>2018</v>
      </c>
      <c r="K1482">
        <v>1</v>
      </c>
      <c r="L1482">
        <v>276</v>
      </c>
      <c r="M1482" t="s">
        <v>15</v>
      </c>
      <c r="N1482">
        <f t="shared" si="69"/>
        <v>53.559999999999995</v>
      </c>
      <c r="O1482" t="str">
        <f t="shared" si="70"/>
        <v>January</v>
      </c>
      <c r="P1482" t="str">
        <f t="shared" si="71"/>
        <v>Weekend</v>
      </c>
    </row>
    <row r="1483" spans="1:16" x14ac:dyDescent="0.3">
      <c r="A1483" s="1">
        <v>43122</v>
      </c>
      <c r="B1483">
        <v>6</v>
      </c>
      <c r="C1483">
        <v>3.3959999999999999</v>
      </c>
      <c r="D1483">
        <v>6</v>
      </c>
      <c r="E1483">
        <v>29</v>
      </c>
      <c r="F1483">
        <v>5</v>
      </c>
      <c r="G1483">
        <v>0</v>
      </c>
      <c r="H1483">
        <v>6</v>
      </c>
      <c r="I1483">
        <v>1</v>
      </c>
      <c r="J1483">
        <v>2018</v>
      </c>
      <c r="K1483">
        <v>1</v>
      </c>
      <c r="L1483">
        <v>276</v>
      </c>
      <c r="M1483" t="s">
        <v>16</v>
      </c>
      <c r="N1483">
        <f t="shared" si="69"/>
        <v>56.396000000000001</v>
      </c>
      <c r="O1483" t="str">
        <f t="shared" si="70"/>
        <v>January</v>
      </c>
      <c r="P1483" t="str">
        <f t="shared" si="71"/>
        <v>Weekday</v>
      </c>
    </row>
    <row r="1484" spans="1:16" x14ac:dyDescent="0.3">
      <c r="A1484" s="1">
        <v>43123</v>
      </c>
      <c r="B1484">
        <v>1</v>
      </c>
      <c r="C1484">
        <v>1.0660000000000001</v>
      </c>
      <c r="D1484">
        <v>4.5999999999999996</v>
      </c>
      <c r="E1484">
        <v>38.6</v>
      </c>
      <c r="F1484">
        <v>4</v>
      </c>
      <c r="G1484">
        <v>0</v>
      </c>
      <c r="H1484">
        <v>5</v>
      </c>
      <c r="I1484">
        <v>1</v>
      </c>
      <c r="J1484">
        <v>2018</v>
      </c>
      <c r="K1484">
        <v>1</v>
      </c>
      <c r="L1484">
        <v>276</v>
      </c>
      <c r="M1484" t="s">
        <v>17</v>
      </c>
      <c r="N1484">
        <f t="shared" si="69"/>
        <v>55.265999999999998</v>
      </c>
      <c r="O1484" t="str">
        <f t="shared" si="70"/>
        <v>January</v>
      </c>
      <c r="P1484" t="str">
        <f t="shared" si="71"/>
        <v>Weekday</v>
      </c>
    </row>
    <row r="1485" spans="1:16" x14ac:dyDescent="0.3">
      <c r="A1485" s="1">
        <v>43124</v>
      </c>
      <c r="B1485">
        <v>7.33</v>
      </c>
      <c r="C1485">
        <v>6.67</v>
      </c>
      <c r="D1485">
        <v>4</v>
      </c>
      <c r="E1485">
        <v>32</v>
      </c>
      <c r="F1485">
        <v>13</v>
      </c>
      <c r="G1485">
        <v>0</v>
      </c>
      <c r="H1485">
        <v>4</v>
      </c>
      <c r="I1485">
        <v>1</v>
      </c>
      <c r="J1485">
        <v>2018</v>
      </c>
      <c r="K1485">
        <v>1</v>
      </c>
      <c r="L1485">
        <v>276</v>
      </c>
      <c r="M1485" t="s">
        <v>18</v>
      </c>
      <c r="N1485">
        <f t="shared" si="69"/>
        <v>68</v>
      </c>
      <c r="O1485" t="str">
        <f t="shared" si="70"/>
        <v>January</v>
      </c>
      <c r="P1485" t="str">
        <f t="shared" si="71"/>
        <v>Weekday</v>
      </c>
    </row>
    <row r="1486" spans="1:16" x14ac:dyDescent="0.3">
      <c r="A1486" s="1">
        <v>43125</v>
      </c>
      <c r="B1486">
        <v>3.66</v>
      </c>
      <c r="C1486">
        <v>5.1319999999999997</v>
      </c>
      <c r="D1486">
        <v>4.2</v>
      </c>
      <c r="E1486">
        <v>36.799999999999997</v>
      </c>
      <c r="F1486">
        <v>15</v>
      </c>
      <c r="G1486">
        <v>0</v>
      </c>
      <c r="H1486">
        <v>7</v>
      </c>
      <c r="I1486">
        <v>3</v>
      </c>
      <c r="J1486">
        <v>2018</v>
      </c>
      <c r="K1486">
        <v>1</v>
      </c>
      <c r="L1486">
        <v>276</v>
      </c>
      <c r="M1486" t="s">
        <v>12</v>
      </c>
      <c r="N1486">
        <f t="shared" si="69"/>
        <v>74.792000000000002</v>
      </c>
      <c r="O1486" t="str">
        <f t="shared" si="70"/>
        <v>January</v>
      </c>
      <c r="P1486" t="str">
        <f t="shared" si="71"/>
        <v>Weekday</v>
      </c>
    </row>
    <row r="1487" spans="1:16" x14ac:dyDescent="0.3">
      <c r="A1487" s="1">
        <v>43126</v>
      </c>
      <c r="B1487">
        <v>3</v>
      </c>
      <c r="C1487">
        <v>3.0230000000000001</v>
      </c>
      <c r="D1487">
        <v>0.4</v>
      </c>
      <c r="E1487">
        <v>62.2</v>
      </c>
      <c r="F1487">
        <v>9</v>
      </c>
      <c r="G1487">
        <v>0</v>
      </c>
      <c r="H1487">
        <v>12</v>
      </c>
      <c r="I1487">
        <v>1</v>
      </c>
      <c r="J1487">
        <v>2018</v>
      </c>
      <c r="K1487">
        <v>1</v>
      </c>
      <c r="L1487">
        <v>276</v>
      </c>
      <c r="M1487" t="s">
        <v>13</v>
      </c>
      <c r="N1487">
        <f t="shared" si="69"/>
        <v>90.623000000000005</v>
      </c>
      <c r="O1487" t="str">
        <f t="shared" si="70"/>
        <v>January</v>
      </c>
      <c r="P1487" t="str">
        <f t="shared" si="71"/>
        <v>Weekday</v>
      </c>
    </row>
    <row r="1488" spans="1:16" x14ac:dyDescent="0.3">
      <c r="A1488" s="1">
        <v>43127</v>
      </c>
      <c r="B1488">
        <v>3.34</v>
      </c>
      <c r="C1488">
        <v>7.33</v>
      </c>
      <c r="D1488">
        <v>3</v>
      </c>
      <c r="E1488">
        <v>52.9</v>
      </c>
      <c r="F1488">
        <v>7</v>
      </c>
      <c r="G1488">
        <v>0</v>
      </c>
      <c r="H1488">
        <v>3</v>
      </c>
      <c r="I1488">
        <v>4</v>
      </c>
      <c r="J1488">
        <v>2018</v>
      </c>
      <c r="K1488">
        <v>1</v>
      </c>
      <c r="L1488">
        <v>276</v>
      </c>
      <c r="M1488" t="s">
        <v>14</v>
      </c>
      <c r="N1488">
        <f t="shared" si="69"/>
        <v>80.569999999999993</v>
      </c>
      <c r="O1488" t="str">
        <f t="shared" si="70"/>
        <v>January</v>
      </c>
      <c r="P1488" t="str">
        <f t="shared" si="71"/>
        <v>Weekend</v>
      </c>
    </row>
    <row r="1489" spans="1:16" x14ac:dyDescent="0.3">
      <c r="A1489" s="1">
        <v>43128</v>
      </c>
      <c r="B1489">
        <v>1.5</v>
      </c>
      <c r="C1489">
        <v>2.35</v>
      </c>
      <c r="D1489">
        <v>5.65</v>
      </c>
      <c r="E1489">
        <v>55</v>
      </c>
      <c r="F1489">
        <v>11</v>
      </c>
      <c r="G1489">
        <v>0</v>
      </c>
      <c r="H1489">
        <v>10</v>
      </c>
      <c r="I1489">
        <v>2</v>
      </c>
      <c r="J1489">
        <v>2018</v>
      </c>
      <c r="K1489">
        <v>1</v>
      </c>
      <c r="L1489">
        <v>276</v>
      </c>
      <c r="M1489" t="s">
        <v>15</v>
      </c>
      <c r="N1489">
        <f t="shared" si="69"/>
        <v>87.5</v>
      </c>
      <c r="O1489" t="str">
        <f t="shared" si="70"/>
        <v>January</v>
      </c>
      <c r="P1489" t="str">
        <f t="shared" si="71"/>
        <v>Weekend</v>
      </c>
    </row>
    <row r="1490" spans="1:16" x14ac:dyDescent="0.3">
      <c r="A1490" s="1">
        <v>43129</v>
      </c>
      <c r="B1490">
        <v>2.33</v>
      </c>
      <c r="C1490">
        <v>4.3630000000000004</v>
      </c>
      <c r="D1490">
        <v>4.25</v>
      </c>
      <c r="E1490">
        <v>47.9</v>
      </c>
      <c r="F1490">
        <v>10</v>
      </c>
      <c r="G1490">
        <v>3</v>
      </c>
      <c r="H1490">
        <v>4</v>
      </c>
      <c r="I1490">
        <v>1</v>
      </c>
      <c r="J1490">
        <v>2018</v>
      </c>
      <c r="K1490">
        <v>1</v>
      </c>
      <c r="L1490">
        <v>276</v>
      </c>
      <c r="M1490" t="s">
        <v>16</v>
      </c>
      <c r="N1490">
        <f t="shared" si="69"/>
        <v>76.843000000000004</v>
      </c>
      <c r="O1490" t="str">
        <f t="shared" si="70"/>
        <v>January</v>
      </c>
      <c r="P1490" t="str">
        <f t="shared" si="71"/>
        <v>Weekday</v>
      </c>
    </row>
    <row r="1491" spans="1:16" x14ac:dyDescent="0.3">
      <c r="A1491" s="1">
        <v>43130</v>
      </c>
      <c r="B1491">
        <v>4.33</v>
      </c>
      <c r="C1491">
        <v>3.76</v>
      </c>
      <c r="D1491">
        <v>3</v>
      </c>
      <c r="E1491">
        <v>37</v>
      </c>
      <c r="F1491">
        <v>11</v>
      </c>
      <c r="G1491">
        <v>0</v>
      </c>
      <c r="H1491">
        <v>4</v>
      </c>
      <c r="I1491">
        <v>3</v>
      </c>
      <c r="J1491">
        <v>2018</v>
      </c>
      <c r="K1491">
        <v>1</v>
      </c>
      <c r="L1491">
        <v>276</v>
      </c>
      <c r="M1491" t="s">
        <v>17</v>
      </c>
      <c r="N1491">
        <f t="shared" si="69"/>
        <v>66.09</v>
      </c>
      <c r="O1491" t="str">
        <f t="shared" si="70"/>
        <v>January</v>
      </c>
      <c r="P1491" t="str">
        <f t="shared" si="71"/>
        <v>Weekday</v>
      </c>
    </row>
    <row r="1492" spans="1:16" x14ac:dyDescent="0.3">
      <c r="A1492" s="1">
        <v>43131</v>
      </c>
      <c r="B1492">
        <v>0.33</v>
      </c>
      <c r="C1492">
        <v>5.0759999999999996</v>
      </c>
      <c r="D1492">
        <v>4</v>
      </c>
      <c r="E1492">
        <v>30.4</v>
      </c>
      <c r="F1492">
        <v>12</v>
      </c>
      <c r="G1492">
        <v>0</v>
      </c>
      <c r="H1492">
        <v>6</v>
      </c>
      <c r="I1492">
        <v>1</v>
      </c>
      <c r="J1492">
        <v>2018</v>
      </c>
      <c r="K1492">
        <v>1</v>
      </c>
      <c r="L1492">
        <v>276</v>
      </c>
      <c r="M1492" t="s">
        <v>18</v>
      </c>
      <c r="N1492">
        <f t="shared" si="69"/>
        <v>58.805999999999997</v>
      </c>
      <c r="O1492" t="str">
        <f t="shared" si="70"/>
        <v>January</v>
      </c>
      <c r="P1492" t="str">
        <f t="shared" si="71"/>
        <v>Weekday</v>
      </c>
    </row>
    <row r="1493" spans="1:16" x14ac:dyDescent="0.3">
      <c r="A1493" s="1">
        <v>43132</v>
      </c>
      <c r="B1493">
        <v>5.34</v>
      </c>
      <c r="C1493">
        <v>4.33</v>
      </c>
      <c r="D1493">
        <v>6</v>
      </c>
      <c r="E1493">
        <v>30.5</v>
      </c>
      <c r="F1493">
        <v>7</v>
      </c>
      <c r="G1493">
        <v>0</v>
      </c>
      <c r="H1493">
        <v>6</v>
      </c>
      <c r="I1493">
        <v>3</v>
      </c>
      <c r="J1493">
        <v>2018</v>
      </c>
      <c r="K1493">
        <v>2</v>
      </c>
      <c r="L1493">
        <v>276</v>
      </c>
      <c r="M1493" t="s">
        <v>12</v>
      </c>
      <c r="N1493">
        <f t="shared" si="69"/>
        <v>62.17</v>
      </c>
      <c r="O1493" t="str">
        <f t="shared" si="70"/>
        <v>February</v>
      </c>
      <c r="P1493" t="str">
        <f t="shared" si="71"/>
        <v>Weekday</v>
      </c>
    </row>
    <row r="1494" spans="1:16" x14ac:dyDescent="0.3">
      <c r="A1494" s="1">
        <v>43133</v>
      </c>
      <c r="B1494">
        <v>2.33</v>
      </c>
      <c r="C1494">
        <v>4.99</v>
      </c>
      <c r="D1494">
        <v>4</v>
      </c>
      <c r="E1494">
        <v>54.6</v>
      </c>
      <c r="F1494">
        <v>6</v>
      </c>
      <c r="G1494">
        <v>0</v>
      </c>
      <c r="H1494">
        <v>6</v>
      </c>
      <c r="I1494">
        <v>4.4000000000000004</v>
      </c>
      <c r="J1494">
        <v>2018</v>
      </c>
      <c r="K1494">
        <v>2</v>
      </c>
      <c r="L1494">
        <v>276</v>
      </c>
      <c r="M1494" t="s">
        <v>13</v>
      </c>
      <c r="N1494">
        <f t="shared" si="69"/>
        <v>82.320000000000007</v>
      </c>
      <c r="O1494" t="str">
        <f t="shared" si="70"/>
        <v>February</v>
      </c>
      <c r="P1494" t="str">
        <f t="shared" si="71"/>
        <v>Weekday</v>
      </c>
    </row>
    <row r="1495" spans="1:16" x14ac:dyDescent="0.3">
      <c r="A1495" s="1">
        <v>43134</v>
      </c>
      <c r="B1495">
        <v>4.33</v>
      </c>
      <c r="C1495">
        <v>7.13</v>
      </c>
      <c r="D1495">
        <v>3.3</v>
      </c>
      <c r="E1495">
        <v>67.099999999999994</v>
      </c>
      <c r="F1495">
        <v>12</v>
      </c>
      <c r="G1495">
        <v>0</v>
      </c>
      <c r="H1495">
        <v>5</v>
      </c>
      <c r="I1495">
        <v>2</v>
      </c>
      <c r="J1495">
        <v>2018</v>
      </c>
      <c r="K1495">
        <v>2</v>
      </c>
      <c r="L1495">
        <v>276</v>
      </c>
      <c r="M1495" t="s">
        <v>14</v>
      </c>
      <c r="N1495">
        <f t="shared" si="69"/>
        <v>100.86</v>
      </c>
      <c r="O1495" t="str">
        <f t="shared" si="70"/>
        <v>February</v>
      </c>
      <c r="P1495" t="str">
        <f t="shared" si="71"/>
        <v>Weekend</v>
      </c>
    </row>
    <row r="1496" spans="1:16" x14ac:dyDescent="0.3">
      <c r="A1496" s="1">
        <v>43135</v>
      </c>
      <c r="B1496">
        <v>7.99</v>
      </c>
      <c r="C1496">
        <v>9.0660000000000007</v>
      </c>
      <c r="D1496">
        <v>2</v>
      </c>
      <c r="E1496">
        <v>50.6</v>
      </c>
      <c r="F1496">
        <v>6</v>
      </c>
      <c r="G1496">
        <v>0</v>
      </c>
      <c r="H1496">
        <v>3</v>
      </c>
      <c r="I1496">
        <v>3</v>
      </c>
      <c r="J1496">
        <v>2018</v>
      </c>
      <c r="K1496">
        <v>2</v>
      </c>
      <c r="L1496">
        <v>276</v>
      </c>
      <c r="M1496" t="s">
        <v>15</v>
      </c>
      <c r="N1496">
        <f t="shared" si="69"/>
        <v>81.656000000000006</v>
      </c>
      <c r="O1496" t="str">
        <f t="shared" si="70"/>
        <v>February</v>
      </c>
      <c r="P1496" t="str">
        <f t="shared" si="71"/>
        <v>Weekend</v>
      </c>
    </row>
    <row r="1497" spans="1:16" x14ac:dyDescent="0.3">
      <c r="A1497" s="1">
        <v>43136</v>
      </c>
      <c r="B1497">
        <v>7.33</v>
      </c>
      <c r="C1497">
        <v>3.0659999999999998</v>
      </c>
      <c r="D1497">
        <v>3</v>
      </c>
      <c r="E1497">
        <v>53</v>
      </c>
      <c r="F1497">
        <v>18</v>
      </c>
      <c r="G1497">
        <v>0</v>
      </c>
      <c r="H1497">
        <v>6</v>
      </c>
      <c r="I1497">
        <v>0.66</v>
      </c>
      <c r="J1497">
        <v>2018</v>
      </c>
      <c r="K1497">
        <v>2</v>
      </c>
      <c r="L1497">
        <v>276</v>
      </c>
      <c r="M1497" t="s">
        <v>16</v>
      </c>
      <c r="N1497">
        <f t="shared" si="69"/>
        <v>91.055999999999997</v>
      </c>
      <c r="O1497" t="str">
        <f t="shared" si="70"/>
        <v>February</v>
      </c>
      <c r="P1497" t="str">
        <f t="shared" si="71"/>
        <v>Weekday</v>
      </c>
    </row>
    <row r="1498" spans="1:16" x14ac:dyDescent="0.3">
      <c r="A1498" s="1">
        <v>43137</v>
      </c>
      <c r="B1498">
        <v>4.34</v>
      </c>
      <c r="C1498">
        <v>1.87</v>
      </c>
      <c r="D1498">
        <v>6.85</v>
      </c>
      <c r="E1498">
        <v>51.5</v>
      </c>
      <c r="F1498">
        <v>8</v>
      </c>
      <c r="G1498">
        <v>0</v>
      </c>
      <c r="H1498">
        <v>5</v>
      </c>
      <c r="I1498">
        <v>1</v>
      </c>
      <c r="J1498">
        <v>2018</v>
      </c>
      <c r="K1498">
        <v>2</v>
      </c>
      <c r="L1498">
        <v>276</v>
      </c>
      <c r="M1498" t="s">
        <v>17</v>
      </c>
      <c r="N1498">
        <f t="shared" si="69"/>
        <v>78.56</v>
      </c>
      <c r="O1498" t="str">
        <f t="shared" si="70"/>
        <v>February</v>
      </c>
      <c r="P1498" t="str">
        <f t="shared" si="71"/>
        <v>Weekday</v>
      </c>
    </row>
    <row r="1499" spans="1:16" x14ac:dyDescent="0.3">
      <c r="A1499" s="1">
        <v>43138</v>
      </c>
      <c r="B1499">
        <v>4.84</v>
      </c>
      <c r="C1499">
        <v>8.1319999999999997</v>
      </c>
      <c r="D1499">
        <v>3.2</v>
      </c>
      <c r="E1499">
        <v>44.8</v>
      </c>
      <c r="F1499">
        <v>8</v>
      </c>
      <c r="G1499">
        <v>0</v>
      </c>
      <c r="H1499">
        <v>23</v>
      </c>
      <c r="I1499">
        <v>0</v>
      </c>
      <c r="J1499">
        <v>2018</v>
      </c>
      <c r="K1499">
        <v>2</v>
      </c>
      <c r="L1499">
        <v>276</v>
      </c>
      <c r="M1499" t="s">
        <v>18</v>
      </c>
      <c r="N1499">
        <f t="shared" si="69"/>
        <v>91.971999999999994</v>
      </c>
      <c r="O1499" t="str">
        <f t="shared" si="70"/>
        <v>February</v>
      </c>
      <c r="P1499" t="str">
        <f t="shared" si="71"/>
        <v>Weekday</v>
      </c>
    </row>
    <row r="1500" spans="1:16" x14ac:dyDescent="0.3">
      <c r="A1500" s="1">
        <v>43139</v>
      </c>
      <c r="B1500">
        <v>6.33</v>
      </c>
      <c r="C1500">
        <v>1.34</v>
      </c>
      <c r="D1500">
        <v>3</v>
      </c>
      <c r="E1500">
        <v>47</v>
      </c>
      <c r="F1500">
        <v>7</v>
      </c>
      <c r="G1500">
        <v>0</v>
      </c>
      <c r="H1500">
        <v>1.25</v>
      </c>
      <c r="I1500">
        <v>0</v>
      </c>
      <c r="J1500">
        <v>2018</v>
      </c>
      <c r="K1500">
        <v>2</v>
      </c>
      <c r="L1500">
        <v>276</v>
      </c>
      <c r="M1500" t="s">
        <v>12</v>
      </c>
      <c r="N1500">
        <f t="shared" si="69"/>
        <v>65.92</v>
      </c>
      <c r="O1500" t="str">
        <f t="shared" si="70"/>
        <v>February</v>
      </c>
      <c r="P1500" t="str">
        <f t="shared" si="71"/>
        <v>Weekday</v>
      </c>
    </row>
    <row r="1501" spans="1:16" x14ac:dyDescent="0.3">
      <c r="A1501" s="1">
        <v>43140</v>
      </c>
      <c r="B1501">
        <v>3</v>
      </c>
      <c r="C1501">
        <v>3.69</v>
      </c>
      <c r="D1501">
        <v>4.25</v>
      </c>
      <c r="E1501">
        <v>47</v>
      </c>
      <c r="F1501">
        <v>17</v>
      </c>
      <c r="G1501">
        <v>0</v>
      </c>
      <c r="H1501">
        <v>11</v>
      </c>
      <c r="I1501">
        <v>0</v>
      </c>
      <c r="J1501">
        <v>2018</v>
      </c>
      <c r="K1501">
        <v>2</v>
      </c>
      <c r="L1501">
        <v>276</v>
      </c>
      <c r="M1501" t="s">
        <v>13</v>
      </c>
      <c r="N1501">
        <f t="shared" si="69"/>
        <v>85.94</v>
      </c>
      <c r="O1501" t="str">
        <f t="shared" si="70"/>
        <v>February</v>
      </c>
      <c r="P1501" t="str">
        <f t="shared" si="71"/>
        <v>Weekday</v>
      </c>
    </row>
    <row r="1502" spans="1:16" x14ac:dyDescent="0.3">
      <c r="A1502" s="1">
        <v>43141</v>
      </c>
      <c r="B1502">
        <v>10.01</v>
      </c>
      <c r="C1502">
        <v>5.2309999999999999</v>
      </c>
      <c r="D1502">
        <v>3.5</v>
      </c>
      <c r="E1502">
        <v>60.4</v>
      </c>
      <c r="F1502">
        <v>6</v>
      </c>
      <c r="G1502">
        <v>0</v>
      </c>
      <c r="H1502">
        <v>15</v>
      </c>
      <c r="I1502">
        <v>3</v>
      </c>
      <c r="J1502">
        <v>2018</v>
      </c>
      <c r="K1502">
        <v>2</v>
      </c>
      <c r="L1502">
        <v>276</v>
      </c>
      <c r="M1502" t="s">
        <v>14</v>
      </c>
      <c r="N1502">
        <f t="shared" si="69"/>
        <v>103.14099999999999</v>
      </c>
      <c r="O1502" t="str">
        <f t="shared" si="70"/>
        <v>February</v>
      </c>
      <c r="P1502" t="str">
        <f t="shared" si="71"/>
        <v>Weekend</v>
      </c>
    </row>
    <row r="1503" spans="1:16" x14ac:dyDescent="0.3">
      <c r="A1503" s="1">
        <v>43142</v>
      </c>
      <c r="B1503">
        <v>6.33</v>
      </c>
      <c r="C1503">
        <v>5.3959999999999999</v>
      </c>
      <c r="D1503">
        <v>7.8</v>
      </c>
      <c r="E1503">
        <v>63.25</v>
      </c>
      <c r="F1503">
        <v>12</v>
      </c>
      <c r="G1503">
        <v>0</v>
      </c>
      <c r="H1503">
        <v>10</v>
      </c>
      <c r="I1503">
        <v>2</v>
      </c>
      <c r="J1503">
        <v>2018</v>
      </c>
      <c r="K1503">
        <v>2</v>
      </c>
      <c r="L1503">
        <v>276</v>
      </c>
      <c r="M1503" t="s">
        <v>15</v>
      </c>
      <c r="N1503">
        <f t="shared" si="69"/>
        <v>106.776</v>
      </c>
      <c r="O1503" t="str">
        <f t="shared" si="70"/>
        <v>February</v>
      </c>
      <c r="P1503" t="str">
        <f t="shared" si="71"/>
        <v>Weekend</v>
      </c>
    </row>
    <row r="1504" spans="1:16" x14ac:dyDescent="0.3">
      <c r="A1504" s="1">
        <v>43143</v>
      </c>
      <c r="B1504">
        <v>8</v>
      </c>
      <c r="C1504">
        <v>4.7690000000000001</v>
      </c>
      <c r="D1504">
        <v>10</v>
      </c>
      <c r="E1504">
        <v>36.299999999999997</v>
      </c>
      <c r="F1504">
        <v>14</v>
      </c>
      <c r="G1504">
        <v>1</v>
      </c>
      <c r="H1504">
        <v>1</v>
      </c>
      <c r="I1504">
        <v>1</v>
      </c>
      <c r="J1504">
        <v>2018</v>
      </c>
      <c r="K1504">
        <v>2</v>
      </c>
      <c r="L1504">
        <v>276</v>
      </c>
      <c r="M1504" t="s">
        <v>16</v>
      </c>
      <c r="N1504">
        <f t="shared" si="69"/>
        <v>76.068999999999988</v>
      </c>
      <c r="O1504" t="str">
        <f t="shared" si="70"/>
        <v>February</v>
      </c>
      <c r="P1504" t="str">
        <f t="shared" si="71"/>
        <v>Weekday</v>
      </c>
    </row>
    <row r="1505" spans="1:16" x14ac:dyDescent="0.3">
      <c r="A1505" s="1">
        <v>43144</v>
      </c>
      <c r="B1505">
        <v>6</v>
      </c>
      <c r="C1505">
        <v>8.0329999999999995</v>
      </c>
      <c r="D1505">
        <v>5</v>
      </c>
      <c r="E1505">
        <v>17.8</v>
      </c>
      <c r="F1505">
        <v>10</v>
      </c>
      <c r="G1505">
        <v>0</v>
      </c>
      <c r="H1505">
        <v>10</v>
      </c>
      <c r="I1505">
        <v>3</v>
      </c>
      <c r="J1505">
        <v>2018</v>
      </c>
      <c r="K1505">
        <v>2</v>
      </c>
      <c r="L1505">
        <v>276</v>
      </c>
      <c r="M1505" t="s">
        <v>17</v>
      </c>
      <c r="N1505">
        <f t="shared" si="69"/>
        <v>59.832999999999998</v>
      </c>
      <c r="O1505" t="str">
        <f t="shared" si="70"/>
        <v>February</v>
      </c>
      <c r="P1505" t="str">
        <f t="shared" si="71"/>
        <v>Weekday</v>
      </c>
    </row>
    <row r="1506" spans="1:16" x14ac:dyDescent="0.3">
      <c r="A1506" s="1">
        <v>43145</v>
      </c>
      <c r="B1506">
        <v>1</v>
      </c>
      <c r="C1506">
        <v>6.33</v>
      </c>
      <c r="D1506">
        <v>2.1</v>
      </c>
      <c r="E1506">
        <v>50.3</v>
      </c>
      <c r="F1506">
        <v>15</v>
      </c>
      <c r="G1506">
        <v>0</v>
      </c>
      <c r="H1506">
        <v>14</v>
      </c>
      <c r="I1506">
        <v>0</v>
      </c>
      <c r="J1506">
        <v>2018</v>
      </c>
      <c r="K1506">
        <v>2</v>
      </c>
      <c r="L1506">
        <v>276</v>
      </c>
      <c r="M1506" t="s">
        <v>18</v>
      </c>
      <c r="N1506">
        <f t="shared" si="69"/>
        <v>88.72999999999999</v>
      </c>
      <c r="O1506" t="str">
        <f t="shared" si="70"/>
        <v>February</v>
      </c>
      <c r="P1506" t="str">
        <f t="shared" si="71"/>
        <v>Weekday</v>
      </c>
    </row>
    <row r="1507" spans="1:16" x14ac:dyDescent="0.3">
      <c r="A1507" s="1">
        <v>43146</v>
      </c>
      <c r="B1507">
        <v>1.5</v>
      </c>
      <c r="C1507">
        <v>6.9450000000000003</v>
      </c>
      <c r="D1507">
        <v>0.85</v>
      </c>
      <c r="E1507">
        <v>74.599999999999994</v>
      </c>
      <c r="F1507">
        <v>6</v>
      </c>
      <c r="G1507">
        <v>0</v>
      </c>
      <c r="H1507">
        <v>10</v>
      </c>
      <c r="I1507">
        <v>0</v>
      </c>
      <c r="J1507">
        <v>2018</v>
      </c>
      <c r="K1507">
        <v>2</v>
      </c>
      <c r="L1507">
        <v>276</v>
      </c>
      <c r="M1507" t="s">
        <v>12</v>
      </c>
      <c r="N1507">
        <f t="shared" si="69"/>
        <v>99.894999999999996</v>
      </c>
      <c r="O1507" t="str">
        <f t="shared" si="70"/>
        <v>February</v>
      </c>
      <c r="P1507" t="str">
        <f t="shared" si="71"/>
        <v>Weekday</v>
      </c>
    </row>
    <row r="1508" spans="1:16" x14ac:dyDescent="0.3">
      <c r="A1508" s="1">
        <v>43147</v>
      </c>
      <c r="B1508">
        <v>7.68</v>
      </c>
      <c r="C1508">
        <v>7.1749999999999998</v>
      </c>
      <c r="D1508">
        <v>1.2</v>
      </c>
      <c r="E1508">
        <v>65.162000000000006</v>
      </c>
      <c r="F1508">
        <v>10</v>
      </c>
      <c r="G1508">
        <v>0</v>
      </c>
      <c r="H1508">
        <v>0</v>
      </c>
      <c r="I1508">
        <v>1</v>
      </c>
      <c r="J1508">
        <v>2018</v>
      </c>
      <c r="K1508">
        <v>2</v>
      </c>
      <c r="L1508">
        <v>276</v>
      </c>
      <c r="M1508" t="s">
        <v>13</v>
      </c>
      <c r="N1508">
        <f t="shared" si="69"/>
        <v>92.217000000000013</v>
      </c>
      <c r="O1508" t="str">
        <f t="shared" si="70"/>
        <v>February</v>
      </c>
      <c r="P1508" t="str">
        <f t="shared" si="71"/>
        <v>Weekday</v>
      </c>
    </row>
    <row r="1509" spans="1:16" x14ac:dyDescent="0.3">
      <c r="A1509" s="1">
        <v>43148</v>
      </c>
      <c r="B1509">
        <v>1.33</v>
      </c>
      <c r="C1509">
        <v>3.64</v>
      </c>
      <c r="D1509">
        <v>2</v>
      </c>
      <c r="E1509">
        <v>50.4</v>
      </c>
      <c r="F1509">
        <v>5</v>
      </c>
      <c r="G1509">
        <v>0</v>
      </c>
      <c r="H1509">
        <v>9</v>
      </c>
      <c r="I1509">
        <v>0</v>
      </c>
      <c r="J1509">
        <v>2018</v>
      </c>
      <c r="K1509">
        <v>2</v>
      </c>
      <c r="L1509">
        <v>276</v>
      </c>
      <c r="M1509" t="s">
        <v>14</v>
      </c>
      <c r="N1509">
        <f t="shared" si="69"/>
        <v>71.37</v>
      </c>
      <c r="O1509" t="str">
        <f t="shared" si="70"/>
        <v>February</v>
      </c>
      <c r="P1509" t="str">
        <f t="shared" si="71"/>
        <v>Weekend</v>
      </c>
    </row>
    <row r="1510" spans="1:16" x14ac:dyDescent="0.3">
      <c r="A1510" s="1">
        <v>43149</v>
      </c>
      <c r="B1510">
        <v>6</v>
      </c>
      <c r="C1510">
        <v>6.726</v>
      </c>
      <c r="D1510">
        <v>7.55</v>
      </c>
      <c r="E1510">
        <v>44</v>
      </c>
      <c r="F1510">
        <v>2</v>
      </c>
      <c r="G1510">
        <v>0</v>
      </c>
      <c r="H1510">
        <v>4</v>
      </c>
      <c r="I1510">
        <v>1</v>
      </c>
      <c r="J1510">
        <v>2018</v>
      </c>
      <c r="K1510">
        <v>2</v>
      </c>
      <c r="L1510">
        <v>276</v>
      </c>
      <c r="M1510" t="s">
        <v>15</v>
      </c>
      <c r="N1510">
        <f t="shared" si="69"/>
        <v>71.275999999999996</v>
      </c>
      <c r="O1510" t="str">
        <f t="shared" si="70"/>
        <v>February</v>
      </c>
      <c r="P1510" t="str">
        <f t="shared" si="71"/>
        <v>Weekend</v>
      </c>
    </row>
    <row r="1511" spans="1:16" x14ac:dyDescent="0.3">
      <c r="A1511" s="1">
        <v>43150</v>
      </c>
      <c r="B1511">
        <v>1</v>
      </c>
      <c r="C1511">
        <v>3.34</v>
      </c>
      <c r="D1511">
        <v>1.7</v>
      </c>
      <c r="E1511">
        <v>27</v>
      </c>
      <c r="F1511">
        <v>6</v>
      </c>
      <c r="G1511">
        <v>0</v>
      </c>
      <c r="H1511">
        <v>12</v>
      </c>
      <c r="I1511">
        <v>2</v>
      </c>
      <c r="J1511">
        <v>2018</v>
      </c>
      <c r="K1511">
        <v>2</v>
      </c>
      <c r="L1511">
        <v>276</v>
      </c>
      <c r="M1511" t="s">
        <v>16</v>
      </c>
      <c r="N1511">
        <f t="shared" si="69"/>
        <v>53.04</v>
      </c>
      <c r="O1511" t="str">
        <f t="shared" si="70"/>
        <v>February</v>
      </c>
      <c r="P1511" t="str">
        <f t="shared" si="71"/>
        <v>Weekday</v>
      </c>
    </row>
    <row r="1512" spans="1:16" x14ac:dyDescent="0.3">
      <c r="A1512" s="1">
        <v>43151</v>
      </c>
      <c r="B1512">
        <v>4.18</v>
      </c>
      <c r="C1512">
        <v>2.286</v>
      </c>
      <c r="D1512">
        <v>4.2</v>
      </c>
      <c r="E1512">
        <v>30.2</v>
      </c>
      <c r="F1512">
        <v>6</v>
      </c>
      <c r="G1512">
        <v>0</v>
      </c>
      <c r="H1512">
        <v>2</v>
      </c>
      <c r="I1512">
        <v>3</v>
      </c>
      <c r="J1512">
        <v>2018</v>
      </c>
      <c r="K1512">
        <v>2</v>
      </c>
      <c r="L1512">
        <v>276</v>
      </c>
      <c r="M1512" t="s">
        <v>17</v>
      </c>
      <c r="N1512">
        <f t="shared" si="69"/>
        <v>51.866</v>
      </c>
      <c r="O1512" t="str">
        <f t="shared" si="70"/>
        <v>February</v>
      </c>
      <c r="P1512" t="str">
        <f t="shared" si="71"/>
        <v>Weekday</v>
      </c>
    </row>
    <row r="1513" spans="1:16" x14ac:dyDescent="0.3">
      <c r="A1513" s="1">
        <v>43152</v>
      </c>
      <c r="B1513">
        <v>1.34</v>
      </c>
      <c r="C1513">
        <v>7.01</v>
      </c>
      <c r="D1513">
        <v>9.5</v>
      </c>
      <c r="E1513">
        <v>27.4</v>
      </c>
      <c r="F1513">
        <v>5</v>
      </c>
      <c r="G1513">
        <v>0</v>
      </c>
      <c r="H1513">
        <v>6</v>
      </c>
      <c r="I1513">
        <v>1</v>
      </c>
      <c r="J1513">
        <v>2018</v>
      </c>
      <c r="K1513">
        <v>2</v>
      </c>
      <c r="L1513">
        <v>276</v>
      </c>
      <c r="M1513" t="s">
        <v>18</v>
      </c>
      <c r="N1513">
        <f t="shared" si="69"/>
        <v>57.25</v>
      </c>
      <c r="O1513" t="str">
        <f t="shared" si="70"/>
        <v>February</v>
      </c>
      <c r="P1513" t="str">
        <f t="shared" si="71"/>
        <v>Weekday</v>
      </c>
    </row>
    <row r="1514" spans="1:16" x14ac:dyDescent="0.3">
      <c r="A1514" s="1">
        <v>43153</v>
      </c>
      <c r="B1514">
        <v>5</v>
      </c>
      <c r="C1514">
        <v>6.33</v>
      </c>
      <c r="D1514">
        <v>3.15</v>
      </c>
      <c r="E1514">
        <v>30</v>
      </c>
      <c r="F1514">
        <v>6</v>
      </c>
      <c r="G1514">
        <v>0</v>
      </c>
      <c r="H1514">
        <v>20</v>
      </c>
      <c r="I1514">
        <v>0</v>
      </c>
      <c r="J1514">
        <v>2018</v>
      </c>
      <c r="K1514">
        <v>2</v>
      </c>
      <c r="L1514">
        <v>276</v>
      </c>
      <c r="M1514" t="s">
        <v>12</v>
      </c>
      <c r="N1514">
        <f t="shared" si="69"/>
        <v>70.48</v>
      </c>
      <c r="O1514" t="str">
        <f t="shared" si="70"/>
        <v>February</v>
      </c>
      <c r="P1514" t="str">
        <f t="shared" si="71"/>
        <v>Weekday</v>
      </c>
    </row>
    <row r="1515" spans="1:16" x14ac:dyDescent="0.3">
      <c r="A1515" s="1">
        <v>43154</v>
      </c>
      <c r="B1515">
        <v>5.83</v>
      </c>
      <c r="C1515">
        <v>2.9790000000000001</v>
      </c>
      <c r="D1515">
        <v>1</v>
      </c>
      <c r="E1515">
        <v>34.200000000000003</v>
      </c>
      <c r="F1515">
        <v>6</v>
      </c>
      <c r="G1515">
        <v>0</v>
      </c>
      <c r="H1515">
        <v>12</v>
      </c>
      <c r="I1515">
        <v>0</v>
      </c>
      <c r="J1515">
        <v>2018</v>
      </c>
      <c r="K1515">
        <v>2</v>
      </c>
      <c r="L1515">
        <v>276</v>
      </c>
      <c r="M1515" t="s">
        <v>13</v>
      </c>
      <c r="N1515">
        <f t="shared" si="69"/>
        <v>62.009</v>
      </c>
      <c r="O1515" t="str">
        <f t="shared" si="70"/>
        <v>February</v>
      </c>
      <c r="P1515" t="str">
        <f t="shared" si="71"/>
        <v>Weekday</v>
      </c>
    </row>
    <row r="1516" spans="1:16" x14ac:dyDescent="0.3">
      <c r="A1516" s="1">
        <v>43155</v>
      </c>
      <c r="B1516">
        <v>8</v>
      </c>
      <c r="C1516">
        <v>5.68</v>
      </c>
      <c r="D1516">
        <v>7</v>
      </c>
      <c r="E1516">
        <v>43.5</v>
      </c>
      <c r="F1516">
        <v>10</v>
      </c>
      <c r="G1516">
        <v>0</v>
      </c>
      <c r="H1516">
        <v>8</v>
      </c>
      <c r="I1516">
        <v>3</v>
      </c>
      <c r="J1516">
        <v>2018</v>
      </c>
      <c r="K1516">
        <v>2</v>
      </c>
      <c r="L1516">
        <v>276</v>
      </c>
      <c r="M1516" t="s">
        <v>14</v>
      </c>
      <c r="N1516">
        <f t="shared" si="69"/>
        <v>85.18</v>
      </c>
      <c r="O1516" t="str">
        <f t="shared" si="70"/>
        <v>February</v>
      </c>
      <c r="P1516" t="str">
        <f t="shared" si="71"/>
        <v>Weekend</v>
      </c>
    </row>
    <row r="1517" spans="1:16" x14ac:dyDescent="0.3">
      <c r="A1517" s="1">
        <v>43156</v>
      </c>
      <c r="B1517">
        <v>4</v>
      </c>
      <c r="C1517">
        <v>1.68</v>
      </c>
      <c r="D1517">
        <v>2</v>
      </c>
      <c r="E1517">
        <v>36.799999999999997</v>
      </c>
      <c r="F1517">
        <v>10</v>
      </c>
      <c r="G1517">
        <v>0</v>
      </c>
      <c r="H1517">
        <v>10</v>
      </c>
      <c r="I1517">
        <v>2</v>
      </c>
      <c r="J1517">
        <v>2018</v>
      </c>
      <c r="K1517">
        <v>2</v>
      </c>
      <c r="L1517">
        <v>276</v>
      </c>
      <c r="M1517" t="s">
        <v>15</v>
      </c>
      <c r="N1517">
        <f t="shared" si="69"/>
        <v>66.47999999999999</v>
      </c>
      <c r="O1517" t="str">
        <f t="shared" si="70"/>
        <v>February</v>
      </c>
      <c r="P1517" t="str">
        <f t="shared" si="71"/>
        <v>Weekend</v>
      </c>
    </row>
    <row r="1518" spans="1:16" x14ac:dyDescent="0.3">
      <c r="A1518" s="1">
        <v>43157</v>
      </c>
      <c r="B1518">
        <v>1</v>
      </c>
      <c r="C1518">
        <v>0.66</v>
      </c>
      <c r="D1518">
        <v>2</v>
      </c>
      <c r="E1518">
        <v>46.6</v>
      </c>
      <c r="F1518">
        <v>9</v>
      </c>
      <c r="G1518">
        <v>0</v>
      </c>
      <c r="H1518">
        <v>7</v>
      </c>
      <c r="I1518">
        <v>1</v>
      </c>
      <c r="J1518">
        <v>2018</v>
      </c>
      <c r="K1518">
        <v>2</v>
      </c>
      <c r="L1518">
        <v>276</v>
      </c>
      <c r="M1518" t="s">
        <v>16</v>
      </c>
      <c r="N1518">
        <f t="shared" si="69"/>
        <v>67.260000000000005</v>
      </c>
      <c r="O1518" t="str">
        <f t="shared" si="70"/>
        <v>February</v>
      </c>
      <c r="P1518" t="str">
        <f t="shared" si="71"/>
        <v>Weekday</v>
      </c>
    </row>
    <row r="1519" spans="1:16" x14ac:dyDescent="0.3">
      <c r="A1519" s="1">
        <v>43158</v>
      </c>
      <c r="B1519">
        <v>3.33</v>
      </c>
      <c r="C1519">
        <v>2.65</v>
      </c>
      <c r="D1519">
        <v>3.4</v>
      </c>
      <c r="E1519">
        <v>26.7</v>
      </c>
      <c r="F1519">
        <v>20</v>
      </c>
      <c r="G1519">
        <v>9</v>
      </c>
      <c r="H1519">
        <v>8</v>
      </c>
      <c r="I1519">
        <v>1</v>
      </c>
      <c r="J1519">
        <v>2018</v>
      </c>
      <c r="K1519">
        <v>2</v>
      </c>
      <c r="L1519">
        <v>276</v>
      </c>
      <c r="M1519" t="s">
        <v>17</v>
      </c>
      <c r="N1519">
        <f t="shared" si="69"/>
        <v>74.08</v>
      </c>
      <c r="O1519" t="str">
        <f t="shared" si="70"/>
        <v>February</v>
      </c>
      <c r="P1519" t="str">
        <f t="shared" si="71"/>
        <v>Weekday</v>
      </c>
    </row>
    <row r="1520" spans="1:16" x14ac:dyDescent="0.3">
      <c r="A1520" s="1">
        <v>43159</v>
      </c>
      <c r="B1520">
        <v>1</v>
      </c>
      <c r="C1520">
        <v>2.33</v>
      </c>
      <c r="D1520">
        <v>5.0999999999999996</v>
      </c>
      <c r="E1520">
        <v>44.661999999999999</v>
      </c>
      <c r="F1520">
        <v>21</v>
      </c>
      <c r="G1520">
        <v>2</v>
      </c>
      <c r="H1520">
        <v>0</v>
      </c>
      <c r="I1520">
        <v>1</v>
      </c>
      <c r="J1520">
        <v>2018</v>
      </c>
      <c r="K1520">
        <v>2</v>
      </c>
      <c r="L1520">
        <v>276</v>
      </c>
      <c r="M1520" t="s">
        <v>18</v>
      </c>
      <c r="N1520">
        <f t="shared" si="69"/>
        <v>77.091999999999999</v>
      </c>
      <c r="O1520" t="str">
        <f t="shared" si="70"/>
        <v>February</v>
      </c>
      <c r="P1520" t="str">
        <f t="shared" si="71"/>
        <v>Weekday</v>
      </c>
    </row>
    <row r="1521" spans="1:16" x14ac:dyDescent="0.3">
      <c r="A1521" s="1">
        <v>43160</v>
      </c>
      <c r="B1521">
        <v>1</v>
      </c>
      <c r="C1521">
        <v>6.0330000000000004</v>
      </c>
      <c r="D1521">
        <v>1.05</v>
      </c>
      <c r="E1521">
        <v>26.4</v>
      </c>
      <c r="F1521">
        <v>26</v>
      </c>
      <c r="G1521">
        <v>1</v>
      </c>
      <c r="H1521">
        <v>12</v>
      </c>
      <c r="I1521">
        <v>1</v>
      </c>
      <c r="J1521">
        <v>2018</v>
      </c>
      <c r="K1521">
        <v>3</v>
      </c>
      <c r="L1521">
        <v>276</v>
      </c>
      <c r="M1521" t="s">
        <v>12</v>
      </c>
      <c r="N1521">
        <f t="shared" si="69"/>
        <v>74.483000000000004</v>
      </c>
      <c r="O1521" t="str">
        <f t="shared" si="70"/>
        <v>March</v>
      </c>
      <c r="P1521" t="str">
        <f t="shared" si="71"/>
        <v>Weekday</v>
      </c>
    </row>
    <row r="1522" spans="1:16" x14ac:dyDescent="0.3">
      <c r="A1522" s="1">
        <v>43161</v>
      </c>
      <c r="B1522">
        <v>4</v>
      </c>
      <c r="C1522">
        <v>3</v>
      </c>
      <c r="D1522">
        <v>9.5</v>
      </c>
      <c r="E1522">
        <v>38.4</v>
      </c>
      <c r="F1522">
        <v>24</v>
      </c>
      <c r="G1522">
        <v>3</v>
      </c>
      <c r="H1522">
        <v>17</v>
      </c>
      <c r="I1522">
        <v>5.5</v>
      </c>
      <c r="J1522">
        <v>2018</v>
      </c>
      <c r="K1522">
        <v>3</v>
      </c>
      <c r="L1522">
        <v>276</v>
      </c>
      <c r="M1522" t="s">
        <v>13</v>
      </c>
      <c r="N1522">
        <f t="shared" si="69"/>
        <v>104.4</v>
      </c>
      <c r="O1522" t="str">
        <f t="shared" si="70"/>
        <v>March</v>
      </c>
      <c r="P1522" t="str">
        <f t="shared" si="71"/>
        <v>Weekday</v>
      </c>
    </row>
    <row r="1523" spans="1:16" x14ac:dyDescent="0.3">
      <c r="A1523" s="1">
        <v>43162</v>
      </c>
      <c r="B1523">
        <v>8</v>
      </c>
      <c r="C1523">
        <v>2.363</v>
      </c>
      <c r="D1523">
        <v>8.15</v>
      </c>
      <c r="E1523">
        <v>40.186999999999998</v>
      </c>
      <c r="F1523">
        <v>12</v>
      </c>
      <c r="G1523">
        <v>1</v>
      </c>
      <c r="H1523">
        <v>10</v>
      </c>
      <c r="I1523">
        <v>4</v>
      </c>
      <c r="J1523">
        <v>2018</v>
      </c>
      <c r="K1523">
        <v>3</v>
      </c>
      <c r="L1523">
        <v>276</v>
      </c>
      <c r="M1523" t="s">
        <v>14</v>
      </c>
      <c r="N1523">
        <f t="shared" si="69"/>
        <v>85.699999999999989</v>
      </c>
      <c r="O1523" t="str">
        <f t="shared" si="70"/>
        <v>March</v>
      </c>
      <c r="P1523" t="str">
        <f t="shared" si="71"/>
        <v>Weekend</v>
      </c>
    </row>
    <row r="1524" spans="1:16" x14ac:dyDescent="0.3">
      <c r="A1524" s="1">
        <v>43163</v>
      </c>
      <c r="B1524">
        <v>1</v>
      </c>
      <c r="C1524">
        <v>3.7360000000000002</v>
      </c>
      <c r="D1524">
        <v>4</v>
      </c>
      <c r="E1524">
        <v>33.6</v>
      </c>
      <c r="F1524">
        <v>3</v>
      </c>
      <c r="G1524">
        <v>0</v>
      </c>
      <c r="H1524">
        <v>14</v>
      </c>
      <c r="I1524">
        <v>1</v>
      </c>
      <c r="J1524">
        <v>2018</v>
      </c>
      <c r="K1524">
        <v>3</v>
      </c>
      <c r="L1524">
        <v>276</v>
      </c>
      <c r="M1524" t="s">
        <v>15</v>
      </c>
      <c r="N1524">
        <f t="shared" si="69"/>
        <v>60.335999999999999</v>
      </c>
      <c r="O1524" t="str">
        <f t="shared" si="70"/>
        <v>March</v>
      </c>
      <c r="P1524" t="str">
        <f t="shared" si="71"/>
        <v>Weekend</v>
      </c>
    </row>
    <row r="1525" spans="1:16" x14ac:dyDescent="0.3">
      <c r="A1525" s="1">
        <v>43164</v>
      </c>
      <c r="B1525">
        <v>4.33</v>
      </c>
      <c r="C1525">
        <v>5.33</v>
      </c>
      <c r="D1525">
        <v>6.1</v>
      </c>
      <c r="E1525">
        <v>25</v>
      </c>
      <c r="F1525">
        <v>6</v>
      </c>
      <c r="G1525">
        <v>0</v>
      </c>
      <c r="H1525">
        <v>17</v>
      </c>
      <c r="I1525">
        <v>1</v>
      </c>
      <c r="J1525">
        <v>2018</v>
      </c>
      <c r="K1525">
        <v>3</v>
      </c>
      <c r="L1525">
        <v>276</v>
      </c>
      <c r="M1525" t="s">
        <v>16</v>
      </c>
      <c r="N1525">
        <f t="shared" si="69"/>
        <v>64.759999999999991</v>
      </c>
      <c r="O1525" t="str">
        <f t="shared" si="70"/>
        <v>March</v>
      </c>
      <c r="P1525" t="str">
        <f t="shared" si="71"/>
        <v>Weekday</v>
      </c>
    </row>
    <row r="1526" spans="1:16" x14ac:dyDescent="0.3">
      <c r="A1526" s="1">
        <v>43165</v>
      </c>
      <c r="B1526">
        <v>9.5</v>
      </c>
      <c r="C1526">
        <v>6.33</v>
      </c>
      <c r="D1526">
        <v>5.85</v>
      </c>
      <c r="E1526">
        <v>22.2</v>
      </c>
      <c r="F1526">
        <v>22</v>
      </c>
      <c r="G1526">
        <v>8</v>
      </c>
      <c r="H1526">
        <v>2</v>
      </c>
      <c r="I1526">
        <v>1</v>
      </c>
      <c r="J1526">
        <v>2018</v>
      </c>
      <c r="K1526">
        <v>3</v>
      </c>
      <c r="L1526">
        <v>276</v>
      </c>
      <c r="M1526" t="s">
        <v>17</v>
      </c>
      <c r="N1526">
        <f t="shared" si="69"/>
        <v>76.88</v>
      </c>
      <c r="O1526" t="str">
        <f t="shared" si="70"/>
        <v>March</v>
      </c>
      <c r="P1526" t="str">
        <f t="shared" si="71"/>
        <v>Weekday</v>
      </c>
    </row>
    <row r="1527" spans="1:16" x14ac:dyDescent="0.3">
      <c r="A1527" s="1">
        <v>43166</v>
      </c>
      <c r="B1527">
        <v>4.5</v>
      </c>
      <c r="C1527">
        <v>1.67</v>
      </c>
      <c r="D1527">
        <v>4</v>
      </c>
      <c r="E1527">
        <v>20.2</v>
      </c>
      <c r="F1527">
        <v>31</v>
      </c>
      <c r="G1527">
        <v>5</v>
      </c>
      <c r="H1527">
        <v>11</v>
      </c>
      <c r="I1527">
        <v>1.4</v>
      </c>
      <c r="J1527">
        <v>2018</v>
      </c>
      <c r="K1527">
        <v>3</v>
      </c>
      <c r="L1527">
        <v>276</v>
      </c>
      <c r="M1527" t="s">
        <v>18</v>
      </c>
      <c r="N1527">
        <f t="shared" si="69"/>
        <v>78.77000000000001</v>
      </c>
      <c r="O1527" t="str">
        <f t="shared" si="70"/>
        <v>March</v>
      </c>
      <c r="P1527" t="str">
        <f t="shared" si="71"/>
        <v>Weekday</v>
      </c>
    </row>
    <row r="1528" spans="1:16" x14ac:dyDescent="0.3">
      <c r="A1528" s="1">
        <v>43167</v>
      </c>
      <c r="B1528">
        <v>1.33</v>
      </c>
      <c r="C1528">
        <v>2.7690000000000001</v>
      </c>
      <c r="D1528">
        <v>4</v>
      </c>
      <c r="E1528">
        <v>25.8</v>
      </c>
      <c r="F1528">
        <v>10</v>
      </c>
      <c r="G1528">
        <v>0</v>
      </c>
      <c r="H1528">
        <v>0</v>
      </c>
      <c r="I1528">
        <v>4</v>
      </c>
      <c r="J1528">
        <v>2018</v>
      </c>
      <c r="K1528">
        <v>3</v>
      </c>
      <c r="L1528">
        <v>276</v>
      </c>
      <c r="M1528" t="s">
        <v>12</v>
      </c>
      <c r="N1528">
        <f t="shared" si="69"/>
        <v>47.899000000000001</v>
      </c>
      <c r="O1528" t="str">
        <f t="shared" si="70"/>
        <v>March</v>
      </c>
      <c r="P1528" t="str">
        <f t="shared" si="71"/>
        <v>Weekday</v>
      </c>
    </row>
    <row r="1529" spans="1:16" x14ac:dyDescent="0.3">
      <c r="A1529" s="1">
        <v>43168</v>
      </c>
      <c r="B1529">
        <v>6.33</v>
      </c>
      <c r="C1529">
        <v>2.1800000000000002</v>
      </c>
      <c r="D1529">
        <v>4.2</v>
      </c>
      <c r="E1529">
        <v>41</v>
      </c>
      <c r="F1529">
        <v>11</v>
      </c>
      <c r="G1529">
        <v>1</v>
      </c>
      <c r="H1529">
        <v>10</v>
      </c>
      <c r="I1529">
        <v>0</v>
      </c>
      <c r="J1529">
        <v>2018</v>
      </c>
      <c r="K1529">
        <v>3</v>
      </c>
      <c r="L1529">
        <v>276</v>
      </c>
      <c r="M1529" t="s">
        <v>13</v>
      </c>
      <c r="N1529">
        <f t="shared" si="69"/>
        <v>75.710000000000008</v>
      </c>
      <c r="O1529" t="str">
        <f t="shared" si="70"/>
        <v>March</v>
      </c>
      <c r="P1529" t="str">
        <f t="shared" si="71"/>
        <v>Weekday</v>
      </c>
    </row>
    <row r="1530" spans="1:16" x14ac:dyDescent="0.3">
      <c r="A1530" s="1">
        <v>43169</v>
      </c>
      <c r="B1530">
        <v>6</v>
      </c>
      <c r="C1530">
        <v>4.109</v>
      </c>
      <c r="D1530">
        <v>4</v>
      </c>
      <c r="E1530">
        <v>21.7</v>
      </c>
      <c r="F1530">
        <v>11</v>
      </c>
      <c r="G1530">
        <v>3</v>
      </c>
      <c r="H1530">
        <v>17</v>
      </c>
      <c r="I1530">
        <v>6</v>
      </c>
      <c r="J1530">
        <v>2018</v>
      </c>
      <c r="K1530">
        <v>3</v>
      </c>
      <c r="L1530">
        <v>276</v>
      </c>
      <c r="M1530" t="s">
        <v>14</v>
      </c>
      <c r="N1530">
        <f t="shared" si="69"/>
        <v>72.808999999999997</v>
      </c>
      <c r="O1530" t="str">
        <f t="shared" si="70"/>
        <v>March</v>
      </c>
      <c r="P1530" t="str">
        <f t="shared" si="71"/>
        <v>Weekend</v>
      </c>
    </row>
    <row r="1531" spans="1:16" x14ac:dyDescent="0.3">
      <c r="A1531" s="1">
        <v>43170</v>
      </c>
      <c r="B1531">
        <v>4.66</v>
      </c>
      <c r="C1531">
        <v>7.54</v>
      </c>
      <c r="D1531">
        <v>5.6</v>
      </c>
      <c r="E1531">
        <v>68</v>
      </c>
      <c r="F1531">
        <v>0</v>
      </c>
      <c r="G1531">
        <v>0</v>
      </c>
      <c r="H1531">
        <v>11</v>
      </c>
      <c r="I1531">
        <v>3</v>
      </c>
      <c r="J1531">
        <v>2018</v>
      </c>
      <c r="K1531">
        <v>3</v>
      </c>
      <c r="L1531">
        <v>276</v>
      </c>
      <c r="M1531" t="s">
        <v>15</v>
      </c>
      <c r="N1531">
        <f t="shared" si="69"/>
        <v>99.8</v>
      </c>
      <c r="O1531" t="str">
        <f t="shared" si="70"/>
        <v>March</v>
      </c>
      <c r="P1531" t="str">
        <f t="shared" si="71"/>
        <v>Weekend</v>
      </c>
    </row>
    <row r="1532" spans="1:16" x14ac:dyDescent="0.3">
      <c r="A1532" s="1">
        <v>43171</v>
      </c>
      <c r="B1532">
        <v>9</v>
      </c>
      <c r="C1532">
        <v>4.3449999999999998</v>
      </c>
      <c r="D1532">
        <v>3</v>
      </c>
      <c r="E1532">
        <v>22.2</v>
      </c>
      <c r="F1532">
        <v>9</v>
      </c>
      <c r="G1532">
        <v>0</v>
      </c>
      <c r="H1532">
        <v>13</v>
      </c>
      <c r="I1532">
        <v>8</v>
      </c>
      <c r="J1532">
        <v>2018</v>
      </c>
      <c r="K1532">
        <v>3</v>
      </c>
      <c r="L1532">
        <v>276</v>
      </c>
      <c r="M1532" t="s">
        <v>16</v>
      </c>
      <c r="N1532">
        <f t="shared" si="69"/>
        <v>68.545000000000002</v>
      </c>
      <c r="O1532" t="str">
        <f t="shared" si="70"/>
        <v>March</v>
      </c>
      <c r="P1532" t="str">
        <f t="shared" si="71"/>
        <v>Weekday</v>
      </c>
    </row>
    <row r="1533" spans="1:16" x14ac:dyDescent="0.3">
      <c r="A1533" s="1">
        <v>43172</v>
      </c>
      <c r="B1533">
        <v>2</v>
      </c>
      <c r="C1533">
        <v>5.0659999999999998</v>
      </c>
      <c r="D1533">
        <v>5.2</v>
      </c>
      <c r="E1533">
        <v>15.2</v>
      </c>
      <c r="F1533">
        <v>18</v>
      </c>
      <c r="G1533">
        <v>0</v>
      </c>
      <c r="H1533">
        <v>21</v>
      </c>
      <c r="I1533">
        <v>5</v>
      </c>
      <c r="J1533">
        <v>2018</v>
      </c>
      <c r="K1533">
        <v>3</v>
      </c>
      <c r="L1533">
        <v>276</v>
      </c>
      <c r="M1533" t="s">
        <v>17</v>
      </c>
      <c r="N1533">
        <f t="shared" si="69"/>
        <v>71.466000000000008</v>
      </c>
      <c r="O1533" t="str">
        <f t="shared" si="70"/>
        <v>March</v>
      </c>
      <c r="P1533" t="str">
        <f t="shared" si="71"/>
        <v>Weekday</v>
      </c>
    </row>
    <row r="1534" spans="1:16" x14ac:dyDescent="0.3">
      <c r="A1534" s="1">
        <v>43173</v>
      </c>
      <c r="B1534">
        <v>2.34</v>
      </c>
      <c r="C1534">
        <v>2.34</v>
      </c>
      <c r="D1534">
        <v>0</v>
      </c>
      <c r="E1534">
        <v>31</v>
      </c>
      <c r="F1534">
        <v>14</v>
      </c>
      <c r="G1534">
        <v>2</v>
      </c>
      <c r="H1534">
        <v>8</v>
      </c>
      <c r="I1534">
        <v>4</v>
      </c>
      <c r="J1534">
        <v>2018</v>
      </c>
      <c r="K1534">
        <v>3</v>
      </c>
      <c r="L1534">
        <v>276</v>
      </c>
      <c r="M1534" t="s">
        <v>18</v>
      </c>
      <c r="N1534">
        <f t="shared" si="69"/>
        <v>63.68</v>
      </c>
      <c r="O1534" t="str">
        <f t="shared" si="70"/>
        <v>March</v>
      </c>
      <c r="P1534" t="str">
        <f t="shared" si="71"/>
        <v>Weekday</v>
      </c>
    </row>
    <row r="1535" spans="1:16" x14ac:dyDescent="0.3">
      <c r="A1535" s="1">
        <v>43174</v>
      </c>
      <c r="B1535">
        <v>3.34</v>
      </c>
      <c r="C1535">
        <v>2.1320000000000001</v>
      </c>
      <c r="D1535">
        <v>3</v>
      </c>
      <c r="E1535">
        <v>23.9</v>
      </c>
      <c r="F1535">
        <v>10</v>
      </c>
      <c r="G1535">
        <v>0</v>
      </c>
      <c r="H1535">
        <v>10</v>
      </c>
      <c r="I1535">
        <v>0</v>
      </c>
      <c r="J1535">
        <v>2018</v>
      </c>
      <c r="K1535">
        <v>3</v>
      </c>
      <c r="L1535">
        <v>276</v>
      </c>
      <c r="M1535" t="s">
        <v>12</v>
      </c>
      <c r="N1535">
        <f t="shared" si="69"/>
        <v>52.372</v>
      </c>
      <c r="O1535" t="str">
        <f t="shared" si="70"/>
        <v>March</v>
      </c>
      <c r="P1535" t="str">
        <f t="shared" si="71"/>
        <v>Weekday</v>
      </c>
    </row>
    <row r="1536" spans="1:16" x14ac:dyDescent="0.3">
      <c r="A1536" s="1">
        <v>43175</v>
      </c>
      <c r="B1536">
        <v>3.33</v>
      </c>
      <c r="C1536">
        <v>3.0659999999999998</v>
      </c>
      <c r="D1536">
        <v>1</v>
      </c>
      <c r="E1536">
        <v>29</v>
      </c>
      <c r="F1536">
        <v>7</v>
      </c>
      <c r="G1536">
        <v>0</v>
      </c>
      <c r="H1536">
        <v>2</v>
      </c>
      <c r="I1536">
        <v>1</v>
      </c>
      <c r="J1536">
        <v>2018</v>
      </c>
      <c r="K1536">
        <v>3</v>
      </c>
      <c r="L1536">
        <v>276</v>
      </c>
      <c r="M1536" t="s">
        <v>13</v>
      </c>
      <c r="N1536">
        <f t="shared" si="69"/>
        <v>46.396000000000001</v>
      </c>
      <c r="O1536" t="str">
        <f t="shared" si="70"/>
        <v>March</v>
      </c>
      <c r="P1536" t="str">
        <f t="shared" si="71"/>
        <v>Weekday</v>
      </c>
    </row>
    <row r="1537" spans="1:16" x14ac:dyDescent="0.3">
      <c r="A1537" s="1">
        <v>43176</v>
      </c>
      <c r="B1537">
        <v>3.99</v>
      </c>
      <c r="C1537">
        <v>1.66</v>
      </c>
      <c r="D1537">
        <v>3.15</v>
      </c>
      <c r="E1537">
        <v>65</v>
      </c>
      <c r="F1537">
        <v>11</v>
      </c>
      <c r="G1537">
        <v>0</v>
      </c>
      <c r="H1537">
        <v>5</v>
      </c>
      <c r="I1537">
        <v>4</v>
      </c>
      <c r="J1537">
        <v>2018</v>
      </c>
      <c r="K1537">
        <v>3</v>
      </c>
      <c r="L1537">
        <v>276</v>
      </c>
      <c r="M1537" t="s">
        <v>14</v>
      </c>
      <c r="N1537">
        <f t="shared" si="69"/>
        <v>93.8</v>
      </c>
      <c r="O1537" t="str">
        <f t="shared" si="70"/>
        <v>March</v>
      </c>
      <c r="P1537" t="str">
        <f t="shared" si="71"/>
        <v>Weekend</v>
      </c>
    </row>
    <row r="1538" spans="1:16" x14ac:dyDescent="0.3">
      <c r="A1538" s="1">
        <v>43177</v>
      </c>
      <c r="B1538">
        <v>7.33</v>
      </c>
      <c r="C1538">
        <v>2.9289999999999998</v>
      </c>
      <c r="D1538">
        <v>4.3</v>
      </c>
      <c r="E1538">
        <v>21.5</v>
      </c>
      <c r="F1538">
        <v>8</v>
      </c>
      <c r="G1538">
        <v>0</v>
      </c>
      <c r="H1538">
        <v>2</v>
      </c>
      <c r="I1538">
        <v>2</v>
      </c>
      <c r="J1538">
        <v>2018</v>
      </c>
      <c r="K1538">
        <v>3</v>
      </c>
      <c r="L1538">
        <v>276</v>
      </c>
      <c r="M1538" t="s">
        <v>15</v>
      </c>
      <c r="N1538">
        <f t="shared" si="69"/>
        <v>48.058999999999997</v>
      </c>
      <c r="O1538" t="str">
        <f t="shared" si="70"/>
        <v>March</v>
      </c>
      <c r="P1538" t="str">
        <f t="shared" si="71"/>
        <v>Weekend</v>
      </c>
    </row>
    <row r="1539" spans="1:16" x14ac:dyDescent="0.3">
      <c r="A1539" s="1">
        <v>43178</v>
      </c>
      <c r="B1539">
        <v>4.34</v>
      </c>
      <c r="C1539">
        <v>1</v>
      </c>
      <c r="D1539">
        <v>0</v>
      </c>
      <c r="E1539">
        <v>19.600000000000001</v>
      </c>
      <c r="F1539">
        <v>11</v>
      </c>
      <c r="G1539">
        <v>2</v>
      </c>
      <c r="H1539">
        <v>18</v>
      </c>
      <c r="I1539">
        <v>1</v>
      </c>
      <c r="J1539">
        <v>2018</v>
      </c>
      <c r="K1539">
        <v>3</v>
      </c>
      <c r="L1539">
        <v>276</v>
      </c>
      <c r="M1539" t="s">
        <v>16</v>
      </c>
      <c r="N1539">
        <f t="shared" ref="N1539:N1602" si="72">SUM(B1539:I1539)</f>
        <v>56.94</v>
      </c>
      <c r="O1539" t="str">
        <f t="shared" ref="O1539:O1602" si="73">TEXT(A1539,"mmmm")</f>
        <v>March</v>
      </c>
      <c r="P1539" t="str">
        <f t="shared" ref="P1539:P1602" si="74">IF(OR(M1539="Saturday",M1539="Sunday"),"Weekend","Weekday")</f>
        <v>Weekday</v>
      </c>
    </row>
    <row r="1540" spans="1:16" x14ac:dyDescent="0.3">
      <c r="A1540" s="1">
        <v>43179</v>
      </c>
      <c r="B1540">
        <v>2.67</v>
      </c>
      <c r="C1540">
        <v>3.67</v>
      </c>
      <c r="D1540">
        <v>9</v>
      </c>
      <c r="E1540">
        <v>48.6</v>
      </c>
      <c r="F1540">
        <v>7</v>
      </c>
      <c r="G1540">
        <v>0</v>
      </c>
      <c r="H1540">
        <v>15</v>
      </c>
      <c r="I1540">
        <v>5</v>
      </c>
      <c r="J1540">
        <v>2018</v>
      </c>
      <c r="K1540">
        <v>3</v>
      </c>
      <c r="L1540">
        <v>276</v>
      </c>
      <c r="M1540" t="s">
        <v>17</v>
      </c>
      <c r="N1540">
        <f t="shared" si="72"/>
        <v>90.94</v>
      </c>
      <c r="O1540" t="str">
        <f t="shared" si="73"/>
        <v>March</v>
      </c>
      <c r="P1540" t="str">
        <f t="shared" si="74"/>
        <v>Weekday</v>
      </c>
    </row>
    <row r="1541" spans="1:16" x14ac:dyDescent="0.3">
      <c r="A1541" s="1">
        <v>43180</v>
      </c>
      <c r="B1541">
        <v>2</v>
      </c>
      <c r="C1541">
        <v>2</v>
      </c>
      <c r="D1541">
        <v>2</v>
      </c>
      <c r="E1541">
        <v>27</v>
      </c>
      <c r="F1541">
        <v>4</v>
      </c>
      <c r="G1541">
        <v>0</v>
      </c>
      <c r="H1541">
        <v>9</v>
      </c>
      <c r="I1541">
        <v>0</v>
      </c>
      <c r="J1541">
        <v>2018</v>
      </c>
      <c r="K1541">
        <v>3</v>
      </c>
      <c r="L1541">
        <v>276</v>
      </c>
      <c r="M1541" t="s">
        <v>18</v>
      </c>
      <c r="N1541">
        <f t="shared" si="72"/>
        <v>46</v>
      </c>
      <c r="O1541" t="str">
        <f t="shared" si="73"/>
        <v>March</v>
      </c>
      <c r="P1541" t="str">
        <f t="shared" si="74"/>
        <v>Weekday</v>
      </c>
    </row>
    <row r="1542" spans="1:16" x14ac:dyDescent="0.3">
      <c r="A1542" s="1">
        <v>43181</v>
      </c>
      <c r="B1542">
        <v>3</v>
      </c>
      <c r="C1542">
        <v>3.67</v>
      </c>
      <c r="D1542">
        <v>1.55</v>
      </c>
      <c r="E1542">
        <v>24.6</v>
      </c>
      <c r="F1542">
        <v>4</v>
      </c>
      <c r="G1542">
        <v>0</v>
      </c>
      <c r="H1542">
        <v>0</v>
      </c>
      <c r="I1542">
        <v>1</v>
      </c>
      <c r="J1542">
        <v>2018</v>
      </c>
      <c r="K1542">
        <v>3</v>
      </c>
      <c r="L1542">
        <v>276</v>
      </c>
      <c r="M1542" t="s">
        <v>12</v>
      </c>
      <c r="N1542">
        <f t="shared" si="72"/>
        <v>37.82</v>
      </c>
      <c r="O1542" t="str">
        <f t="shared" si="73"/>
        <v>March</v>
      </c>
      <c r="P1542" t="str">
        <f t="shared" si="74"/>
        <v>Weekday</v>
      </c>
    </row>
    <row r="1543" spans="1:16" x14ac:dyDescent="0.3">
      <c r="A1543" s="1">
        <v>43182</v>
      </c>
      <c r="B1543">
        <v>5</v>
      </c>
      <c r="C1543">
        <v>5.3959999999999999</v>
      </c>
      <c r="D1543">
        <v>5.15</v>
      </c>
      <c r="E1543">
        <v>34</v>
      </c>
      <c r="F1543">
        <v>8</v>
      </c>
      <c r="G1543">
        <v>0</v>
      </c>
      <c r="H1543">
        <v>11</v>
      </c>
      <c r="I1543">
        <v>8.5</v>
      </c>
      <c r="J1543">
        <v>2018</v>
      </c>
      <c r="K1543">
        <v>3</v>
      </c>
      <c r="L1543">
        <v>276</v>
      </c>
      <c r="M1543" t="s">
        <v>13</v>
      </c>
      <c r="N1543">
        <f t="shared" si="72"/>
        <v>77.045999999999992</v>
      </c>
      <c r="O1543" t="str">
        <f t="shared" si="73"/>
        <v>March</v>
      </c>
      <c r="P1543" t="str">
        <f t="shared" si="74"/>
        <v>Weekday</v>
      </c>
    </row>
    <row r="1544" spans="1:16" x14ac:dyDescent="0.3">
      <c r="A1544" s="1">
        <v>43183</v>
      </c>
      <c r="B1544">
        <v>7</v>
      </c>
      <c r="C1544">
        <v>2.34</v>
      </c>
      <c r="D1544">
        <v>5</v>
      </c>
      <c r="E1544">
        <v>40</v>
      </c>
      <c r="F1544">
        <v>7</v>
      </c>
      <c r="G1544">
        <v>1</v>
      </c>
      <c r="H1544">
        <v>2</v>
      </c>
      <c r="I1544">
        <v>0</v>
      </c>
      <c r="J1544">
        <v>2018</v>
      </c>
      <c r="K1544">
        <v>3</v>
      </c>
      <c r="L1544">
        <v>276</v>
      </c>
      <c r="M1544" t="s">
        <v>14</v>
      </c>
      <c r="N1544">
        <f t="shared" si="72"/>
        <v>64.34</v>
      </c>
      <c r="O1544" t="str">
        <f t="shared" si="73"/>
        <v>March</v>
      </c>
      <c r="P1544" t="str">
        <f t="shared" si="74"/>
        <v>Weekend</v>
      </c>
    </row>
    <row r="1545" spans="1:16" x14ac:dyDescent="0.3">
      <c r="A1545" s="1">
        <v>43184</v>
      </c>
      <c r="B1545">
        <v>4</v>
      </c>
      <c r="C1545">
        <v>2.66</v>
      </c>
      <c r="D1545">
        <v>3.2</v>
      </c>
      <c r="E1545">
        <v>47.311999999999998</v>
      </c>
      <c r="F1545">
        <v>9</v>
      </c>
      <c r="G1545">
        <v>0</v>
      </c>
      <c r="H1545">
        <v>3</v>
      </c>
      <c r="I1545">
        <v>2</v>
      </c>
      <c r="J1545">
        <v>2018</v>
      </c>
      <c r="K1545">
        <v>3</v>
      </c>
      <c r="L1545">
        <v>276</v>
      </c>
      <c r="M1545" t="s">
        <v>15</v>
      </c>
      <c r="N1545">
        <f t="shared" si="72"/>
        <v>71.171999999999997</v>
      </c>
      <c r="O1545" t="str">
        <f t="shared" si="73"/>
        <v>March</v>
      </c>
      <c r="P1545" t="str">
        <f t="shared" si="74"/>
        <v>Weekend</v>
      </c>
    </row>
    <row r="1546" spans="1:16" x14ac:dyDescent="0.3">
      <c r="A1546" s="1">
        <v>43185</v>
      </c>
      <c r="B1546">
        <v>5</v>
      </c>
      <c r="C1546">
        <v>9.66</v>
      </c>
      <c r="D1546">
        <v>0.2</v>
      </c>
      <c r="E1546">
        <v>27.6</v>
      </c>
      <c r="F1546">
        <v>15</v>
      </c>
      <c r="G1546">
        <v>4</v>
      </c>
      <c r="H1546">
        <v>5</v>
      </c>
      <c r="I1546">
        <v>3.3</v>
      </c>
      <c r="J1546">
        <v>2018</v>
      </c>
      <c r="K1546">
        <v>3</v>
      </c>
      <c r="L1546">
        <v>276</v>
      </c>
      <c r="M1546" t="s">
        <v>16</v>
      </c>
      <c r="N1546">
        <f t="shared" si="72"/>
        <v>69.760000000000005</v>
      </c>
      <c r="O1546" t="str">
        <f t="shared" si="73"/>
        <v>March</v>
      </c>
      <c r="P1546" t="str">
        <f t="shared" si="74"/>
        <v>Weekday</v>
      </c>
    </row>
    <row r="1547" spans="1:16" x14ac:dyDescent="0.3">
      <c r="A1547" s="1">
        <v>43186</v>
      </c>
      <c r="B1547">
        <v>4.34</v>
      </c>
      <c r="C1547">
        <v>3.33</v>
      </c>
      <c r="D1547">
        <v>5.0999999999999996</v>
      </c>
      <c r="E1547">
        <v>28</v>
      </c>
      <c r="F1547">
        <v>14</v>
      </c>
      <c r="G1547">
        <v>1</v>
      </c>
      <c r="H1547">
        <v>5</v>
      </c>
      <c r="I1547">
        <v>2</v>
      </c>
      <c r="J1547">
        <v>2018</v>
      </c>
      <c r="K1547">
        <v>3</v>
      </c>
      <c r="L1547">
        <v>276</v>
      </c>
      <c r="M1547" t="s">
        <v>17</v>
      </c>
      <c r="N1547">
        <f t="shared" si="72"/>
        <v>62.769999999999996</v>
      </c>
      <c r="O1547" t="str">
        <f t="shared" si="73"/>
        <v>March</v>
      </c>
      <c r="P1547" t="str">
        <f t="shared" si="74"/>
        <v>Weekday</v>
      </c>
    </row>
    <row r="1548" spans="1:16" x14ac:dyDescent="0.3">
      <c r="A1548" s="1">
        <v>43187</v>
      </c>
      <c r="B1548">
        <v>5.5</v>
      </c>
      <c r="C1548">
        <v>1.66</v>
      </c>
      <c r="D1548">
        <v>1</v>
      </c>
      <c r="E1548">
        <v>11.923999999999999</v>
      </c>
      <c r="F1548">
        <v>23</v>
      </c>
      <c r="G1548">
        <v>2</v>
      </c>
      <c r="H1548">
        <v>6</v>
      </c>
      <c r="I1548">
        <v>1.5</v>
      </c>
      <c r="J1548">
        <v>2018</v>
      </c>
      <c r="K1548">
        <v>3</v>
      </c>
      <c r="L1548">
        <v>276</v>
      </c>
      <c r="M1548" t="s">
        <v>18</v>
      </c>
      <c r="N1548">
        <f t="shared" si="72"/>
        <v>52.584000000000003</v>
      </c>
      <c r="O1548" t="str">
        <f t="shared" si="73"/>
        <v>March</v>
      </c>
      <c r="P1548" t="str">
        <f t="shared" si="74"/>
        <v>Weekday</v>
      </c>
    </row>
    <row r="1549" spans="1:16" x14ac:dyDescent="0.3">
      <c r="A1549" s="1">
        <v>43188</v>
      </c>
      <c r="B1549">
        <v>7</v>
      </c>
      <c r="C1549">
        <v>2.33</v>
      </c>
      <c r="D1549">
        <v>3</v>
      </c>
      <c r="E1549">
        <v>28.2</v>
      </c>
      <c r="F1549">
        <v>5</v>
      </c>
      <c r="G1549">
        <v>0</v>
      </c>
      <c r="H1549">
        <v>7</v>
      </c>
      <c r="I1549">
        <v>3.3</v>
      </c>
      <c r="J1549">
        <v>2018</v>
      </c>
      <c r="K1549">
        <v>3</v>
      </c>
      <c r="L1549">
        <v>276</v>
      </c>
      <c r="M1549" t="s">
        <v>12</v>
      </c>
      <c r="N1549">
        <f t="shared" si="72"/>
        <v>55.83</v>
      </c>
      <c r="O1549" t="str">
        <f t="shared" si="73"/>
        <v>March</v>
      </c>
      <c r="P1549" t="str">
        <f t="shared" si="74"/>
        <v>Weekday</v>
      </c>
    </row>
    <row r="1550" spans="1:16" x14ac:dyDescent="0.3">
      <c r="A1550" s="1">
        <v>43189</v>
      </c>
      <c r="B1550">
        <v>5.33</v>
      </c>
      <c r="C1550">
        <v>4.46</v>
      </c>
      <c r="D1550">
        <v>9</v>
      </c>
      <c r="E1550">
        <v>42</v>
      </c>
      <c r="F1550">
        <v>33</v>
      </c>
      <c r="G1550">
        <v>8</v>
      </c>
      <c r="H1550">
        <v>3</v>
      </c>
      <c r="I1550">
        <v>2</v>
      </c>
      <c r="J1550">
        <v>2018</v>
      </c>
      <c r="K1550">
        <v>3</v>
      </c>
      <c r="L1550">
        <v>276</v>
      </c>
      <c r="M1550" t="s">
        <v>13</v>
      </c>
      <c r="N1550">
        <f t="shared" si="72"/>
        <v>106.78999999999999</v>
      </c>
      <c r="O1550" t="str">
        <f t="shared" si="73"/>
        <v>March</v>
      </c>
      <c r="P1550" t="str">
        <f t="shared" si="74"/>
        <v>Weekday</v>
      </c>
    </row>
    <row r="1551" spans="1:16" x14ac:dyDescent="0.3">
      <c r="A1551" s="1">
        <v>43190</v>
      </c>
      <c r="B1551">
        <v>9</v>
      </c>
      <c r="C1551">
        <v>2.99</v>
      </c>
      <c r="D1551">
        <v>2</v>
      </c>
      <c r="E1551">
        <v>50</v>
      </c>
      <c r="F1551">
        <v>8</v>
      </c>
      <c r="G1551">
        <v>0</v>
      </c>
      <c r="H1551">
        <v>3</v>
      </c>
      <c r="I1551">
        <v>4</v>
      </c>
      <c r="J1551">
        <v>2018</v>
      </c>
      <c r="K1551">
        <v>3</v>
      </c>
      <c r="L1551">
        <v>276</v>
      </c>
      <c r="M1551" t="s">
        <v>14</v>
      </c>
      <c r="N1551">
        <f t="shared" si="72"/>
        <v>78.990000000000009</v>
      </c>
      <c r="O1551" t="str">
        <f t="shared" si="73"/>
        <v>March</v>
      </c>
      <c r="P1551" t="str">
        <f t="shared" si="74"/>
        <v>Weekend</v>
      </c>
    </row>
    <row r="1552" spans="1:16" x14ac:dyDescent="0.3">
      <c r="A1552" s="1">
        <v>43191</v>
      </c>
      <c r="B1552">
        <v>6.83</v>
      </c>
      <c r="C1552">
        <v>3.34</v>
      </c>
      <c r="D1552">
        <v>0</v>
      </c>
      <c r="E1552">
        <v>37</v>
      </c>
      <c r="F1552">
        <v>19</v>
      </c>
      <c r="G1552">
        <v>1</v>
      </c>
      <c r="H1552">
        <v>22</v>
      </c>
      <c r="I1552">
        <v>5</v>
      </c>
      <c r="J1552">
        <v>2018</v>
      </c>
      <c r="K1552">
        <v>4</v>
      </c>
      <c r="L1552">
        <v>276</v>
      </c>
      <c r="M1552" t="s">
        <v>15</v>
      </c>
      <c r="N1552">
        <f t="shared" si="72"/>
        <v>94.17</v>
      </c>
      <c r="O1552" t="str">
        <f t="shared" si="73"/>
        <v>April</v>
      </c>
      <c r="P1552" t="str">
        <f t="shared" si="74"/>
        <v>Weekend</v>
      </c>
    </row>
    <row r="1553" spans="1:16" x14ac:dyDescent="0.3">
      <c r="A1553" s="1">
        <v>43192</v>
      </c>
      <c r="B1553">
        <v>5.66</v>
      </c>
      <c r="C1553">
        <v>4.3959999999999999</v>
      </c>
      <c r="D1553">
        <v>6.3</v>
      </c>
      <c r="E1553">
        <v>30</v>
      </c>
      <c r="F1553">
        <v>31</v>
      </c>
      <c r="G1553">
        <v>0</v>
      </c>
      <c r="H1553">
        <v>10</v>
      </c>
      <c r="I1553">
        <v>10</v>
      </c>
      <c r="J1553">
        <v>2018</v>
      </c>
      <c r="K1553">
        <v>4</v>
      </c>
      <c r="L1553">
        <v>276</v>
      </c>
      <c r="M1553" t="s">
        <v>16</v>
      </c>
      <c r="N1553">
        <f t="shared" si="72"/>
        <v>97.355999999999995</v>
      </c>
      <c r="O1553" t="str">
        <f t="shared" si="73"/>
        <v>April</v>
      </c>
      <c r="P1553" t="str">
        <f t="shared" si="74"/>
        <v>Weekday</v>
      </c>
    </row>
    <row r="1554" spans="1:16" x14ac:dyDescent="0.3">
      <c r="A1554" s="1">
        <v>43193</v>
      </c>
      <c r="B1554">
        <v>1</v>
      </c>
      <c r="C1554">
        <v>2.5289999999999999</v>
      </c>
      <c r="D1554">
        <v>2</v>
      </c>
      <c r="E1554">
        <v>38</v>
      </c>
      <c r="F1554">
        <v>10</v>
      </c>
      <c r="G1554">
        <v>6</v>
      </c>
      <c r="H1554">
        <v>5</v>
      </c>
      <c r="I1554">
        <v>3.5</v>
      </c>
      <c r="J1554">
        <v>2018</v>
      </c>
      <c r="K1554">
        <v>4</v>
      </c>
      <c r="L1554">
        <v>276</v>
      </c>
      <c r="M1554" t="s">
        <v>17</v>
      </c>
      <c r="N1554">
        <f t="shared" si="72"/>
        <v>68.028999999999996</v>
      </c>
      <c r="O1554" t="str">
        <f t="shared" si="73"/>
        <v>April</v>
      </c>
      <c r="P1554" t="str">
        <f t="shared" si="74"/>
        <v>Weekday</v>
      </c>
    </row>
    <row r="1555" spans="1:16" x14ac:dyDescent="0.3">
      <c r="A1555" s="1">
        <v>43194</v>
      </c>
      <c r="B1555">
        <v>6.01</v>
      </c>
      <c r="C1555">
        <v>5.2</v>
      </c>
      <c r="D1555">
        <v>3</v>
      </c>
      <c r="E1555">
        <v>29</v>
      </c>
      <c r="F1555">
        <v>9</v>
      </c>
      <c r="G1555">
        <v>0</v>
      </c>
      <c r="H1555">
        <v>1</v>
      </c>
      <c r="I1555">
        <v>8</v>
      </c>
      <c r="J1555">
        <v>2018</v>
      </c>
      <c r="K1555">
        <v>4</v>
      </c>
      <c r="L1555">
        <v>276</v>
      </c>
      <c r="M1555" t="s">
        <v>18</v>
      </c>
      <c r="N1555">
        <f t="shared" si="72"/>
        <v>61.21</v>
      </c>
      <c r="O1555" t="str">
        <f t="shared" si="73"/>
        <v>April</v>
      </c>
      <c r="P1555" t="str">
        <f t="shared" si="74"/>
        <v>Weekday</v>
      </c>
    </row>
    <row r="1556" spans="1:16" x14ac:dyDescent="0.3">
      <c r="A1556" s="1">
        <v>43195</v>
      </c>
      <c r="B1556">
        <v>6.33</v>
      </c>
      <c r="C1556">
        <v>3.67</v>
      </c>
      <c r="D1556">
        <v>5.4</v>
      </c>
      <c r="E1556">
        <v>39</v>
      </c>
      <c r="F1556">
        <v>16</v>
      </c>
      <c r="G1556">
        <v>1</v>
      </c>
      <c r="H1556">
        <v>16</v>
      </c>
      <c r="I1556">
        <v>3</v>
      </c>
      <c r="J1556">
        <v>2018</v>
      </c>
      <c r="K1556">
        <v>4</v>
      </c>
      <c r="L1556">
        <v>276</v>
      </c>
      <c r="M1556" t="s">
        <v>12</v>
      </c>
      <c r="N1556">
        <f t="shared" si="72"/>
        <v>90.4</v>
      </c>
      <c r="O1556" t="str">
        <f t="shared" si="73"/>
        <v>April</v>
      </c>
      <c r="P1556" t="str">
        <f t="shared" si="74"/>
        <v>Weekday</v>
      </c>
    </row>
    <row r="1557" spans="1:16" x14ac:dyDescent="0.3">
      <c r="A1557" s="1">
        <v>43196</v>
      </c>
      <c r="B1557">
        <v>3.67</v>
      </c>
      <c r="C1557">
        <v>3</v>
      </c>
      <c r="D1557">
        <v>4.2</v>
      </c>
      <c r="E1557">
        <v>33.524999999999999</v>
      </c>
      <c r="F1557">
        <v>13</v>
      </c>
      <c r="G1557">
        <v>0</v>
      </c>
      <c r="H1557">
        <v>23</v>
      </c>
      <c r="I1557">
        <v>5</v>
      </c>
      <c r="J1557">
        <v>2018</v>
      </c>
      <c r="K1557">
        <v>4</v>
      </c>
      <c r="L1557">
        <v>276</v>
      </c>
      <c r="M1557" t="s">
        <v>13</v>
      </c>
      <c r="N1557">
        <f t="shared" si="72"/>
        <v>85.394999999999996</v>
      </c>
      <c r="O1557" t="str">
        <f t="shared" si="73"/>
        <v>April</v>
      </c>
      <c r="P1557" t="str">
        <f t="shared" si="74"/>
        <v>Weekday</v>
      </c>
    </row>
    <row r="1558" spans="1:16" x14ac:dyDescent="0.3">
      <c r="A1558" s="1">
        <v>43197</v>
      </c>
      <c r="B1558">
        <v>16.18</v>
      </c>
      <c r="C1558">
        <v>4.5060000000000002</v>
      </c>
      <c r="D1558">
        <v>2</v>
      </c>
      <c r="E1558">
        <v>40</v>
      </c>
      <c r="F1558">
        <v>4</v>
      </c>
      <c r="G1558">
        <v>0</v>
      </c>
      <c r="H1558">
        <v>5</v>
      </c>
      <c r="I1558">
        <v>7</v>
      </c>
      <c r="J1558">
        <v>2018</v>
      </c>
      <c r="K1558">
        <v>4</v>
      </c>
      <c r="L1558">
        <v>276</v>
      </c>
      <c r="M1558" t="s">
        <v>14</v>
      </c>
      <c r="N1558">
        <f t="shared" si="72"/>
        <v>78.686000000000007</v>
      </c>
      <c r="O1558" t="str">
        <f t="shared" si="73"/>
        <v>April</v>
      </c>
      <c r="P1558" t="str">
        <f t="shared" si="74"/>
        <v>Weekend</v>
      </c>
    </row>
    <row r="1559" spans="1:16" x14ac:dyDescent="0.3">
      <c r="A1559" s="1">
        <v>43198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2018</v>
      </c>
      <c r="K1559">
        <v>4</v>
      </c>
      <c r="L1559">
        <v>276</v>
      </c>
      <c r="M1559" t="s">
        <v>15</v>
      </c>
      <c r="N1559">
        <f t="shared" si="72"/>
        <v>0</v>
      </c>
      <c r="O1559" t="str">
        <f t="shared" si="73"/>
        <v>April</v>
      </c>
      <c r="P1559" t="str">
        <f t="shared" si="74"/>
        <v>Weekend</v>
      </c>
    </row>
    <row r="1560" spans="1:16" x14ac:dyDescent="0.3">
      <c r="A1560" s="1">
        <v>43199</v>
      </c>
      <c r="B1560">
        <v>5</v>
      </c>
      <c r="C1560">
        <v>3</v>
      </c>
      <c r="D1560">
        <v>6</v>
      </c>
      <c r="E1560">
        <v>25</v>
      </c>
      <c r="F1560">
        <v>6</v>
      </c>
      <c r="G1560">
        <v>0</v>
      </c>
      <c r="H1560">
        <v>10</v>
      </c>
      <c r="I1560">
        <v>6</v>
      </c>
      <c r="J1560">
        <v>2018</v>
      </c>
      <c r="K1560">
        <v>4</v>
      </c>
      <c r="L1560">
        <v>276</v>
      </c>
      <c r="M1560" t="s">
        <v>16</v>
      </c>
      <c r="N1560">
        <f t="shared" si="72"/>
        <v>61</v>
      </c>
      <c r="O1560" t="str">
        <f t="shared" si="73"/>
        <v>April</v>
      </c>
      <c r="P1560" t="str">
        <f t="shared" si="74"/>
        <v>Weekday</v>
      </c>
    </row>
    <row r="1561" spans="1:16" x14ac:dyDescent="0.3">
      <c r="A1561" s="1">
        <v>43200</v>
      </c>
      <c r="B1561">
        <v>2</v>
      </c>
      <c r="C1561">
        <v>3.0670000000000002</v>
      </c>
      <c r="D1561">
        <v>2</v>
      </c>
      <c r="E1561">
        <v>38.299999999999997</v>
      </c>
      <c r="F1561">
        <v>18</v>
      </c>
      <c r="G1561">
        <v>3</v>
      </c>
      <c r="H1561">
        <v>7</v>
      </c>
      <c r="I1561">
        <v>10</v>
      </c>
      <c r="J1561">
        <v>2018</v>
      </c>
      <c r="K1561">
        <v>4</v>
      </c>
      <c r="L1561">
        <v>276</v>
      </c>
      <c r="M1561" t="s">
        <v>17</v>
      </c>
      <c r="N1561">
        <f t="shared" si="72"/>
        <v>83.36699999999999</v>
      </c>
      <c r="O1561" t="str">
        <f t="shared" si="73"/>
        <v>April</v>
      </c>
      <c r="P1561" t="str">
        <f t="shared" si="74"/>
        <v>Weekday</v>
      </c>
    </row>
    <row r="1562" spans="1:16" x14ac:dyDescent="0.3">
      <c r="A1562" s="1">
        <v>43201</v>
      </c>
      <c r="B1562">
        <v>6.67</v>
      </c>
      <c r="C1562">
        <v>3.01</v>
      </c>
      <c r="D1562">
        <v>2</v>
      </c>
      <c r="E1562">
        <v>28</v>
      </c>
      <c r="F1562">
        <v>12</v>
      </c>
      <c r="G1562">
        <v>0</v>
      </c>
      <c r="H1562">
        <v>3</v>
      </c>
      <c r="I1562">
        <v>11</v>
      </c>
      <c r="J1562">
        <v>2018</v>
      </c>
      <c r="K1562">
        <v>4</v>
      </c>
      <c r="L1562">
        <v>276</v>
      </c>
      <c r="M1562" t="s">
        <v>18</v>
      </c>
      <c r="N1562">
        <f t="shared" si="72"/>
        <v>65.680000000000007</v>
      </c>
      <c r="O1562" t="str">
        <f t="shared" si="73"/>
        <v>April</v>
      </c>
      <c r="P1562" t="str">
        <f t="shared" si="74"/>
        <v>Weekday</v>
      </c>
    </row>
    <row r="1563" spans="1:16" x14ac:dyDescent="0.3">
      <c r="A1563" s="1">
        <v>43202</v>
      </c>
      <c r="B1563">
        <v>5</v>
      </c>
      <c r="C1563">
        <v>4.7590000000000003</v>
      </c>
      <c r="D1563">
        <v>3.5</v>
      </c>
      <c r="E1563">
        <v>17.399999999999999</v>
      </c>
      <c r="F1563">
        <v>9</v>
      </c>
      <c r="G1563">
        <v>0</v>
      </c>
      <c r="H1563">
        <v>6</v>
      </c>
      <c r="I1563">
        <v>4.5</v>
      </c>
      <c r="J1563">
        <v>2018</v>
      </c>
      <c r="K1563">
        <v>4</v>
      </c>
      <c r="L1563">
        <v>276</v>
      </c>
      <c r="M1563" t="s">
        <v>12</v>
      </c>
      <c r="N1563">
        <f t="shared" si="72"/>
        <v>50.158999999999999</v>
      </c>
      <c r="O1563" t="str">
        <f t="shared" si="73"/>
        <v>April</v>
      </c>
      <c r="P1563" t="str">
        <f t="shared" si="74"/>
        <v>Weekday</v>
      </c>
    </row>
    <row r="1564" spans="1:16" x14ac:dyDescent="0.3">
      <c r="A1564" s="1">
        <v>43203</v>
      </c>
      <c r="B1564">
        <v>4.5</v>
      </c>
      <c r="C1564">
        <v>2.0329999999999999</v>
      </c>
      <c r="D1564">
        <v>5</v>
      </c>
      <c r="E1564">
        <v>23</v>
      </c>
      <c r="F1564">
        <v>12</v>
      </c>
      <c r="G1564">
        <v>0</v>
      </c>
      <c r="H1564">
        <v>23</v>
      </c>
      <c r="I1564">
        <v>4</v>
      </c>
      <c r="J1564">
        <v>2018</v>
      </c>
      <c r="K1564">
        <v>4</v>
      </c>
      <c r="L1564">
        <v>276</v>
      </c>
      <c r="M1564" t="s">
        <v>13</v>
      </c>
      <c r="N1564">
        <f t="shared" si="72"/>
        <v>73.533000000000001</v>
      </c>
      <c r="O1564" t="str">
        <f t="shared" si="73"/>
        <v>April</v>
      </c>
      <c r="P1564" t="str">
        <f t="shared" si="74"/>
        <v>Weekday</v>
      </c>
    </row>
    <row r="1565" spans="1:16" x14ac:dyDescent="0.3">
      <c r="A1565" s="1">
        <v>43204</v>
      </c>
      <c r="B1565">
        <v>8</v>
      </c>
      <c r="C1565">
        <v>3.68</v>
      </c>
      <c r="D1565">
        <v>2</v>
      </c>
      <c r="E1565">
        <v>24</v>
      </c>
      <c r="F1565">
        <v>2</v>
      </c>
      <c r="G1565">
        <v>0</v>
      </c>
      <c r="H1565">
        <v>3</v>
      </c>
      <c r="I1565">
        <v>12</v>
      </c>
      <c r="J1565">
        <v>2018</v>
      </c>
      <c r="K1565">
        <v>4</v>
      </c>
      <c r="L1565">
        <v>276</v>
      </c>
      <c r="M1565" t="s">
        <v>14</v>
      </c>
      <c r="N1565">
        <f t="shared" si="72"/>
        <v>54.68</v>
      </c>
      <c r="O1565" t="str">
        <f t="shared" si="73"/>
        <v>April</v>
      </c>
      <c r="P1565" t="str">
        <f t="shared" si="74"/>
        <v>Weekend</v>
      </c>
    </row>
    <row r="1566" spans="1:16" x14ac:dyDescent="0.3">
      <c r="A1566" s="1">
        <v>43205</v>
      </c>
      <c r="B1566">
        <v>7.66</v>
      </c>
      <c r="C1566">
        <v>2.7589999999999999</v>
      </c>
      <c r="D1566">
        <v>3</v>
      </c>
      <c r="E1566">
        <v>20</v>
      </c>
      <c r="F1566">
        <v>5</v>
      </c>
      <c r="G1566">
        <v>0</v>
      </c>
      <c r="H1566">
        <v>0</v>
      </c>
      <c r="I1566">
        <v>6</v>
      </c>
      <c r="J1566">
        <v>2018</v>
      </c>
      <c r="K1566">
        <v>4</v>
      </c>
      <c r="L1566">
        <v>276</v>
      </c>
      <c r="M1566" t="s">
        <v>15</v>
      </c>
      <c r="N1566">
        <f t="shared" si="72"/>
        <v>44.418999999999997</v>
      </c>
      <c r="O1566" t="str">
        <f t="shared" si="73"/>
        <v>April</v>
      </c>
      <c r="P1566" t="str">
        <f t="shared" si="74"/>
        <v>Weekend</v>
      </c>
    </row>
    <row r="1567" spans="1:16" x14ac:dyDescent="0.3">
      <c r="A1567" s="1">
        <v>43206</v>
      </c>
      <c r="B1567">
        <v>2</v>
      </c>
      <c r="C1567">
        <v>6.02</v>
      </c>
      <c r="D1567">
        <v>0.25</v>
      </c>
      <c r="E1567">
        <v>40.5</v>
      </c>
      <c r="F1567">
        <v>9</v>
      </c>
      <c r="G1567">
        <v>0</v>
      </c>
      <c r="H1567">
        <v>4</v>
      </c>
      <c r="I1567">
        <v>3</v>
      </c>
      <c r="J1567">
        <v>2018</v>
      </c>
      <c r="K1567">
        <v>4</v>
      </c>
      <c r="L1567">
        <v>276</v>
      </c>
      <c r="M1567" t="s">
        <v>16</v>
      </c>
      <c r="N1567">
        <f t="shared" si="72"/>
        <v>64.77</v>
      </c>
      <c r="O1567" t="str">
        <f t="shared" si="73"/>
        <v>April</v>
      </c>
      <c r="P1567" t="str">
        <f t="shared" si="74"/>
        <v>Weekday</v>
      </c>
    </row>
    <row r="1568" spans="1:16" x14ac:dyDescent="0.3">
      <c r="A1568" s="1">
        <v>43207</v>
      </c>
      <c r="B1568">
        <v>3.34</v>
      </c>
      <c r="C1568">
        <v>1.4059999999999999</v>
      </c>
      <c r="D1568">
        <v>0.15</v>
      </c>
      <c r="E1568">
        <v>16</v>
      </c>
      <c r="F1568">
        <v>10</v>
      </c>
      <c r="G1568">
        <v>0</v>
      </c>
      <c r="H1568">
        <v>6</v>
      </c>
      <c r="I1568">
        <v>6</v>
      </c>
      <c r="J1568">
        <v>2018</v>
      </c>
      <c r="K1568">
        <v>4</v>
      </c>
      <c r="L1568">
        <v>276</v>
      </c>
      <c r="M1568" t="s">
        <v>17</v>
      </c>
      <c r="N1568">
        <f t="shared" si="72"/>
        <v>42.896000000000001</v>
      </c>
      <c r="O1568" t="str">
        <f t="shared" si="73"/>
        <v>April</v>
      </c>
      <c r="P1568" t="str">
        <f t="shared" si="74"/>
        <v>Weekday</v>
      </c>
    </row>
    <row r="1569" spans="1:16" x14ac:dyDescent="0.3">
      <c r="A1569" s="1">
        <v>43208</v>
      </c>
      <c r="B1569">
        <v>5</v>
      </c>
      <c r="C1569">
        <v>0.54</v>
      </c>
      <c r="D1569">
        <v>3.25</v>
      </c>
      <c r="E1569">
        <v>25.25</v>
      </c>
      <c r="F1569">
        <v>5</v>
      </c>
      <c r="G1569">
        <v>0</v>
      </c>
      <c r="H1569">
        <v>7</v>
      </c>
      <c r="I1569">
        <v>1</v>
      </c>
      <c r="J1569">
        <v>2018</v>
      </c>
      <c r="K1569">
        <v>4</v>
      </c>
      <c r="L1569">
        <v>276</v>
      </c>
      <c r="M1569" t="s">
        <v>18</v>
      </c>
      <c r="N1569">
        <f t="shared" si="72"/>
        <v>47.04</v>
      </c>
      <c r="O1569" t="str">
        <f t="shared" si="73"/>
        <v>April</v>
      </c>
      <c r="P1569" t="str">
        <f t="shared" si="74"/>
        <v>Weekday</v>
      </c>
    </row>
    <row r="1570" spans="1:16" x14ac:dyDescent="0.3">
      <c r="A1570" s="1">
        <v>43209</v>
      </c>
      <c r="B1570">
        <v>5</v>
      </c>
      <c r="C1570">
        <v>5.67</v>
      </c>
      <c r="D1570">
        <v>1</v>
      </c>
      <c r="E1570">
        <v>31.375</v>
      </c>
      <c r="F1570">
        <v>3</v>
      </c>
      <c r="G1570">
        <v>0</v>
      </c>
      <c r="H1570">
        <v>1</v>
      </c>
      <c r="I1570">
        <v>7</v>
      </c>
      <c r="J1570">
        <v>2018</v>
      </c>
      <c r="K1570">
        <v>4</v>
      </c>
      <c r="L1570">
        <v>276</v>
      </c>
      <c r="M1570" t="s">
        <v>12</v>
      </c>
      <c r="N1570">
        <f t="shared" si="72"/>
        <v>54.045000000000002</v>
      </c>
      <c r="O1570" t="str">
        <f t="shared" si="73"/>
        <v>April</v>
      </c>
      <c r="P1570" t="str">
        <f t="shared" si="74"/>
        <v>Weekday</v>
      </c>
    </row>
    <row r="1571" spans="1:16" x14ac:dyDescent="0.3">
      <c r="A1571" s="1">
        <v>43210</v>
      </c>
      <c r="B1571">
        <v>5</v>
      </c>
      <c r="C1571">
        <v>4.5060000000000002</v>
      </c>
      <c r="D1571">
        <v>0</v>
      </c>
      <c r="E1571">
        <v>15</v>
      </c>
      <c r="F1571">
        <v>10</v>
      </c>
      <c r="G1571">
        <v>0</v>
      </c>
      <c r="H1571">
        <v>6</v>
      </c>
      <c r="I1571">
        <v>9</v>
      </c>
      <c r="J1571">
        <v>2018</v>
      </c>
      <c r="K1571">
        <v>4</v>
      </c>
      <c r="L1571">
        <v>276</v>
      </c>
      <c r="M1571" t="s">
        <v>13</v>
      </c>
      <c r="N1571">
        <f t="shared" si="72"/>
        <v>49.506</v>
      </c>
      <c r="O1571" t="str">
        <f t="shared" si="73"/>
        <v>April</v>
      </c>
      <c r="P1571" t="str">
        <f t="shared" si="74"/>
        <v>Weekday</v>
      </c>
    </row>
    <row r="1572" spans="1:16" x14ac:dyDescent="0.3">
      <c r="A1572" s="1">
        <v>43211</v>
      </c>
      <c r="B1572">
        <v>3.5</v>
      </c>
      <c r="C1572">
        <v>3.4390000000000001</v>
      </c>
      <c r="D1572">
        <v>2</v>
      </c>
      <c r="E1572">
        <v>40.4</v>
      </c>
      <c r="F1572">
        <v>7</v>
      </c>
      <c r="G1572">
        <v>0</v>
      </c>
      <c r="H1572">
        <v>4</v>
      </c>
      <c r="I1572">
        <v>6.2</v>
      </c>
      <c r="J1572">
        <v>2018</v>
      </c>
      <c r="K1572">
        <v>4</v>
      </c>
      <c r="L1572">
        <v>276</v>
      </c>
      <c r="M1572" t="s">
        <v>14</v>
      </c>
      <c r="N1572">
        <f t="shared" si="72"/>
        <v>66.539000000000001</v>
      </c>
      <c r="O1572" t="str">
        <f t="shared" si="73"/>
        <v>April</v>
      </c>
      <c r="P1572" t="str">
        <f t="shared" si="74"/>
        <v>Weekend</v>
      </c>
    </row>
    <row r="1573" spans="1:16" x14ac:dyDescent="0.3">
      <c r="A1573" s="1">
        <v>43212</v>
      </c>
      <c r="B1573">
        <v>6</v>
      </c>
      <c r="C1573">
        <v>5.09</v>
      </c>
      <c r="D1573">
        <v>3.5</v>
      </c>
      <c r="E1573">
        <v>42.5</v>
      </c>
      <c r="F1573">
        <v>7</v>
      </c>
      <c r="G1573">
        <v>0</v>
      </c>
      <c r="H1573">
        <v>0</v>
      </c>
      <c r="I1573">
        <v>6.5</v>
      </c>
      <c r="J1573">
        <v>2018</v>
      </c>
      <c r="K1573">
        <v>4</v>
      </c>
      <c r="L1573">
        <v>276</v>
      </c>
      <c r="M1573" t="s">
        <v>15</v>
      </c>
      <c r="N1573">
        <f t="shared" si="72"/>
        <v>70.59</v>
      </c>
      <c r="O1573" t="str">
        <f t="shared" si="73"/>
        <v>April</v>
      </c>
      <c r="P1573" t="str">
        <f t="shared" si="74"/>
        <v>Weekend</v>
      </c>
    </row>
    <row r="1574" spans="1:16" x14ac:dyDescent="0.3">
      <c r="A1574" s="1">
        <v>43213</v>
      </c>
      <c r="B1574">
        <v>7</v>
      </c>
      <c r="C1574">
        <v>0.69299999999999995</v>
      </c>
      <c r="D1574">
        <v>1</v>
      </c>
      <c r="E1574">
        <v>15.561999999999999</v>
      </c>
      <c r="F1574">
        <v>7</v>
      </c>
      <c r="G1574">
        <v>0</v>
      </c>
      <c r="H1574">
        <v>2</v>
      </c>
      <c r="I1574">
        <v>9</v>
      </c>
      <c r="J1574">
        <v>2018</v>
      </c>
      <c r="K1574">
        <v>4</v>
      </c>
      <c r="L1574">
        <v>276</v>
      </c>
      <c r="M1574" t="s">
        <v>16</v>
      </c>
      <c r="N1574">
        <f t="shared" si="72"/>
        <v>42.254999999999995</v>
      </c>
      <c r="O1574" t="str">
        <f t="shared" si="73"/>
        <v>April</v>
      </c>
      <c r="P1574" t="str">
        <f t="shared" si="74"/>
        <v>Weekday</v>
      </c>
    </row>
    <row r="1575" spans="1:16" x14ac:dyDescent="0.3">
      <c r="A1575" s="1">
        <v>43214</v>
      </c>
      <c r="B1575">
        <v>6</v>
      </c>
      <c r="C1575">
        <v>4.4619999999999997</v>
      </c>
      <c r="D1575">
        <v>6</v>
      </c>
      <c r="E1575">
        <v>20</v>
      </c>
      <c r="F1575">
        <v>9</v>
      </c>
      <c r="G1575">
        <v>0</v>
      </c>
      <c r="H1575">
        <v>1</v>
      </c>
      <c r="I1575">
        <v>12</v>
      </c>
      <c r="J1575">
        <v>2018</v>
      </c>
      <c r="K1575">
        <v>4</v>
      </c>
      <c r="L1575">
        <v>276</v>
      </c>
      <c r="M1575" t="s">
        <v>17</v>
      </c>
      <c r="N1575">
        <f t="shared" si="72"/>
        <v>58.462000000000003</v>
      </c>
      <c r="O1575" t="str">
        <f t="shared" si="73"/>
        <v>April</v>
      </c>
      <c r="P1575" t="str">
        <f t="shared" si="74"/>
        <v>Weekday</v>
      </c>
    </row>
    <row r="1576" spans="1:16" x14ac:dyDescent="0.3">
      <c r="A1576" s="1">
        <v>43215</v>
      </c>
      <c r="B1576">
        <v>9</v>
      </c>
      <c r="C1576">
        <v>7.66</v>
      </c>
      <c r="D1576">
        <v>5</v>
      </c>
      <c r="E1576">
        <v>18.100000000000001</v>
      </c>
      <c r="F1576">
        <v>8</v>
      </c>
      <c r="G1576">
        <v>2</v>
      </c>
      <c r="H1576">
        <v>30</v>
      </c>
      <c r="I1576">
        <v>9</v>
      </c>
      <c r="J1576">
        <v>2018</v>
      </c>
      <c r="K1576">
        <v>4</v>
      </c>
      <c r="L1576">
        <v>276</v>
      </c>
      <c r="M1576" t="s">
        <v>18</v>
      </c>
      <c r="N1576">
        <f t="shared" si="72"/>
        <v>88.76</v>
      </c>
      <c r="O1576" t="str">
        <f t="shared" si="73"/>
        <v>April</v>
      </c>
      <c r="P1576" t="str">
        <f t="shared" si="74"/>
        <v>Weekday</v>
      </c>
    </row>
    <row r="1577" spans="1:16" x14ac:dyDescent="0.3">
      <c r="A1577" s="1">
        <v>43216</v>
      </c>
      <c r="B1577">
        <v>5.33</v>
      </c>
      <c r="C1577">
        <v>1.099</v>
      </c>
      <c r="D1577">
        <v>2</v>
      </c>
      <c r="E1577">
        <v>18</v>
      </c>
      <c r="F1577">
        <v>8</v>
      </c>
      <c r="G1577">
        <v>0</v>
      </c>
      <c r="H1577">
        <v>7</v>
      </c>
      <c r="I1577">
        <v>5</v>
      </c>
      <c r="J1577">
        <v>2018</v>
      </c>
      <c r="K1577">
        <v>4</v>
      </c>
      <c r="L1577">
        <v>276</v>
      </c>
      <c r="M1577" t="s">
        <v>12</v>
      </c>
      <c r="N1577">
        <f t="shared" si="72"/>
        <v>46.429000000000002</v>
      </c>
      <c r="O1577" t="str">
        <f t="shared" si="73"/>
        <v>April</v>
      </c>
      <c r="P1577" t="str">
        <f t="shared" si="74"/>
        <v>Weekday</v>
      </c>
    </row>
    <row r="1578" spans="1:16" x14ac:dyDescent="0.3">
      <c r="A1578" s="1">
        <v>43217</v>
      </c>
      <c r="B1578">
        <v>6.68</v>
      </c>
      <c r="C1578">
        <v>3.5289999999999999</v>
      </c>
      <c r="D1578">
        <v>3</v>
      </c>
      <c r="E1578">
        <v>43</v>
      </c>
      <c r="F1578">
        <v>12</v>
      </c>
      <c r="G1578">
        <v>0</v>
      </c>
      <c r="H1578">
        <v>6</v>
      </c>
      <c r="I1578">
        <v>4</v>
      </c>
      <c r="J1578">
        <v>2018</v>
      </c>
      <c r="K1578">
        <v>4</v>
      </c>
      <c r="L1578">
        <v>276</v>
      </c>
      <c r="M1578" t="s">
        <v>13</v>
      </c>
      <c r="N1578">
        <f t="shared" si="72"/>
        <v>78.209000000000003</v>
      </c>
      <c r="O1578" t="str">
        <f t="shared" si="73"/>
        <v>April</v>
      </c>
      <c r="P1578" t="str">
        <f t="shared" si="74"/>
        <v>Weekday</v>
      </c>
    </row>
    <row r="1579" spans="1:16" x14ac:dyDescent="0.3">
      <c r="A1579" s="1">
        <v>43218</v>
      </c>
      <c r="B1579">
        <v>9.33</v>
      </c>
      <c r="C1579">
        <v>2</v>
      </c>
      <c r="D1579">
        <v>2.0499999999999998</v>
      </c>
      <c r="E1579">
        <v>27.25</v>
      </c>
      <c r="F1579">
        <v>11</v>
      </c>
      <c r="G1579">
        <v>1</v>
      </c>
      <c r="H1579">
        <v>6</v>
      </c>
      <c r="I1579">
        <v>7</v>
      </c>
      <c r="J1579">
        <v>2018</v>
      </c>
      <c r="K1579">
        <v>4</v>
      </c>
      <c r="L1579">
        <v>276</v>
      </c>
      <c r="M1579" t="s">
        <v>14</v>
      </c>
      <c r="N1579">
        <f t="shared" si="72"/>
        <v>65.63</v>
      </c>
      <c r="O1579" t="str">
        <f t="shared" si="73"/>
        <v>April</v>
      </c>
      <c r="P1579" t="str">
        <f t="shared" si="74"/>
        <v>Weekend</v>
      </c>
    </row>
    <row r="1580" spans="1:16" x14ac:dyDescent="0.3">
      <c r="A1580" s="1">
        <v>43219</v>
      </c>
      <c r="B1580">
        <v>7.33</v>
      </c>
      <c r="C1580">
        <v>6</v>
      </c>
      <c r="D1580">
        <v>6</v>
      </c>
      <c r="E1580">
        <v>14</v>
      </c>
      <c r="F1580">
        <v>5</v>
      </c>
      <c r="G1580">
        <v>0</v>
      </c>
      <c r="H1580">
        <v>14</v>
      </c>
      <c r="I1580">
        <v>10.4</v>
      </c>
      <c r="J1580">
        <v>2018</v>
      </c>
      <c r="K1580">
        <v>4</v>
      </c>
      <c r="L1580">
        <v>276</v>
      </c>
      <c r="M1580" t="s">
        <v>15</v>
      </c>
      <c r="N1580">
        <f t="shared" si="72"/>
        <v>62.73</v>
      </c>
      <c r="O1580" t="str">
        <f t="shared" si="73"/>
        <v>April</v>
      </c>
      <c r="P1580" t="str">
        <f t="shared" si="74"/>
        <v>Weekend</v>
      </c>
    </row>
    <row r="1581" spans="1:16" x14ac:dyDescent="0.3">
      <c r="A1581" s="1">
        <v>43220</v>
      </c>
      <c r="B1581">
        <v>5</v>
      </c>
      <c r="C1581">
        <v>6.66</v>
      </c>
      <c r="D1581">
        <v>3</v>
      </c>
      <c r="E1581">
        <v>14.125</v>
      </c>
      <c r="F1581">
        <v>12</v>
      </c>
      <c r="G1581">
        <v>0</v>
      </c>
      <c r="H1581">
        <v>1</v>
      </c>
      <c r="I1581">
        <v>7</v>
      </c>
      <c r="J1581">
        <v>2018</v>
      </c>
      <c r="K1581">
        <v>4</v>
      </c>
      <c r="L1581">
        <v>276</v>
      </c>
      <c r="M1581" t="s">
        <v>16</v>
      </c>
      <c r="N1581">
        <f t="shared" si="72"/>
        <v>48.784999999999997</v>
      </c>
      <c r="O1581" t="str">
        <f t="shared" si="73"/>
        <v>April</v>
      </c>
      <c r="P1581" t="str">
        <f t="shared" si="74"/>
        <v>Weekday</v>
      </c>
    </row>
    <row r="1582" spans="1:16" x14ac:dyDescent="0.3">
      <c r="A1582" s="1">
        <v>43221</v>
      </c>
      <c r="B1582">
        <v>2.34</v>
      </c>
      <c r="C1582">
        <v>0</v>
      </c>
      <c r="D1582">
        <v>1</v>
      </c>
      <c r="E1582">
        <v>6.2</v>
      </c>
      <c r="F1582">
        <v>0</v>
      </c>
      <c r="G1582">
        <v>0</v>
      </c>
      <c r="H1582">
        <v>1</v>
      </c>
      <c r="I1582">
        <v>8</v>
      </c>
      <c r="J1582">
        <v>2018</v>
      </c>
      <c r="K1582">
        <v>5</v>
      </c>
      <c r="L1582">
        <v>276</v>
      </c>
      <c r="M1582" t="s">
        <v>17</v>
      </c>
      <c r="N1582">
        <f t="shared" si="72"/>
        <v>18.54</v>
      </c>
      <c r="O1582" t="str">
        <f t="shared" si="73"/>
        <v>May</v>
      </c>
      <c r="P1582" t="str">
        <f t="shared" si="74"/>
        <v>Weekday</v>
      </c>
    </row>
    <row r="1583" spans="1:16" x14ac:dyDescent="0.3">
      <c r="A1583" s="1">
        <v>43222</v>
      </c>
      <c r="B1583">
        <v>6</v>
      </c>
      <c r="C1583">
        <v>3.5259999999999998</v>
      </c>
      <c r="D1583">
        <v>2</v>
      </c>
      <c r="E1583">
        <v>38.200000000000003</v>
      </c>
      <c r="F1583">
        <v>7</v>
      </c>
      <c r="G1583">
        <v>0</v>
      </c>
      <c r="H1583">
        <v>3</v>
      </c>
      <c r="I1583">
        <v>9</v>
      </c>
      <c r="J1583">
        <v>2018</v>
      </c>
      <c r="K1583">
        <v>5</v>
      </c>
      <c r="L1583">
        <v>276</v>
      </c>
      <c r="M1583" t="s">
        <v>18</v>
      </c>
      <c r="N1583">
        <f t="shared" si="72"/>
        <v>68.725999999999999</v>
      </c>
      <c r="O1583" t="str">
        <f t="shared" si="73"/>
        <v>May</v>
      </c>
      <c r="P1583" t="str">
        <f t="shared" si="74"/>
        <v>Weekday</v>
      </c>
    </row>
    <row r="1584" spans="1:16" x14ac:dyDescent="0.3">
      <c r="A1584" s="1">
        <v>43223</v>
      </c>
      <c r="B1584">
        <v>2.33</v>
      </c>
      <c r="C1584">
        <v>1.7789999999999999</v>
      </c>
      <c r="D1584">
        <v>2</v>
      </c>
      <c r="E1584">
        <v>27.262</v>
      </c>
      <c r="F1584">
        <v>10</v>
      </c>
      <c r="G1584">
        <v>0</v>
      </c>
      <c r="H1584">
        <v>16</v>
      </c>
      <c r="I1584">
        <v>10</v>
      </c>
      <c r="J1584">
        <v>2018</v>
      </c>
      <c r="K1584">
        <v>5</v>
      </c>
      <c r="L1584">
        <v>276</v>
      </c>
      <c r="M1584" t="s">
        <v>12</v>
      </c>
      <c r="N1584">
        <f t="shared" si="72"/>
        <v>69.371000000000009</v>
      </c>
      <c r="O1584" t="str">
        <f t="shared" si="73"/>
        <v>May</v>
      </c>
      <c r="P1584" t="str">
        <f t="shared" si="74"/>
        <v>Weekday</v>
      </c>
    </row>
    <row r="1585" spans="1:16" x14ac:dyDescent="0.3">
      <c r="A1585" s="1">
        <v>43224</v>
      </c>
      <c r="B1585">
        <v>1</v>
      </c>
      <c r="C1585">
        <v>2.93</v>
      </c>
      <c r="D1585">
        <v>5</v>
      </c>
      <c r="E1585">
        <v>8.75</v>
      </c>
      <c r="F1585">
        <v>6</v>
      </c>
      <c r="G1585">
        <v>0</v>
      </c>
      <c r="H1585">
        <v>2</v>
      </c>
      <c r="I1585">
        <v>10.5</v>
      </c>
      <c r="J1585">
        <v>2018</v>
      </c>
      <c r="K1585">
        <v>5</v>
      </c>
      <c r="L1585">
        <v>276</v>
      </c>
      <c r="M1585" t="s">
        <v>13</v>
      </c>
      <c r="N1585">
        <f t="shared" si="72"/>
        <v>36.18</v>
      </c>
      <c r="O1585" t="str">
        <f t="shared" si="73"/>
        <v>May</v>
      </c>
      <c r="P1585" t="str">
        <f t="shared" si="74"/>
        <v>Weekday</v>
      </c>
    </row>
    <row r="1586" spans="1:16" x14ac:dyDescent="0.3">
      <c r="A1586" s="1">
        <v>43225</v>
      </c>
      <c r="B1586">
        <v>9</v>
      </c>
      <c r="C1586">
        <v>3.34</v>
      </c>
      <c r="D1586">
        <v>5</v>
      </c>
      <c r="E1586">
        <v>24</v>
      </c>
      <c r="F1586">
        <v>9</v>
      </c>
      <c r="G1586">
        <v>0</v>
      </c>
      <c r="H1586">
        <v>0</v>
      </c>
      <c r="I1586">
        <v>7</v>
      </c>
      <c r="J1586">
        <v>2018</v>
      </c>
      <c r="K1586">
        <v>5</v>
      </c>
      <c r="L1586">
        <v>276</v>
      </c>
      <c r="M1586" t="s">
        <v>14</v>
      </c>
      <c r="N1586">
        <f t="shared" si="72"/>
        <v>57.34</v>
      </c>
      <c r="O1586" t="str">
        <f t="shared" si="73"/>
        <v>May</v>
      </c>
      <c r="P1586" t="str">
        <f t="shared" si="74"/>
        <v>Weekend</v>
      </c>
    </row>
    <row r="1587" spans="1:16" x14ac:dyDescent="0.3">
      <c r="A1587" s="1">
        <v>43226</v>
      </c>
      <c r="B1587">
        <v>3.34</v>
      </c>
      <c r="C1587">
        <v>10.66</v>
      </c>
      <c r="D1587">
        <v>0.25</v>
      </c>
      <c r="E1587">
        <v>18.2</v>
      </c>
      <c r="F1587">
        <v>9</v>
      </c>
      <c r="G1587">
        <v>0</v>
      </c>
      <c r="H1587">
        <v>3</v>
      </c>
      <c r="I1587">
        <v>13.5</v>
      </c>
      <c r="J1587">
        <v>2018</v>
      </c>
      <c r="K1587">
        <v>5</v>
      </c>
      <c r="L1587">
        <v>276</v>
      </c>
      <c r="M1587" t="s">
        <v>15</v>
      </c>
      <c r="N1587">
        <f t="shared" si="72"/>
        <v>57.95</v>
      </c>
      <c r="O1587" t="str">
        <f t="shared" si="73"/>
        <v>May</v>
      </c>
      <c r="P1587" t="str">
        <f t="shared" si="74"/>
        <v>Weekend</v>
      </c>
    </row>
    <row r="1588" spans="1:16" x14ac:dyDescent="0.3">
      <c r="A1588" s="1">
        <v>43227</v>
      </c>
      <c r="B1588">
        <v>9.66</v>
      </c>
      <c r="C1588">
        <v>3.3000000000000002E-2</v>
      </c>
      <c r="D1588">
        <v>0</v>
      </c>
      <c r="E1588">
        <v>22</v>
      </c>
      <c r="F1588">
        <v>13</v>
      </c>
      <c r="G1588">
        <v>0</v>
      </c>
      <c r="H1588">
        <v>7</v>
      </c>
      <c r="I1588">
        <v>3</v>
      </c>
      <c r="J1588">
        <v>2018</v>
      </c>
      <c r="K1588">
        <v>5</v>
      </c>
      <c r="L1588">
        <v>276</v>
      </c>
      <c r="M1588" t="s">
        <v>16</v>
      </c>
      <c r="N1588">
        <f t="shared" si="72"/>
        <v>54.692999999999998</v>
      </c>
      <c r="O1588" t="str">
        <f t="shared" si="73"/>
        <v>May</v>
      </c>
      <c r="P1588" t="str">
        <f t="shared" si="74"/>
        <v>Weekday</v>
      </c>
    </row>
    <row r="1589" spans="1:16" x14ac:dyDescent="0.3">
      <c r="A1589" s="1">
        <v>43228</v>
      </c>
      <c r="B1589">
        <v>10.5</v>
      </c>
      <c r="C1589">
        <v>5.84</v>
      </c>
      <c r="D1589">
        <v>1</v>
      </c>
      <c r="E1589">
        <v>15</v>
      </c>
      <c r="F1589">
        <v>14</v>
      </c>
      <c r="G1589">
        <v>2</v>
      </c>
      <c r="H1589">
        <v>1</v>
      </c>
      <c r="I1589">
        <v>9</v>
      </c>
      <c r="J1589">
        <v>2018</v>
      </c>
      <c r="K1589">
        <v>5</v>
      </c>
      <c r="L1589">
        <v>276</v>
      </c>
      <c r="M1589" t="s">
        <v>17</v>
      </c>
      <c r="N1589">
        <f t="shared" si="72"/>
        <v>58.34</v>
      </c>
      <c r="O1589" t="str">
        <f t="shared" si="73"/>
        <v>May</v>
      </c>
      <c r="P1589" t="str">
        <f t="shared" si="74"/>
        <v>Weekday</v>
      </c>
    </row>
    <row r="1590" spans="1:16" x14ac:dyDescent="0.3">
      <c r="A1590" s="1">
        <v>43229</v>
      </c>
      <c r="B1590">
        <v>9.34</v>
      </c>
      <c r="C1590">
        <v>2.33</v>
      </c>
      <c r="D1590">
        <v>7</v>
      </c>
      <c r="E1590">
        <v>24.4</v>
      </c>
      <c r="F1590">
        <v>8</v>
      </c>
      <c r="G1590">
        <v>2</v>
      </c>
      <c r="H1590">
        <v>2</v>
      </c>
      <c r="I1590">
        <v>5</v>
      </c>
      <c r="J1590">
        <v>2018</v>
      </c>
      <c r="K1590">
        <v>5</v>
      </c>
      <c r="L1590">
        <v>276</v>
      </c>
      <c r="M1590" t="s">
        <v>18</v>
      </c>
      <c r="N1590">
        <f t="shared" si="72"/>
        <v>60.07</v>
      </c>
      <c r="O1590" t="str">
        <f t="shared" si="73"/>
        <v>May</v>
      </c>
      <c r="P1590" t="str">
        <f t="shared" si="74"/>
        <v>Weekday</v>
      </c>
    </row>
    <row r="1591" spans="1:16" x14ac:dyDescent="0.3">
      <c r="A1591" s="1">
        <v>43230</v>
      </c>
      <c r="B1591">
        <v>8.5</v>
      </c>
      <c r="C1591">
        <v>5.32</v>
      </c>
      <c r="D1591">
        <v>6</v>
      </c>
      <c r="E1591">
        <v>39</v>
      </c>
      <c r="F1591">
        <v>12</v>
      </c>
      <c r="G1591">
        <v>0</v>
      </c>
      <c r="H1591">
        <v>1</v>
      </c>
      <c r="I1591">
        <v>6</v>
      </c>
      <c r="J1591">
        <v>2018</v>
      </c>
      <c r="K1591">
        <v>5</v>
      </c>
      <c r="L1591">
        <v>276</v>
      </c>
      <c r="M1591" t="s">
        <v>12</v>
      </c>
      <c r="N1591">
        <f t="shared" si="72"/>
        <v>77.819999999999993</v>
      </c>
      <c r="O1591" t="str">
        <f t="shared" si="73"/>
        <v>May</v>
      </c>
      <c r="P1591" t="str">
        <f t="shared" si="74"/>
        <v>Weekday</v>
      </c>
    </row>
    <row r="1592" spans="1:16" x14ac:dyDescent="0.3">
      <c r="A1592" s="1">
        <v>43231</v>
      </c>
      <c r="B1592">
        <v>9.33</v>
      </c>
      <c r="C1592">
        <v>1.34</v>
      </c>
      <c r="D1592">
        <v>3</v>
      </c>
      <c r="E1592">
        <v>19</v>
      </c>
      <c r="F1592">
        <v>6</v>
      </c>
      <c r="G1592">
        <v>0</v>
      </c>
      <c r="H1592">
        <v>2</v>
      </c>
      <c r="I1592">
        <v>10</v>
      </c>
      <c r="J1592">
        <v>2018</v>
      </c>
      <c r="K1592">
        <v>5</v>
      </c>
      <c r="L1592">
        <v>276</v>
      </c>
      <c r="M1592" t="s">
        <v>13</v>
      </c>
      <c r="N1592">
        <f t="shared" si="72"/>
        <v>50.67</v>
      </c>
      <c r="O1592" t="str">
        <f t="shared" si="73"/>
        <v>May</v>
      </c>
      <c r="P1592" t="str">
        <f t="shared" si="74"/>
        <v>Weekday</v>
      </c>
    </row>
    <row r="1593" spans="1:16" x14ac:dyDescent="0.3">
      <c r="A1593" s="1">
        <v>43232</v>
      </c>
      <c r="B1593">
        <v>1.33</v>
      </c>
      <c r="C1593">
        <v>3.66</v>
      </c>
      <c r="D1593">
        <v>5.15</v>
      </c>
      <c r="E1593">
        <v>27</v>
      </c>
      <c r="F1593">
        <v>10</v>
      </c>
      <c r="G1593">
        <v>0</v>
      </c>
      <c r="H1593">
        <v>11</v>
      </c>
      <c r="I1593">
        <v>8</v>
      </c>
      <c r="J1593">
        <v>2018</v>
      </c>
      <c r="K1593">
        <v>5</v>
      </c>
      <c r="L1593">
        <v>276</v>
      </c>
      <c r="M1593" t="s">
        <v>14</v>
      </c>
      <c r="N1593">
        <f t="shared" si="72"/>
        <v>66.14</v>
      </c>
      <c r="O1593" t="str">
        <f t="shared" si="73"/>
        <v>May</v>
      </c>
      <c r="P1593" t="str">
        <f t="shared" si="74"/>
        <v>Weekend</v>
      </c>
    </row>
    <row r="1594" spans="1:16" x14ac:dyDescent="0.3">
      <c r="A1594" s="1">
        <v>43233</v>
      </c>
      <c r="B1594">
        <v>5.16</v>
      </c>
      <c r="C1594">
        <v>5.7590000000000003</v>
      </c>
      <c r="D1594">
        <v>3</v>
      </c>
      <c r="E1594">
        <v>14.4</v>
      </c>
      <c r="F1594">
        <v>3</v>
      </c>
      <c r="G1594">
        <v>0</v>
      </c>
      <c r="H1594">
        <v>7</v>
      </c>
      <c r="I1594">
        <v>10</v>
      </c>
      <c r="J1594">
        <v>2018</v>
      </c>
      <c r="K1594">
        <v>5</v>
      </c>
      <c r="L1594">
        <v>276</v>
      </c>
      <c r="M1594" t="s">
        <v>15</v>
      </c>
      <c r="N1594">
        <f t="shared" si="72"/>
        <v>48.319000000000003</v>
      </c>
      <c r="O1594" t="str">
        <f t="shared" si="73"/>
        <v>May</v>
      </c>
      <c r="P1594" t="str">
        <f t="shared" si="74"/>
        <v>Weekend</v>
      </c>
    </row>
    <row r="1595" spans="1:16" x14ac:dyDescent="0.3">
      <c r="A1595" s="1">
        <v>43234</v>
      </c>
      <c r="B1595">
        <v>6</v>
      </c>
      <c r="C1595">
        <v>6.5389999999999997</v>
      </c>
      <c r="D1595">
        <v>1</v>
      </c>
      <c r="E1595">
        <v>20</v>
      </c>
      <c r="F1595">
        <v>4</v>
      </c>
      <c r="G1595">
        <v>1</v>
      </c>
      <c r="H1595">
        <v>37</v>
      </c>
      <c r="I1595">
        <v>3</v>
      </c>
      <c r="J1595">
        <v>2018</v>
      </c>
      <c r="K1595">
        <v>5</v>
      </c>
      <c r="L1595">
        <v>276</v>
      </c>
      <c r="M1595" t="s">
        <v>16</v>
      </c>
      <c r="N1595">
        <f t="shared" si="72"/>
        <v>78.539000000000001</v>
      </c>
      <c r="O1595" t="str">
        <f t="shared" si="73"/>
        <v>May</v>
      </c>
      <c r="P1595" t="str">
        <f t="shared" si="74"/>
        <v>Weekday</v>
      </c>
    </row>
    <row r="1596" spans="1:16" x14ac:dyDescent="0.3">
      <c r="A1596" s="1">
        <v>43235</v>
      </c>
      <c r="B1596">
        <v>4</v>
      </c>
      <c r="C1596">
        <v>0.67</v>
      </c>
      <c r="D1596">
        <v>2</v>
      </c>
      <c r="E1596">
        <v>14</v>
      </c>
      <c r="F1596">
        <v>11</v>
      </c>
      <c r="G1596">
        <v>0</v>
      </c>
      <c r="H1596">
        <v>5</v>
      </c>
      <c r="I1596">
        <v>7</v>
      </c>
      <c r="J1596">
        <v>2018</v>
      </c>
      <c r="K1596">
        <v>5</v>
      </c>
      <c r="L1596">
        <v>276</v>
      </c>
      <c r="M1596" t="s">
        <v>17</v>
      </c>
      <c r="N1596">
        <f t="shared" si="72"/>
        <v>43.67</v>
      </c>
      <c r="O1596" t="str">
        <f t="shared" si="73"/>
        <v>May</v>
      </c>
      <c r="P1596" t="str">
        <f t="shared" si="74"/>
        <v>Weekday</v>
      </c>
    </row>
    <row r="1597" spans="1:16" x14ac:dyDescent="0.3">
      <c r="A1597" s="1">
        <v>43236</v>
      </c>
      <c r="B1597">
        <v>4.01</v>
      </c>
      <c r="C1597">
        <v>2.33</v>
      </c>
      <c r="D1597">
        <v>2.5</v>
      </c>
      <c r="E1597">
        <v>13.4</v>
      </c>
      <c r="F1597">
        <v>9</v>
      </c>
      <c r="G1597">
        <v>0</v>
      </c>
      <c r="H1597">
        <v>2</v>
      </c>
      <c r="I1597">
        <v>8</v>
      </c>
      <c r="J1597">
        <v>2018</v>
      </c>
      <c r="K1597">
        <v>5</v>
      </c>
      <c r="L1597">
        <v>276</v>
      </c>
      <c r="M1597" t="s">
        <v>18</v>
      </c>
      <c r="N1597">
        <f t="shared" si="72"/>
        <v>41.24</v>
      </c>
      <c r="O1597" t="str">
        <f t="shared" si="73"/>
        <v>May</v>
      </c>
      <c r="P1597" t="str">
        <f t="shared" si="74"/>
        <v>Weekday</v>
      </c>
    </row>
    <row r="1598" spans="1:16" x14ac:dyDescent="0.3">
      <c r="A1598" s="1">
        <v>43237</v>
      </c>
      <c r="B1598">
        <v>2</v>
      </c>
      <c r="C1598">
        <v>2.78</v>
      </c>
      <c r="D1598">
        <v>3.5</v>
      </c>
      <c r="E1598">
        <v>16</v>
      </c>
      <c r="F1598">
        <v>11</v>
      </c>
      <c r="G1598">
        <v>0</v>
      </c>
      <c r="H1598">
        <v>1</v>
      </c>
      <c r="I1598">
        <v>4</v>
      </c>
      <c r="J1598">
        <v>2018</v>
      </c>
      <c r="K1598">
        <v>5</v>
      </c>
      <c r="L1598">
        <v>276</v>
      </c>
      <c r="M1598" t="s">
        <v>12</v>
      </c>
      <c r="N1598">
        <f t="shared" si="72"/>
        <v>40.28</v>
      </c>
      <c r="O1598" t="str">
        <f t="shared" si="73"/>
        <v>May</v>
      </c>
      <c r="P1598" t="str">
        <f t="shared" si="74"/>
        <v>Weekday</v>
      </c>
    </row>
    <row r="1599" spans="1:16" x14ac:dyDescent="0.3">
      <c r="A1599" s="1">
        <v>43238</v>
      </c>
      <c r="B1599">
        <v>2.34</v>
      </c>
      <c r="C1599">
        <v>1.3959999999999999</v>
      </c>
      <c r="D1599">
        <v>6</v>
      </c>
      <c r="E1599">
        <v>30</v>
      </c>
      <c r="F1599">
        <v>11</v>
      </c>
      <c r="G1599">
        <v>0</v>
      </c>
      <c r="H1599">
        <v>2</v>
      </c>
      <c r="I1599">
        <v>2.4</v>
      </c>
      <c r="J1599">
        <v>2018</v>
      </c>
      <c r="K1599">
        <v>5</v>
      </c>
      <c r="L1599">
        <v>276</v>
      </c>
      <c r="M1599" t="s">
        <v>13</v>
      </c>
      <c r="N1599">
        <f t="shared" si="72"/>
        <v>55.136000000000003</v>
      </c>
      <c r="O1599" t="str">
        <f t="shared" si="73"/>
        <v>May</v>
      </c>
      <c r="P1599" t="str">
        <f t="shared" si="74"/>
        <v>Weekday</v>
      </c>
    </row>
    <row r="1600" spans="1:16" x14ac:dyDescent="0.3">
      <c r="A1600" s="1">
        <v>43239</v>
      </c>
      <c r="B1600">
        <v>2.34</v>
      </c>
      <c r="C1600">
        <v>2.5609999999999999</v>
      </c>
      <c r="D1600">
        <v>1</v>
      </c>
      <c r="E1600">
        <v>18.399999999999999</v>
      </c>
      <c r="F1600">
        <v>7</v>
      </c>
      <c r="G1600">
        <v>5</v>
      </c>
      <c r="H1600">
        <v>0</v>
      </c>
      <c r="I1600">
        <v>5</v>
      </c>
      <c r="J1600">
        <v>2018</v>
      </c>
      <c r="K1600">
        <v>5</v>
      </c>
      <c r="L1600">
        <v>276</v>
      </c>
      <c r="M1600" t="s">
        <v>14</v>
      </c>
      <c r="N1600">
        <f t="shared" si="72"/>
        <v>41.301000000000002</v>
      </c>
      <c r="O1600" t="str">
        <f t="shared" si="73"/>
        <v>May</v>
      </c>
      <c r="P1600" t="str">
        <f t="shared" si="74"/>
        <v>Weekend</v>
      </c>
    </row>
    <row r="1601" spans="1:16" x14ac:dyDescent="0.3">
      <c r="A1601" s="1">
        <v>43240</v>
      </c>
      <c r="B1601">
        <v>7</v>
      </c>
      <c r="C1601">
        <v>8.01</v>
      </c>
      <c r="D1601">
        <v>1</v>
      </c>
      <c r="E1601">
        <v>45</v>
      </c>
      <c r="F1601">
        <v>6</v>
      </c>
      <c r="G1601">
        <v>1</v>
      </c>
      <c r="H1601">
        <v>0</v>
      </c>
      <c r="I1601">
        <v>10</v>
      </c>
      <c r="J1601">
        <v>2018</v>
      </c>
      <c r="K1601">
        <v>5</v>
      </c>
      <c r="L1601">
        <v>276</v>
      </c>
      <c r="M1601" t="s">
        <v>15</v>
      </c>
      <c r="N1601">
        <f t="shared" si="72"/>
        <v>78.009999999999991</v>
      </c>
      <c r="O1601" t="str">
        <f t="shared" si="73"/>
        <v>May</v>
      </c>
      <c r="P1601" t="str">
        <f t="shared" si="74"/>
        <v>Weekend</v>
      </c>
    </row>
    <row r="1602" spans="1:16" x14ac:dyDescent="0.3">
      <c r="A1602" s="1">
        <v>43241</v>
      </c>
      <c r="B1602">
        <v>12</v>
      </c>
      <c r="C1602">
        <v>2.7589999999999999</v>
      </c>
      <c r="D1602">
        <v>2.15</v>
      </c>
      <c r="E1602">
        <v>14.6</v>
      </c>
      <c r="F1602">
        <v>18</v>
      </c>
      <c r="G1602">
        <v>0</v>
      </c>
      <c r="H1602">
        <v>11</v>
      </c>
      <c r="I1602">
        <v>5</v>
      </c>
      <c r="J1602">
        <v>2018</v>
      </c>
      <c r="K1602">
        <v>5</v>
      </c>
      <c r="L1602">
        <v>276</v>
      </c>
      <c r="M1602" t="s">
        <v>16</v>
      </c>
      <c r="N1602">
        <f t="shared" si="72"/>
        <v>65.509</v>
      </c>
      <c r="O1602" t="str">
        <f t="shared" si="73"/>
        <v>May</v>
      </c>
      <c r="P1602" t="str">
        <f t="shared" si="74"/>
        <v>Weekday</v>
      </c>
    </row>
    <row r="1603" spans="1:16" x14ac:dyDescent="0.3">
      <c r="A1603" s="1">
        <v>43242</v>
      </c>
      <c r="B1603">
        <v>3.67</v>
      </c>
      <c r="C1603">
        <v>2.33</v>
      </c>
      <c r="D1603">
        <v>3</v>
      </c>
      <c r="E1603">
        <v>8.0619999999999994</v>
      </c>
      <c r="F1603">
        <v>7</v>
      </c>
      <c r="G1603">
        <v>0</v>
      </c>
      <c r="H1603">
        <v>6</v>
      </c>
      <c r="I1603">
        <v>6</v>
      </c>
      <c r="J1603">
        <v>2018</v>
      </c>
      <c r="K1603">
        <v>5</v>
      </c>
      <c r="L1603">
        <v>276</v>
      </c>
      <c r="M1603" t="s">
        <v>17</v>
      </c>
      <c r="N1603">
        <f t="shared" ref="N1603:N1666" si="75">SUM(B1603:I1603)</f>
        <v>36.061999999999998</v>
      </c>
      <c r="O1603" t="str">
        <f t="shared" ref="O1603:O1666" si="76">TEXT(A1603,"mmmm")</f>
        <v>May</v>
      </c>
      <c r="P1603" t="str">
        <f t="shared" ref="P1603:P1666" si="77">IF(OR(M1603="Saturday",M1603="Sunday"),"Weekend","Weekday")</f>
        <v>Weekday</v>
      </c>
    </row>
    <row r="1604" spans="1:16" x14ac:dyDescent="0.3">
      <c r="A1604" s="1">
        <v>43243</v>
      </c>
      <c r="B1604">
        <v>1.5</v>
      </c>
      <c r="C1604">
        <v>3.66</v>
      </c>
      <c r="D1604">
        <v>0</v>
      </c>
      <c r="E1604">
        <v>11</v>
      </c>
      <c r="F1604">
        <v>7</v>
      </c>
      <c r="G1604">
        <v>0</v>
      </c>
      <c r="H1604">
        <v>0</v>
      </c>
      <c r="I1604">
        <v>7</v>
      </c>
      <c r="J1604">
        <v>2018</v>
      </c>
      <c r="K1604">
        <v>5</v>
      </c>
      <c r="L1604">
        <v>276</v>
      </c>
      <c r="M1604" t="s">
        <v>18</v>
      </c>
      <c r="N1604">
        <f t="shared" si="75"/>
        <v>30.16</v>
      </c>
      <c r="O1604" t="str">
        <f t="shared" si="76"/>
        <v>May</v>
      </c>
      <c r="P1604" t="str">
        <f t="shared" si="77"/>
        <v>Weekday</v>
      </c>
    </row>
    <row r="1605" spans="1:16" x14ac:dyDescent="0.3">
      <c r="A1605" s="1">
        <v>43244</v>
      </c>
      <c r="B1605">
        <v>2</v>
      </c>
      <c r="C1605">
        <v>1.99</v>
      </c>
      <c r="D1605">
        <v>5</v>
      </c>
      <c r="E1605">
        <v>20.2</v>
      </c>
      <c r="F1605">
        <v>6</v>
      </c>
      <c r="G1605">
        <v>1</v>
      </c>
      <c r="H1605">
        <v>10</v>
      </c>
      <c r="I1605">
        <v>1</v>
      </c>
      <c r="J1605">
        <v>2018</v>
      </c>
      <c r="K1605">
        <v>5</v>
      </c>
      <c r="L1605">
        <v>276</v>
      </c>
      <c r="M1605" t="s">
        <v>12</v>
      </c>
      <c r="N1605">
        <f t="shared" si="75"/>
        <v>47.19</v>
      </c>
      <c r="O1605" t="str">
        <f t="shared" si="76"/>
        <v>May</v>
      </c>
      <c r="P1605" t="str">
        <f t="shared" si="77"/>
        <v>Weekday</v>
      </c>
    </row>
    <row r="1606" spans="1:16" x14ac:dyDescent="0.3">
      <c r="A1606" s="1">
        <v>43245</v>
      </c>
      <c r="B1606">
        <v>2.33</v>
      </c>
      <c r="C1606">
        <v>2.33</v>
      </c>
      <c r="D1606">
        <v>2</v>
      </c>
      <c r="E1606">
        <v>16.399999999999999</v>
      </c>
      <c r="F1606">
        <v>9</v>
      </c>
      <c r="G1606">
        <v>0</v>
      </c>
      <c r="H1606">
        <v>1</v>
      </c>
      <c r="I1606">
        <v>2</v>
      </c>
      <c r="J1606">
        <v>2018</v>
      </c>
      <c r="K1606">
        <v>5</v>
      </c>
      <c r="L1606">
        <v>276</v>
      </c>
      <c r="M1606" t="s">
        <v>13</v>
      </c>
      <c r="N1606">
        <f t="shared" si="75"/>
        <v>35.06</v>
      </c>
      <c r="O1606" t="str">
        <f t="shared" si="76"/>
        <v>May</v>
      </c>
      <c r="P1606" t="str">
        <f t="shared" si="77"/>
        <v>Weekday</v>
      </c>
    </row>
    <row r="1607" spans="1:16" x14ac:dyDescent="0.3">
      <c r="A1607" s="1">
        <v>43246</v>
      </c>
      <c r="B1607">
        <v>3.33</v>
      </c>
      <c r="C1607">
        <v>2.7589999999999999</v>
      </c>
      <c r="D1607">
        <v>7</v>
      </c>
      <c r="E1607">
        <v>16.262</v>
      </c>
      <c r="F1607">
        <v>7</v>
      </c>
      <c r="G1607">
        <v>0</v>
      </c>
      <c r="H1607">
        <v>3</v>
      </c>
      <c r="I1607">
        <v>5</v>
      </c>
      <c r="J1607">
        <v>2018</v>
      </c>
      <c r="K1607">
        <v>5</v>
      </c>
      <c r="L1607">
        <v>276</v>
      </c>
      <c r="M1607" t="s">
        <v>14</v>
      </c>
      <c r="N1607">
        <f t="shared" si="75"/>
        <v>44.350999999999999</v>
      </c>
      <c r="O1607" t="str">
        <f t="shared" si="76"/>
        <v>May</v>
      </c>
      <c r="P1607" t="str">
        <f t="shared" si="77"/>
        <v>Weekend</v>
      </c>
    </row>
    <row r="1608" spans="1:16" x14ac:dyDescent="0.3">
      <c r="A1608" s="1">
        <v>43247</v>
      </c>
      <c r="B1608">
        <v>6.33</v>
      </c>
      <c r="C1608">
        <v>4.5179999999999998</v>
      </c>
      <c r="D1608">
        <v>5</v>
      </c>
      <c r="E1608">
        <v>49.262</v>
      </c>
      <c r="F1608">
        <v>6</v>
      </c>
      <c r="G1608">
        <v>1</v>
      </c>
      <c r="H1608">
        <v>0</v>
      </c>
      <c r="I1608">
        <v>11</v>
      </c>
      <c r="J1608">
        <v>2018</v>
      </c>
      <c r="K1608">
        <v>5</v>
      </c>
      <c r="L1608">
        <v>276</v>
      </c>
      <c r="M1608" t="s">
        <v>15</v>
      </c>
      <c r="N1608">
        <f t="shared" si="75"/>
        <v>83.11</v>
      </c>
      <c r="O1608" t="str">
        <f t="shared" si="76"/>
        <v>May</v>
      </c>
      <c r="P1608" t="str">
        <f t="shared" si="77"/>
        <v>Weekend</v>
      </c>
    </row>
    <row r="1609" spans="1:16" x14ac:dyDescent="0.3">
      <c r="A1609" s="1">
        <v>43248</v>
      </c>
      <c r="B1609">
        <v>7</v>
      </c>
      <c r="C1609">
        <v>3.01</v>
      </c>
      <c r="D1609">
        <v>1.2</v>
      </c>
      <c r="E1609">
        <v>19.600000000000001</v>
      </c>
      <c r="F1609">
        <v>7</v>
      </c>
      <c r="G1609">
        <v>0</v>
      </c>
      <c r="H1609">
        <v>7</v>
      </c>
      <c r="I1609">
        <v>6</v>
      </c>
      <c r="J1609">
        <v>2018</v>
      </c>
      <c r="K1609">
        <v>5</v>
      </c>
      <c r="L1609">
        <v>276</v>
      </c>
      <c r="M1609" t="s">
        <v>16</v>
      </c>
      <c r="N1609">
        <f t="shared" si="75"/>
        <v>50.81</v>
      </c>
      <c r="O1609" t="str">
        <f t="shared" si="76"/>
        <v>May</v>
      </c>
      <c r="P1609" t="str">
        <f t="shared" si="77"/>
        <v>Weekday</v>
      </c>
    </row>
    <row r="1610" spans="1:16" x14ac:dyDescent="0.3">
      <c r="A1610" s="1">
        <v>43249</v>
      </c>
      <c r="B1610">
        <v>9</v>
      </c>
      <c r="C1610">
        <v>4.0330000000000004</v>
      </c>
      <c r="D1610">
        <v>3.3</v>
      </c>
      <c r="E1610">
        <v>21.25</v>
      </c>
      <c r="F1610">
        <v>7</v>
      </c>
      <c r="G1610">
        <v>0</v>
      </c>
      <c r="H1610">
        <v>4</v>
      </c>
      <c r="I1610">
        <v>6</v>
      </c>
      <c r="J1610">
        <v>2018</v>
      </c>
      <c r="K1610">
        <v>5</v>
      </c>
      <c r="L1610">
        <v>276</v>
      </c>
      <c r="M1610" t="s">
        <v>17</v>
      </c>
      <c r="N1610">
        <f t="shared" si="75"/>
        <v>54.582999999999998</v>
      </c>
      <c r="O1610" t="str">
        <f t="shared" si="76"/>
        <v>May</v>
      </c>
      <c r="P1610" t="str">
        <f t="shared" si="77"/>
        <v>Weekday</v>
      </c>
    </row>
    <row r="1611" spans="1:16" x14ac:dyDescent="0.3">
      <c r="A1611" s="1">
        <v>43250</v>
      </c>
      <c r="B1611">
        <v>4.34</v>
      </c>
      <c r="C1611">
        <v>1.67</v>
      </c>
      <c r="D1611">
        <v>2</v>
      </c>
      <c r="E1611">
        <v>16.399999999999999</v>
      </c>
      <c r="F1611">
        <v>9</v>
      </c>
      <c r="G1611">
        <v>0</v>
      </c>
      <c r="H1611">
        <v>14</v>
      </c>
      <c r="I1611">
        <v>10</v>
      </c>
      <c r="J1611">
        <v>2018</v>
      </c>
      <c r="K1611">
        <v>5</v>
      </c>
      <c r="L1611">
        <v>276</v>
      </c>
      <c r="M1611" t="s">
        <v>18</v>
      </c>
      <c r="N1611">
        <f t="shared" si="75"/>
        <v>57.41</v>
      </c>
      <c r="O1611" t="str">
        <f t="shared" si="76"/>
        <v>May</v>
      </c>
      <c r="P1611" t="str">
        <f t="shared" si="77"/>
        <v>Weekday</v>
      </c>
    </row>
    <row r="1612" spans="1:16" x14ac:dyDescent="0.3">
      <c r="A1612" s="1">
        <v>43251</v>
      </c>
      <c r="B1612">
        <v>3.5</v>
      </c>
      <c r="C1612">
        <v>3.66</v>
      </c>
      <c r="D1612">
        <v>1.35</v>
      </c>
      <c r="E1612">
        <v>11.4</v>
      </c>
      <c r="F1612">
        <v>10</v>
      </c>
      <c r="G1612">
        <v>0</v>
      </c>
      <c r="H1612">
        <v>8</v>
      </c>
      <c r="I1612">
        <v>5.64</v>
      </c>
      <c r="J1612">
        <v>2018</v>
      </c>
      <c r="K1612">
        <v>5</v>
      </c>
      <c r="L1612">
        <v>276</v>
      </c>
      <c r="M1612" t="s">
        <v>12</v>
      </c>
      <c r="N1612">
        <f t="shared" si="75"/>
        <v>43.55</v>
      </c>
      <c r="O1612" t="str">
        <f t="shared" si="76"/>
        <v>May</v>
      </c>
      <c r="P1612" t="str">
        <f t="shared" si="77"/>
        <v>Weekday</v>
      </c>
    </row>
    <row r="1613" spans="1:16" x14ac:dyDescent="0.3">
      <c r="A1613" s="1">
        <v>43252</v>
      </c>
      <c r="B1613">
        <v>12.33</v>
      </c>
      <c r="C1613">
        <v>2.1800000000000002</v>
      </c>
      <c r="D1613">
        <v>4</v>
      </c>
      <c r="E1613">
        <v>29</v>
      </c>
      <c r="F1613">
        <v>9</v>
      </c>
      <c r="G1613">
        <v>0</v>
      </c>
      <c r="H1613">
        <v>5</v>
      </c>
      <c r="I1613">
        <v>3</v>
      </c>
      <c r="J1613">
        <v>2018</v>
      </c>
      <c r="K1613">
        <v>6</v>
      </c>
      <c r="L1613">
        <v>276</v>
      </c>
      <c r="M1613" t="s">
        <v>13</v>
      </c>
      <c r="N1613">
        <f t="shared" si="75"/>
        <v>64.509999999999991</v>
      </c>
      <c r="O1613" t="str">
        <f t="shared" si="76"/>
        <v>June</v>
      </c>
      <c r="P1613" t="str">
        <f t="shared" si="77"/>
        <v>Weekday</v>
      </c>
    </row>
    <row r="1614" spans="1:16" x14ac:dyDescent="0.3">
      <c r="A1614" s="1">
        <v>43253</v>
      </c>
      <c r="B1614">
        <v>8</v>
      </c>
      <c r="C1614">
        <v>3.0859999999999999</v>
      </c>
      <c r="D1614">
        <v>4</v>
      </c>
      <c r="E1614">
        <v>23</v>
      </c>
      <c r="F1614">
        <v>9</v>
      </c>
      <c r="G1614">
        <v>3</v>
      </c>
      <c r="H1614">
        <v>7</v>
      </c>
      <c r="I1614">
        <v>9</v>
      </c>
      <c r="J1614">
        <v>2018</v>
      </c>
      <c r="K1614">
        <v>6</v>
      </c>
      <c r="L1614">
        <v>276</v>
      </c>
      <c r="M1614" t="s">
        <v>14</v>
      </c>
      <c r="N1614">
        <f t="shared" si="75"/>
        <v>66.085999999999999</v>
      </c>
      <c r="O1614" t="str">
        <f t="shared" si="76"/>
        <v>June</v>
      </c>
      <c r="P1614" t="str">
        <f t="shared" si="77"/>
        <v>Weekend</v>
      </c>
    </row>
    <row r="1615" spans="1:16" x14ac:dyDescent="0.3">
      <c r="A1615" s="1">
        <v>43254</v>
      </c>
      <c r="B1615">
        <v>5</v>
      </c>
      <c r="C1615">
        <v>2.746</v>
      </c>
      <c r="D1615">
        <v>1</v>
      </c>
      <c r="E1615">
        <v>22.4</v>
      </c>
      <c r="F1615">
        <v>8</v>
      </c>
      <c r="G1615">
        <v>1</v>
      </c>
      <c r="H1615">
        <v>0</v>
      </c>
      <c r="I1615">
        <v>2</v>
      </c>
      <c r="J1615">
        <v>2018</v>
      </c>
      <c r="K1615">
        <v>6</v>
      </c>
      <c r="L1615">
        <v>276</v>
      </c>
      <c r="M1615" t="s">
        <v>15</v>
      </c>
      <c r="N1615">
        <f t="shared" si="75"/>
        <v>42.146000000000001</v>
      </c>
      <c r="O1615" t="str">
        <f t="shared" si="76"/>
        <v>June</v>
      </c>
      <c r="P1615" t="str">
        <f t="shared" si="77"/>
        <v>Weekend</v>
      </c>
    </row>
    <row r="1616" spans="1:16" x14ac:dyDescent="0.3">
      <c r="A1616" s="1">
        <v>43255</v>
      </c>
      <c r="B1616">
        <v>3.33</v>
      </c>
      <c r="C1616">
        <v>3</v>
      </c>
      <c r="D1616">
        <v>6</v>
      </c>
      <c r="E1616">
        <v>19</v>
      </c>
      <c r="F1616">
        <v>3</v>
      </c>
      <c r="G1616">
        <v>0</v>
      </c>
      <c r="H1616">
        <v>6</v>
      </c>
      <c r="I1616">
        <v>6</v>
      </c>
      <c r="J1616">
        <v>2018</v>
      </c>
      <c r="K1616">
        <v>6</v>
      </c>
      <c r="L1616">
        <v>276</v>
      </c>
      <c r="M1616" t="s">
        <v>16</v>
      </c>
      <c r="N1616">
        <f t="shared" si="75"/>
        <v>46.33</v>
      </c>
      <c r="O1616" t="str">
        <f t="shared" si="76"/>
        <v>June</v>
      </c>
      <c r="P1616" t="str">
        <f t="shared" si="77"/>
        <v>Weekday</v>
      </c>
    </row>
    <row r="1617" spans="1:16" x14ac:dyDescent="0.3">
      <c r="A1617" s="1">
        <v>43256</v>
      </c>
      <c r="B1617">
        <v>4.33</v>
      </c>
      <c r="C1617">
        <v>3.67</v>
      </c>
      <c r="D1617">
        <v>1.05</v>
      </c>
      <c r="E1617">
        <v>20</v>
      </c>
      <c r="F1617">
        <v>7</v>
      </c>
      <c r="G1617">
        <v>2</v>
      </c>
      <c r="H1617">
        <v>0</v>
      </c>
      <c r="I1617">
        <v>7</v>
      </c>
      <c r="J1617">
        <v>2018</v>
      </c>
      <c r="K1617">
        <v>6</v>
      </c>
      <c r="L1617">
        <v>276</v>
      </c>
      <c r="M1617" t="s">
        <v>17</v>
      </c>
      <c r="N1617">
        <f t="shared" si="75"/>
        <v>45.05</v>
      </c>
      <c r="O1617" t="str">
        <f t="shared" si="76"/>
        <v>June</v>
      </c>
      <c r="P1617" t="str">
        <f t="shared" si="77"/>
        <v>Weekday</v>
      </c>
    </row>
    <row r="1618" spans="1:16" x14ac:dyDescent="0.3">
      <c r="A1618" s="1">
        <v>43257</v>
      </c>
      <c r="B1618">
        <v>6</v>
      </c>
      <c r="C1618">
        <v>2.34</v>
      </c>
      <c r="D1618">
        <v>0.15</v>
      </c>
      <c r="E1618">
        <v>17.25</v>
      </c>
      <c r="F1618">
        <v>16</v>
      </c>
      <c r="G1618">
        <v>3</v>
      </c>
      <c r="H1618">
        <v>0</v>
      </c>
      <c r="I1618">
        <v>2</v>
      </c>
      <c r="J1618">
        <v>2018</v>
      </c>
      <c r="K1618">
        <v>6</v>
      </c>
      <c r="L1618">
        <v>276</v>
      </c>
      <c r="M1618" t="s">
        <v>18</v>
      </c>
      <c r="N1618">
        <f t="shared" si="75"/>
        <v>46.74</v>
      </c>
      <c r="O1618" t="str">
        <f t="shared" si="76"/>
        <v>June</v>
      </c>
      <c r="P1618" t="str">
        <f t="shared" si="77"/>
        <v>Weekday</v>
      </c>
    </row>
    <row r="1619" spans="1:16" x14ac:dyDescent="0.3">
      <c r="A1619" s="1">
        <v>43258</v>
      </c>
      <c r="B1619">
        <v>2</v>
      </c>
      <c r="C1619">
        <v>4.5279999999999996</v>
      </c>
      <c r="D1619">
        <v>0.25</v>
      </c>
      <c r="E1619">
        <v>19</v>
      </c>
      <c r="F1619">
        <v>11</v>
      </c>
      <c r="G1619">
        <v>1</v>
      </c>
      <c r="H1619">
        <v>10</v>
      </c>
      <c r="I1619">
        <v>2</v>
      </c>
      <c r="J1619">
        <v>2018</v>
      </c>
      <c r="K1619">
        <v>6</v>
      </c>
      <c r="L1619">
        <v>276</v>
      </c>
      <c r="M1619" t="s">
        <v>12</v>
      </c>
      <c r="N1619">
        <f t="shared" si="75"/>
        <v>49.777999999999999</v>
      </c>
      <c r="O1619" t="str">
        <f t="shared" si="76"/>
        <v>June</v>
      </c>
      <c r="P1619" t="str">
        <f t="shared" si="77"/>
        <v>Weekday</v>
      </c>
    </row>
    <row r="1620" spans="1:16" x14ac:dyDescent="0.3">
      <c r="A1620" s="1">
        <v>43259</v>
      </c>
      <c r="B1620">
        <v>4</v>
      </c>
      <c r="C1620">
        <v>1.33</v>
      </c>
      <c r="D1620">
        <v>2</v>
      </c>
      <c r="E1620">
        <v>9</v>
      </c>
      <c r="F1620">
        <v>6</v>
      </c>
      <c r="G1620">
        <v>0</v>
      </c>
      <c r="H1620">
        <v>2</v>
      </c>
      <c r="I1620">
        <v>4.4000000000000004</v>
      </c>
      <c r="J1620">
        <v>2018</v>
      </c>
      <c r="K1620">
        <v>6</v>
      </c>
      <c r="L1620">
        <v>276</v>
      </c>
      <c r="M1620" t="s">
        <v>13</v>
      </c>
      <c r="N1620">
        <f t="shared" si="75"/>
        <v>28.729999999999997</v>
      </c>
      <c r="O1620" t="str">
        <f t="shared" si="76"/>
        <v>June</v>
      </c>
      <c r="P1620" t="str">
        <f t="shared" si="77"/>
        <v>Weekday</v>
      </c>
    </row>
    <row r="1621" spans="1:16" x14ac:dyDescent="0.3">
      <c r="A1621" s="1">
        <v>43260</v>
      </c>
      <c r="B1621">
        <v>8</v>
      </c>
      <c r="C1621">
        <v>6.4619999999999997</v>
      </c>
      <c r="D1621">
        <v>3</v>
      </c>
      <c r="E1621">
        <v>21</v>
      </c>
      <c r="F1621">
        <v>11</v>
      </c>
      <c r="G1621">
        <v>0</v>
      </c>
      <c r="H1621">
        <v>5</v>
      </c>
      <c r="I1621">
        <v>0</v>
      </c>
      <c r="J1621">
        <v>2018</v>
      </c>
      <c r="K1621">
        <v>6</v>
      </c>
      <c r="L1621">
        <v>276</v>
      </c>
      <c r="M1621" t="s">
        <v>14</v>
      </c>
      <c r="N1621">
        <f t="shared" si="75"/>
        <v>54.462000000000003</v>
      </c>
      <c r="O1621" t="str">
        <f t="shared" si="76"/>
        <v>June</v>
      </c>
      <c r="P1621" t="str">
        <f t="shared" si="77"/>
        <v>Weekend</v>
      </c>
    </row>
    <row r="1622" spans="1:16" x14ac:dyDescent="0.3">
      <c r="A1622" s="1">
        <v>43261</v>
      </c>
      <c r="B1622">
        <v>2.66</v>
      </c>
      <c r="C1622">
        <v>4.6929999999999996</v>
      </c>
      <c r="D1622">
        <v>5</v>
      </c>
      <c r="E1622">
        <v>33.200000000000003</v>
      </c>
      <c r="F1622">
        <v>7</v>
      </c>
      <c r="G1622">
        <v>0</v>
      </c>
      <c r="H1622">
        <v>0</v>
      </c>
      <c r="I1622">
        <v>3</v>
      </c>
      <c r="J1622">
        <v>2018</v>
      </c>
      <c r="K1622">
        <v>6</v>
      </c>
      <c r="L1622">
        <v>276</v>
      </c>
      <c r="M1622" t="s">
        <v>15</v>
      </c>
      <c r="N1622">
        <f t="shared" si="75"/>
        <v>55.553000000000004</v>
      </c>
      <c r="O1622" t="str">
        <f t="shared" si="76"/>
        <v>June</v>
      </c>
      <c r="P1622" t="str">
        <f t="shared" si="77"/>
        <v>Weekend</v>
      </c>
    </row>
    <row r="1623" spans="1:16" x14ac:dyDescent="0.3">
      <c r="A1623" s="1">
        <v>43262</v>
      </c>
      <c r="B1623">
        <v>8</v>
      </c>
      <c r="C1623">
        <v>8.33</v>
      </c>
      <c r="D1623">
        <v>3.1</v>
      </c>
      <c r="E1623">
        <v>17</v>
      </c>
      <c r="F1623">
        <v>17</v>
      </c>
      <c r="G1623">
        <v>0</v>
      </c>
      <c r="H1623">
        <v>0</v>
      </c>
      <c r="I1623">
        <v>6</v>
      </c>
      <c r="J1623">
        <v>2018</v>
      </c>
      <c r="K1623">
        <v>6</v>
      </c>
      <c r="L1623">
        <v>276</v>
      </c>
      <c r="M1623" t="s">
        <v>16</v>
      </c>
      <c r="N1623">
        <f t="shared" si="75"/>
        <v>59.43</v>
      </c>
      <c r="O1623" t="str">
        <f t="shared" si="76"/>
        <v>June</v>
      </c>
      <c r="P1623" t="str">
        <f t="shared" si="77"/>
        <v>Weekday</v>
      </c>
    </row>
    <row r="1624" spans="1:16" x14ac:dyDescent="0.3">
      <c r="A1624" s="1">
        <v>43263</v>
      </c>
      <c r="B1624">
        <v>2.34</v>
      </c>
      <c r="C1624">
        <v>4.5</v>
      </c>
      <c r="D1624">
        <v>4</v>
      </c>
      <c r="E1624">
        <v>18.186</v>
      </c>
      <c r="F1624">
        <v>3</v>
      </c>
      <c r="G1624">
        <v>0</v>
      </c>
      <c r="H1624">
        <v>1</v>
      </c>
      <c r="I1624">
        <v>7.4</v>
      </c>
      <c r="J1624">
        <v>2018</v>
      </c>
      <c r="K1624">
        <v>6</v>
      </c>
      <c r="L1624">
        <v>276</v>
      </c>
      <c r="M1624" t="s">
        <v>17</v>
      </c>
      <c r="N1624">
        <f t="shared" si="75"/>
        <v>40.425999999999995</v>
      </c>
      <c r="O1624" t="str">
        <f t="shared" si="76"/>
        <v>June</v>
      </c>
      <c r="P1624" t="str">
        <f t="shared" si="77"/>
        <v>Weekday</v>
      </c>
    </row>
    <row r="1625" spans="1:16" x14ac:dyDescent="0.3">
      <c r="A1625" s="1">
        <v>43264</v>
      </c>
      <c r="B1625">
        <v>12</v>
      </c>
      <c r="C1625">
        <v>4.33</v>
      </c>
      <c r="D1625">
        <v>1.2</v>
      </c>
      <c r="E1625">
        <v>22.25</v>
      </c>
      <c r="F1625">
        <v>1</v>
      </c>
      <c r="G1625">
        <v>0</v>
      </c>
      <c r="H1625">
        <v>0</v>
      </c>
      <c r="I1625">
        <v>2</v>
      </c>
      <c r="J1625">
        <v>2018</v>
      </c>
      <c r="K1625">
        <v>6</v>
      </c>
      <c r="L1625">
        <v>276</v>
      </c>
      <c r="M1625" t="s">
        <v>18</v>
      </c>
      <c r="N1625">
        <f t="shared" si="75"/>
        <v>42.78</v>
      </c>
      <c r="O1625" t="str">
        <f t="shared" si="76"/>
        <v>June</v>
      </c>
      <c r="P1625" t="str">
        <f t="shared" si="77"/>
        <v>Weekday</v>
      </c>
    </row>
    <row r="1626" spans="1:16" x14ac:dyDescent="0.3">
      <c r="A1626" s="1">
        <v>43265</v>
      </c>
      <c r="B1626">
        <v>0</v>
      </c>
      <c r="C1626">
        <v>1</v>
      </c>
      <c r="D1626">
        <v>1</v>
      </c>
      <c r="E1626">
        <v>22</v>
      </c>
      <c r="F1626">
        <v>11</v>
      </c>
      <c r="G1626">
        <v>0</v>
      </c>
      <c r="H1626">
        <v>0</v>
      </c>
      <c r="I1626">
        <v>2</v>
      </c>
      <c r="J1626">
        <v>2018</v>
      </c>
      <c r="K1626">
        <v>6</v>
      </c>
      <c r="L1626">
        <v>276</v>
      </c>
      <c r="M1626" t="s">
        <v>12</v>
      </c>
      <c r="N1626">
        <f t="shared" si="75"/>
        <v>37</v>
      </c>
      <c r="O1626" t="str">
        <f t="shared" si="76"/>
        <v>June</v>
      </c>
      <c r="P1626" t="str">
        <f t="shared" si="77"/>
        <v>Weekday</v>
      </c>
    </row>
    <row r="1627" spans="1:16" x14ac:dyDescent="0.3">
      <c r="A1627" s="1">
        <v>43266</v>
      </c>
      <c r="B1627">
        <v>1</v>
      </c>
      <c r="C1627">
        <v>6.6000000000000003E-2</v>
      </c>
      <c r="D1627">
        <v>0.3</v>
      </c>
      <c r="E1627">
        <v>11.132999999999999</v>
      </c>
      <c r="F1627">
        <v>10</v>
      </c>
      <c r="G1627">
        <v>0</v>
      </c>
      <c r="H1627">
        <v>8</v>
      </c>
      <c r="I1627">
        <v>2</v>
      </c>
      <c r="J1627">
        <v>2018</v>
      </c>
      <c r="K1627">
        <v>6</v>
      </c>
      <c r="L1627">
        <v>276</v>
      </c>
      <c r="M1627" t="s">
        <v>13</v>
      </c>
      <c r="N1627">
        <f t="shared" si="75"/>
        <v>32.498999999999995</v>
      </c>
      <c r="O1627" t="str">
        <f t="shared" si="76"/>
        <v>June</v>
      </c>
      <c r="P1627" t="str">
        <f t="shared" si="77"/>
        <v>Weekday</v>
      </c>
    </row>
    <row r="1628" spans="1:16" x14ac:dyDescent="0.3">
      <c r="A1628" s="1">
        <v>43267</v>
      </c>
      <c r="B1628">
        <v>3.34</v>
      </c>
      <c r="C1628">
        <v>6.383</v>
      </c>
      <c r="D1628">
        <v>5</v>
      </c>
      <c r="E1628">
        <v>10</v>
      </c>
      <c r="F1628">
        <v>5</v>
      </c>
      <c r="G1628">
        <v>0</v>
      </c>
      <c r="H1628">
        <v>2</v>
      </c>
      <c r="I1628">
        <v>7</v>
      </c>
      <c r="J1628">
        <v>2018</v>
      </c>
      <c r="K1628">
        <v>6</v>
      </c>
      <c r="L1628">
        <v>276</v>
      </c>
      <c r="M1628" t="s">
        <v>14</v>
      </c>
      <c r="N1628">
        <f t="shared" si="75"/>
        <v>38.722999999999999</v>
      </c>
      <c r="O1628" t="str">
        <f t="shared" si="76"/>
        <v>June</v>
      </c>
      <c r="P1628" t="str">
        <f t="shared" si="77"/>
        <v>Weekend</v>
      </c>
    </row>
    <row r="1629" spans="1:16" x14ac:dyDescent="0.3">
      <c r="A1629" s="1">
        <v>43268</v>
      </c>
      <c r="B1629">
        <v>4.84</v>
      </c>
      <c r="C1629">
        <v>6.5860000000000003</v>
      </c>
      <c r="D1629">
        <v>6</v>
      </c>
      <c r="E1629">
        <v>24</v>
      </c>
      <c r="F1629">
        <v>10</v>
      </c>
      <c r="G1629">
        <v>0</v>
      </c>
      <c r="H1629">
        <v>5</v>
      </c>
      <c r="I1629">
        <v>4</v>
      </c>
      <c r="J1629">
        <v>2018</v>
      </c>
      <c r="K1629">
        <v>6</v>
      </c>
      <c r="L1629">
        <v>276</v>
      </c>
      <c r="M1629" t="s">
        <v>15</v>
      </c>
      <c r="N1629">
        <f t="shared" si="75"/>
        <v>60.426000000000002</v>
      </c>
      <c r="O1629" t="str">
        <f t="shared" si="76"/>
        <v>June</v>
      </c>
      <c r="P1629" t="str">
        <f t="shared" si="77"/>
        <v>Weekend</v>
      </c>
    </row>
    <row r="1630" spans="1:16" x14ac:dyDescent="0.3">
      <c r="A1630" s="1">
        <v>43269</v>
      </c>
      <c r="B1630">
        <v>4.5</v>
      </c>
      <c r="C1630">
        <v>1.33</v>
      </c>
      <c r="D1630">
        <v>2.1</v>
      </c>
      <c r="E1630">
        <v>14</v>
      </c>
      <c r="F1630">
        <v>4</v>
      </c>
      <c r="G1630">
        <v>0</v>
      </c>
      <c r="H1630">
        <v>1</v>
      </c>
      <c r="I1630">
        <v>6</v>
      </c>
      <c r="J1630">
        <v>2018</v>
      </c>
      <c r="K1630">
        <v>6</v>
      </c>
      <c r="L1630">
        <v>276</v>
      </c>
      <c r="M1630" t="s">
        <v>16</v>
      </c>
      <c r="N1630">
        <f t="shared" si="75"/>
        <v>32.93</v>
      </c>
      <c r="O1630" t="str">
        <f t="shared" si="76"/>
        <v>June</v>
      </c>
      <c r="P1630" t="str">
        <f t="shared" si="77"/>
        <v>Weekday</v>
      </c>
    </row>
    <row r="1631" spans="1:16" x14ac:dyDescent="0.3">
      <c r="A1631" s="1">
        <v>43270</v>
      </c>
      <c r="B1631">
        <v>4</v>
      </c>
      <c r="C1631">
        <v>3.34</v>
      </c>
      <c r="D1631">
        <v>4</v>
      </c>
      <c r="E1631">
        <v>23</v>
      </c>
      <c r="F1631">
        <v>8</v>
      </c>
      <c r="G1631">
        <v>0</v>
      </c>
      <c r="H1631">
        <v>5</v>
      </c>
      <c r="I1631">
        <v>3</v>
      </c>
      <c r="J1631">
        <v>2018</v>
      </c>
      <c r="K1631">
        <v>6</v>
      </c>
      <c r="L1631">
        <v>276</v>
      </c>
      <c r="M1631" t="s">
        <v>17</v>
      </c>
      <c r="N1631">
        <f t="shared" si="75"/>
        <v>50.34</v>
      </c>
      <c r="O1631" t="str">
        <f t="shared" si="76"/>
        <v>June</v>
      </c>
      <c r="P1631" t="str">
        <f t="shared" si="77"/>
        <v>Weekday</v>
      </c>
    </row>
    <row r="1632" spans="1:16" x14ac:dyDescent="0.3">
      <c r="A1632" s="1">
        <v>43271</v>
      </c>
      <c r="B1632">
        <v>3.66</v>
      </c>
      <c r="C1632">
        <v>4.5279999999999996</v>
      </c>
      <c r="D1632">
        <v>2.5</v>
      </c>
      <c r="E1632">
        <v>15.061999999999999</v>
      </c>
      <c r="F1632">
        <v>8</v>
      </c>
      <c r="G1632">
        <v>3</v>
      </c>
      <c r="H1632">
        <v>11</v>
      </c>
      <c r="I1632">
        <v>2.6</v>
      </c>
      <c r="J1632">
        <v>2018</v>
      </c>
      <c r="K1632">
        <v>6</v>
      </c>
      <c r="L1632">
        <v>276</v>
      </c>
      <c r="M1632" t="s">
        <v>18</v>
      </c>
      <c r="N1632">
        <f t="shared" si="75"/>
        <v>50.35</v>
      </c>
      <c r="O1632" t="str">
        <f t="shared" si="76"/>
        <v>June</v>
      </c>
      <c r="P1632" t="str">
        <f t="shared" si="77"/>
        <v>Weekday</v>
      </c>
    </row>
    <row r="1633" spans="1:16" x14ac:dyDescent="0.3">
      <c r="A1633" s="1">
        <v>43272</v>
      </c>
      <c r="B1633">
        <v>3.35</v>
      </c>
      <c r="C1633">
        <v>2.9129999999999998</v>
      </c>
      <c r="D1633">
        <v>4</v>
      </c>
      <c r="E1633">
        <v>36</v>
      </c>
      <c r="F1633">
        <v>5</v>
      </c>
      <c r="G1633">
        <v>0</v>
      </c>
      <c r="H1633">
        <v>5</v>
      </c>
      <c r="I1633">
        <v>10.5</v>
      </c>
      <c r="J1633">
        <v>2018</v>
      </c>
      <c r="K1633">
        <v>6</v>
      </c>
      <c r="L1633">
        <v>276</v>
      </c>
      <c r="M1633" t="s">
        <v>12</v>
      </c>
      <c r="N1633">
        <f t="shared" si="75"/>
        <v>66.763000000000005</v>
      </c>
      <c r="O1633" t="str">
        <f t="shared" si="76"/>
        <v>June</v>
      </c>
      <c r="P1633" t="str">
        <f t="shared" si="77"/>
        <v>Weekday</v>
      </c>
    </row>
    <row r="1634" spans="1:16" x14ac:dyDescent="0.3">
      <c r="A1634" s="1">
        <v>43273</v>
      </c>
      <c r="B1634">
        <v>5</v>
      </c>
      <c r="C1634">
        <v>5.0990000000000002</v>
      </c>
      <c r="D1634">
        <v>4.1500000000000004</v>
      </c>
      <c r="E1634">
        <v>12</v>
      </c>
      <c r="F1634">
        <v>3</v>
      </c>
      <c r="G1634">
        <v>0</v>
      </c>
      <c r="H1634">
        <v>6</v>
      </c>
      <c r="I1634">
        <v>5.5</v>
      </c>
      <c r="J1634">
        <v>2018</v>
      </c>
      <c r="K1634">
        <v>6</v>
      </c>
      <c r="L1634">
        <v>276</v>
      </c>
      <c r="M1634" t="s">
        <v>13</v>
      </c>
      <c r="N1634">
        <f t="shared" si="75"/>
        <v>40.749000000000002</v>
      </c>
      <c r="O1634" t="str">
        <f t="shared" si="76"/>
        <v>June</v>
      </c>
      <c r="P1634" t="str">
        <f t="shared" si="77"/>
        <v>Weekday</v>
      </c>
    </row>
    <row r="1635" spans="1:16" x14ac:dyDescent="0.3">
      <c r="A1635" s="1">
        <v>43274</v>
      </c>
      <c r="B1635">
        <v>5.33</v>
      </c>
      <c r="C1635">
        <v>7.343</v>
      </c>
      <c r="D1635">
        <v>2</v>
      </c>
      <c r="E1635">
        <v>14</v>
      </c>
      <c r="F1635">
        <v>7</v>
      </c>
      <c r="G1635">
        <v>0</v>
      </c>
      <c r="H1635">
        <v>1</v>
      </c>
      <c r="I1635">
        <v>2</v>
      </c>
      <c r="J1635">
        <v>2018</v>
      </c>
      <c r="K1635">
        <v>6</v>
      </c>
      <c r="L1635">
        <v>276</v>
      </c>
      <c r="M1635" t="s">
        <v>14</v>
      </c>
      <c r="N1635">
        <f t="shared" si="75"/>
        <v>38.673000000000002</v>
      </c>
      <c r="O1635" t="str">
        <f t="shared" si="76"/>
        <v>June</v>
      </c>
      <c r="P1635" t="str">
        <f t="shared" si="77"/>
        <v>Weekend</v>
      </c>
    </row>
    <row r="1636" spans="1:16" x14ac:dyDescent="0.3">
      <c r="A1636" s="1">
        <v>43275</v>
      </c>
      <c r="B1636">
        <v>1.67</v>
      </c>
      <c r="C1636">
        <v>4.7460000000000004</v>
      </c>
      <c r="D1636">
        <v>2</v>
      </c>
      <c r="E1636">
        <v>29</v>
      </c>
      <c r="F1636">
        <v>10</v>
      </c>
      <c r="G1636">
        <v>0</v>
      </c>
      <c r="H1636">
        <v>0</v>
      </c>
      <c r="I1636">
        <v>3</v>
      </c>
      <c r="J1636">
        <v>2018</v>
      </c>
      <c r="K1636">
        <v>6</v>
      </c>
      <c r="L1636">
        <v>276</v>
      </c>
      <c r="M1636" t="s">
        <v>15</v>
      </c>
      <c r="N1636">
        <f t="shared" si="75"/>
        <v>50.415999999999997</v>
      </c>
      <c r="O1636" t="str">
        <f t="shared" si="76"/>
        <v>June</v>
      </c>
      <c r="P1636" t="str">
        <f t="shared" si="77"/>
        <v>Weekend</v>
      </c>
    </row>
    <row r="1637" spans="1:16" x14ac:dyDescent="0.3">
      <c r="A1637" s="1">
        <v>43276</v>
      </c>
      <c r="B1637">
        <v>3.33</v>
      </c>
      <c r="C1637">
        <v>3.0990000000000002</v>
      </c>
      <c r="D1637">
        <v>0</v>
      </c>
      <c r="E1637">
        <v>31.062000000000001</v>
      </c>
      <c r="F1637">
        <v>12</v>
      </c>
      <c r="G1637">
        <v>3</v>
      </c>
      <c r="H1637">
        <v>5</v>
      </c>
      <c r="I1637">
        <v>2</v>
      </c>
      <c r="J1637">
        <v>2018</v>
      </c>
      <c r="K1637">
        <v>6</v>
      </c>
      <c r="L1637">
        <v>276</v>
      </c>
      <c r="M1637" t="s">
        <v>16</v>
      </c>
      <c r="N1637">
        <f t="shared" si="75"/>
        <v>59.491</v>
      </c>
      <c r="O1637" t="str">
        <f t="shared" si="76"/>
        <v>June</v>
      </c>
      <c r="P1637" t="str">
        <f t="shared" si="77"/>
        <v>Weekday</v>
      </c>
    </row>
    <row r="1638" spans="1:16" x14ac:dyDescent="0.3">
      <c r="A1638" s="1">
        <v>43277</v>
      </c>
      <c r="B1638">
        <v>10.33</v>
      </c>
      <c r="C1638">
        <v>5.67</v>
      </c>
      <c r="D1638">
        <v>3</v>
      </c>
      <c r="E1638">
        <v>15</v>
      </c>
      <c r="F1638">
        <v>6</v>
      </c>
      <c r="G1638">
        <v>0</v>
      </c>
      <c r="H1638">
        <v>9</v>
      </c>
      <c r="I1638">
        <v>4.4000000000000004</v>
      </c>
      <c r="J1638">
        <v>2018</v>
      </c>
      <c r="K1638">
        <v>6</v>
      </c>
      <c r="L1638">
        <v>276</v>
      </c>
      <c r="M1638" t="s">
        <v>17</v>
      </c>
      <c r="N1638">
        <f t="shared" si="75"/>
        <v>53.4</v>
      </c>
      <c r="O1638" t="str">
        <f t="shared" si="76"/>
        <v>June</v>
      </c>
      <c r="P1638" t="str">
        <f t="shared" si="77"/>
        <v>Weekday</v>
      </c>
    </row>
    <row r="1639" spans="1:16" x14ac:dyDescent="0.3">
      <c r="A1639" s="1">
        <v>43278</v>
      </c>
      <c r="B1639">
        <v>2</v>
      </c>
      <c r="C1639">
        <v>2.3959999999999999</v>
      </c>
      <c r="D1639">
        <v>3</v>
      </c>
      <c r="E1639">
        <v>11</v>
      </c>
      <c r="F1639">
        <v>10</v>
      </c>
      <c r="G1639">
        <v>0</v>
      </c>
      <c r="H1639">
        <v>2</v>
      </c>
      <c r="I1639">
        <v>3</v>
      </c>
      <c r="J1639">
        <v>2018</v>
      </c>
      <c r="K1639">
        <v>6</v>
      </c>
      <c r="L1639">
        <v>276</v>
      </c>
      <c r="M1639" t="s">
        <v>18</v>
      </c>
      <c r="N1639">
        <f t="shared" si="75"/>
        <v>33.396000000000001</v>
      </c>
      <c r="O1639" t="str">
        <f t="shared" si="76"/>
        <v>June</v>
      </c>
      <c r="P1639" t="str">
        <f t="shared" si="77"/>
        <v>Weekday</v>
      </c>
    </row>
    <row r="1640" spans="1:16" x14ac:dyDescent="0.3">
      <c r="A1640" s="1">
        <v>43279</v>
      </c>
      <c r="B1640">
        <v>3</v>
      </c>
      <c r="C1640">
        <v>2.1920000000000002</v>
      </c>
      <c r="D1640">
        <v>4</v>
      </c>
      <c r="E1640">
        <v>10</v>
      </c>
      <c r="F1640">
        <v>13</v>
      </c>
      <c r="G1640">
        <v>0</v>
      </c>
      <c r="H1640">
        <v>5</v>
      </c>
      <c r="I1640">
        <v>2</v>
      </c>
      <c r="J1640">
        <v>2018</v>
      </c>
      <c r="K1640">
        <v>6</v>
      </c>
      <c r="L1640">
        <v>276</v>
      </c>
      <c r="M1640" t="s">
        <v>12</v>
      </c>
      <c r="N1640">
        <f t="shared" si="75"/>
        <v>39.192</v>
      </c>
      <c r="O1640" t="str">
        <f t="shared" si="76"/>
        <v>June</v>
      </c>
      <c r="P1640" t="str">
        <f t="shared" si="77"/>
        <v>Weekday</v>
      </c>
    </row>
    <row r="1641" spans="1:16" x14ac:dyDescent="0.3">
      <c r="A1641" s="1">
        <v>43280</v>
      </c>
      <c r="B1641">
        <v>1</v>
      </c>
      <c r="C1641">
        <v>3</v>
      </c>
      <c r="D1641">
        <v>2</v>
      </c>
      <c r="E1641">
        <v>10</v>
      </c>
      <c r="F1641">
        <v>8</v>
      </c>
      <c r="G1641">
        <v>0</v>
      </c>
      <c r="H1641">
        <v>0</v>
      </c>
      <c r="I1641">
        <v>4</v>
      </c>
      <c r="J1641">
        <v>2018</v>
      </c>
      <c r="K1641">
        <v>6</v>
      </c>
      <c r="L1641">
        <v>276</v>
      </c>
      <c r="M1641" t="s">
        <v>13</v>
      </c>
      <c r="N1641">
        <f t="shared" si="75"/>
        <v>28</v>
      </c>
      <c r="O1641" t="str">
        <f t="shared" si="76"/>
        <v>June</v>
      </c>
      <c r="P1641" t="str">
        <f t="shared" si="77"/>
        <v>Weekday</v>
      </c>
    </row>
    <row r="1642" spans="1:16" x14ac:dyDescent="0.3">
      <c r="A1642" s="1">
        <v>43281</v>
      </c>
      <c r="B1642">
        <v>6.84</v>
      </c>
      <c r="C1642">
        <v>3.34</v>
      </c>
      <c r="D1642">
        <v>7</v>
      </c>
      <c r="E1642">
        <v>26.8</v>
      </c>
      <c r="F1642">
        <v>10</v>
      </c>
      <c r="G1642">
        <v>2</v>
      </c>
      <c r="H1642">
        <v>0</v>
      </c>
      <c r="I1642">
        <v>4</v>
      </c>
      <c r="J1642">
        <v>2018</v>
      </c>
      <c r="K1642">
        <v>6</v>
      </c>
      <c r="L1642">
        <v>276</v>
      </c>
      <c r="M1642" t="s">
        <v>14</v>
      </c>
      <c r="N1642">
        <f t="shared" si="75"/>
        <v>59.980000000000004</v>
      </c>
      <c r="O1642" t="str">
        <f t="shared" si="76"/>
        <v>June</v>
      </c>
      <c r="P1642" t="str">
        <f t="shared" si="77"/>
        <v>Weekend</v>
      </c>
    </row>
    <row r="1643" spans="1:16" x14ac:dyDescent="0.3">
      <c r="A1643" s="1">
        <v>43282</v>
      </c>
      <c r="B1643">
        <v>2</v>
      </c>
      <c r="C1643">
        <v>3.6930000000000001</v>
      </c>
      <c r="D1643">
        <v>1</v>
      </c>
      <c r="E1643">
        <v>22</v>
      </c>
      <c r="F1643">
        <v>7</v>
      </c>
      <c r="G1643">
        <v>0</v>
      </c>
      <c r="H1643">
        <v>10</v>
      </c>
      <c r="I1643">
        <v>4</v>
      </c>
      <c r="J1643">
        <v>2018</v>
      </c>
      <c r="K1643">
        <v>7</v>
      </c>
      <c r="L1643">
        <v>276</v>
      </c>
      <c r="M1643" t="s">
        <v>15</v>
      </c>
      <c r="N1643">
        <f t="shared" si="75"/>
        <v>49.692999999999998</v>
      </c>
      <c r="O1643" t="str">
        <f t="shared" si="76"/>
        <v>July</v>
      </c>
      <c r="P1643" t="str">
        <f t="shared" si="77"/>
        <v>Weekend</v>
      </c>
    </row>
    <row r="1644" spans="1:16" x14ac:dyDescent="0.3">
      <c r="A1644" s="1">
        <v>43283</v>
      </c>
      <c r="B1644">
        <v>3.33</v>
      </c>
      <c r="C1644">
        <v>6.33</v>
      </c>
      <c r="D1644">
        <v>3</v>
      </c>
      <c r="E1644">
        <v>24.6</v>
      </c>
      <c r="F1644">
        <v>18</v>
      </c>
      <c r="G1644">
        <v>0</v>
      </c>
      <c r="H1644">
        <v>3</v>
      </c>
      <c r="I1644">
        <v>7</v>
      </c>
      <c r="J1644">
        <v>2018</v>
      </c>
      <c r="K1644">
        <v>7</v>
      </c>
      <c r="L1644">
        <v>276</v>
      </c>
      <c r="M1644" t="s">
        <v>16</v>
      </c>
      <c r="N1644">
        <f t="shared" si="75"/>
        <v>65.260000000000005</v>
      </c>
      <c r="O1644" t="str">
        <f t="shared" si="76"/>
        <v>July</v>
      </c>
      <c r="P1644" t="str">
        <f t="shared" si="77"/>
        <v>Weekday</v>
      </c>
    </row>
    <row r="1645" spans="1:16" x14ac:dyDescent="0.3">
      <c r="A1645" s="1">
        <v>43284</v>
      </c>
      <c r="B1645">
        <v>6.34</v>
      </c>
      <c r="C1645">
        <v>2.33</v>
      </c>
      <c r="D1645">
        <v>1</v>
      </c>
      <c r="E1645">
        <v>13.6</v>
      </c>
      <c r="F1645">
        <v>9</v>
      </c>
      <c r="G1645">
        <v>0</v>
      </c>
      <c r="H1645">
        <v>8</v>
      </c>
      <c r="I1645">
        <v>3</v>
      </c>
      <c r="J1645">
        <v>2018</v>
      </c>
      <c r="K1645">
        <v>7</v>
      </c>
      <c r="L1645">
        <v>276</v>
      </c>
      <c r="M1645" t="s">
        <v>17</v>
      </c>
      <c r="N1645">
        <f t="shared" si="75"/>
        <v>43.269999999999996</v>
      </c>
      <c r="O1645" t="str">
        <f t="shared" si="76"/>
        <v>July</v>
      </c>
      <c r="P1645" t="str">
        <f t="shared" si="77"/>
        <v>Weekday</v>
      </c>
    </row>
    <row r="1646" spans="1:16" x14ac:dyDescent="0.3">
      <c r="A1646" s="1">
        <v>43285</v>
      </c>
      <c r="B1646">
        <v>1</v>
      </c>
      <c r="C1646">
        <v>2.83</v>
      </c>
      <c r="D1646">
        <v>3.5</v>
      </c>
      <c r="E1646">
        <v>16.25</v>
      </c>
      <c r="F1646">
        <v>6</v>
      </c>
      <c r="G1646">
        <v>0</v>
      </c>
      <c r="H1646">
        <v>22</v>
      </c>
      <c r="I1646">
        <v>7</v>
      </c>
      <c r="J1646">
        <v>2018</v>
      </c>
      <c r="K1646">
        <v>7</v>
      </c>
      <c r="L1646">
        <v>276</v>
      </c>
      <c r="M1646" t="s">
        <v>18</v>
      </c>
      <c r="N1646">
        <f t="shared" si="75"/>
        <v>58.58</v>
      </c>
      <c r="O1646" t="str">
        <f t="shared" si="76"/>
        <v>July</v>
      </c>
      <c r="P1646" t="str">
        <f t="shared" si="77"/>
        <v>Weekday</v>
      </c>
    </row>
    <row r="1647" spans="1:16" x14ac:dyDescent="0.3">
      <c r="A1647" s="1">
        <v>43286</v>
      </c>
      <c r="B1647">
        <v>4.33</v>
      </c>
      <c r="C1647">
        <v>2.7589999999999999</v>
      </c>
      <c r="D1647">
        <v>4</v>
      </c>
      <c r="E1647">
        <v>15</v>
      </c>
      <c r="F1647">
        <v>6</v>
      </c>
      <c r="G1647">
        <v>3</v>
      </c>
      <c r="H1647">
        <v>3</v>
      </c>
      <c r="I1647">
        <v>1</v>
      </c>
      <c r="J1647">
        <v>2018</v>
      </c>
      <c r="K1647">
        <v>7</v>
      </c>
      <c r="L1647">
        <v>276</v>
      </c>
      <c r="M1647" t="s">
        <v>12</v>
      </c>
      <c r="N1647">
        <f t="shared" si="75"/>
        <v>39.088999999999999</v>
      </c>
      <c r="O1647" t="str">
        <f t="shared" si="76"/>
        <v>July</v>
      </c>
      <c r="P1647" t="str">
        <f t="shared" si="77"/>
        <v>Weekday</v>
      </c>
    </row>
    <row r="1648" spans="1:16" x14ac:dyDescent="0.3">
      <c r="A1648" s="1">
        <v>43287</v>
      </c>
      <c r="B1648">
        <v>2.33</v>
      </c>
      <c r="C1648">
        <v>5.33</v>
      </c>
      <c r="D1648">
        <v>1.25</v>
      </c>
      <c r="E1648">
        <v>20</v>
      </c>
      <c r="F1648">
        <v>15</v>
      </c>
      <c r="G1648">
        <v>0</v>
      </c>
      <c r="H1648">
        <v>0</v>
      </c>
      <c r="I1648">
        <v>6</v>
      </c>
      <c r="J1648">
        <v>2018</v>
      </c>
      <c r="K1648">
        <v>7</v>
      </c>
      <c r="L1648">
        <v>276</v>
      </c>
      <c r="M1648" t="s">
        <v>13</v>
      </c>
      <c r="N1648">
        <f t="shared" si="75"/>
        <v>49.91</v>
      </c>
      <c r="O1648" t="str">
        <f t="shared" si="76"/>
        <v>July</v>
      </c>
      <c r="P1648" t="str">
        <f t="shared" si="77"/>
        <v>Weekday</v>
      </c>
    </row>
    <row r="1649" spans="1:16" x14ac:dyDescent="0.3">
      <c r="A1649" s="1">
        <v>43288</v>
      </c>
      <c r="B1649">
        <v>6.33</v>
      </c>
      <c r="C1649">
        <v>8.52</v>
      </c>
      <c r="D1649">
        <v>7</v>
      </c>
      <c r="E1649">
        <v>19</v>
      </c>
      <c r="F1649">
        <v>14</v>
      </c>
      <c r="G1649">
        <v>0</v>
      </c>
      <c r="H1649">
        <v>0</v>
      </c>
      <c r="I1649">
        <v>5.5</v>
      </c>
      <c r="J1649">
        <v>2018</v>
      </c>
      <c r="K1649">
        <v>7</v>
      </c>
      <c r="L1649">
        <v>276</v>
      </c>
      <c r="M1649" t="s">
        <v>14</v>
      </c>
      <c r="N1649">
        <f t="shared" si="75"/>
        <v>60.35</v>
      </c>
      <c r="O1649" t="str">
        <f t="shared" si="76"/>
        <v>July</v>
      </c>
      <c r="P1649" t="str">
        <f t="shared" si="77"/>
        <v>Weekend</v>
      </c>
    </row>
    <row r="1650" spans="1:16" x14ac:dyDescent="0.3">
      <c r="A1650" s="1">
        <v>43289</v>
      </c>
      <c r="B1650">
        <v>7.33</v>
      </c>
      <c r="C1650">
        <v>5.2110000000000003</v>
      </c>
      <c r="D1650">
        <v>2</v>
      </c>
      <c r="E1650">
        <v>28</v>
      </c>
      <c r="F1650">
        <v>10</v>
      </c>
      <c r="G1650">
        <v>0</v>
      </c>
      <c r="H1650">
        <v>5</v>
      </c>
      <c r="I1650">
        <v>4</v>
      </c>
      <c r="J1650">
        <v>2018</v>
      </c>
      <c r="K1650">
        <v>7</v>
      </c>
      <c r="L1650">
        <v>276</v>
      </c>
      <c r="M1650" t="s">
        <v>15</v>
      </c>
      <c r="N1650">
        <f t="shared" si="75"/>
        <v>61.540999999999997</v>
      </c>
      <c r="O1650" t="str">
        <f t="shared" si="76"/>
        <v>July</v>
      </c>
      <c r="P1650" t="str">
        <f t="shared" si="77"/>
        <v>Weekend</v>
      </c>
    </row>
    <row r="1651" spans="1:16" x14ac:dyDescent="0.3">
      <c r="A1651" s="1">
        <v>43290</v>
      </c>
      <c r="B1651">
        <v>3.33</v>
      </c>
      <c r="C1651">
        <v>2</v>
      </c>
      <c r="D1651">
        <v>4</v>
      </c>
      <c r="E1651">
        <v>31</v>
      </c>
      <c r="F1651">
        <v>12</v>
      </c>
      <c r="G1651">
        <v>3</v>
      </c>
      <c r="H1651">
        <v>0</v>
      </c>
      <c r="I1651">
        <v>3</v>
      </c>
      <c r="J1651">
        <v>2018</v>
      </c>
      <c r="K1651">
        <v>7</v>
      </c>
      <c r="L1651">
        <v>276</v>
      </c>
      <c r="M1651" t="s">
        <v>16</v>
      </c>
      <c r="N1651">
        <f t="shared" si="75"/>
        <v>58.33</v>
      </c>
      <c r="O1651" t="str">
        <f t="shared" si="76"/>
        <v>July</v>
      </c>
      <c r="P1651" t="str">
        <f t="shared" si="77"/>
        <v>Weekday</v>
      </c>
    </row>
    <row r="1652" spans="1:16" x14ac:dyDescent="0.3">
      <c r="A1652" s="1">
        <v>43291</v>
      </c>
      <c r="B1652">
        <v>6</v>
      </c>
      <c r="C1652">
        <v>6.36</v>
      </c>
      <c r="D1652">
        <v>4</v>
      </c>
      <c r="E1652">
        <v>34</v>
      </c>
      <c r="F1652">
        <v>9</v>
      </c>
      <c r="G1652">
        <v>2</v>
      </c>
      <c r="H1652">
        <v>2</v>
      </c>
      <c r="I1652">
        <v>4</v>
      </c>
      <c r="J1652">
        <v>2018</v>
      </c>
      <c r="K1652">
        <v>7</v>
      </c>
      <c r="L1652">
        <v>276</v>
      </c>
      <c r="M1652" t="s">
        <v>17</v>
      </c>
      <c r="N1652">
        <f t="shared" si="75"/>
        <v>67.36</v>
      </c>
      <c r="O1652" t="str">
        <f t="shared" si="76"/>
        <v>July</v>
      </c>
      <c r="P1652" t="str">
        <f t="shared" si="77"/>
        <v>Weekday</v>
      </c>
    </row>
    <row r="1653" spans="1:16" x14ac:dyDescent="0.3">
      <c r="A1653" s="1">
        <v>43292</v>
      </c>
      <c r="B1653">
        <v>10</v>
      </c>
      <c r="C1653">
        <v>3.363</v>
      </c>
      <c r="D1653">
        <v>3</v>
      </c>
      <c r="E1653">
        <v>29.4</v>
      </c>
      <c r="F1653">
        <v>13</v>
      </c>
      <c r="G1653">
        <v>0</v>
      </c>
      <c r="H1653">
        <v>6</v>
      </c>
      <c r="I1653">
        <v>2</v>
      </c>
      <c r="J1653">
        <v>2018</v>
      </c>
      <c r="K1653">
        <v>7</v>
      </c>
      <c r="L1653">
        <v>276</v>
      </c>
      <c r="M1653" t="s">
        <v>18</v>
      </c>
      <c r="N1653">
        <f t="shared" si="75"/>
        <v>66.763000000000005</v>
      </c>
      <c r="O1653" t="str">
        <f t="shared" si="76"/>
        <v>July</v>
      </c>
      <c r="P1653" t="str">
        <f t="shared" si="77"/>
        <v>Weekday</v>
      </c>
    </row>
    <row r="1654" spans="1:16" x14ac:dyDescent="0.3">
      <c r="A1654" s="1">
        <v>43293</v>
      </c>
      <c r="B1654">
        <v>3</v>
      </c>
      <c r="C1654">
        <v>4.34</v>
      </c>
      <c r="D1654">
        <v>7</v>
      </c>
      <c r="E1654">
        <v>24</v>
      </c>
      <c r="F1654">
        <v>11</v>
      </c>
      <c r="G1654">
        <v>4</v>
      </c>
      <c r="H1654">
        <v>0</v>
      </c>
      <c r="I1654">
        <v>3</v>
      </c>
      <c r="J1654">
        <v>2018</v>
      </c>
      <c r="K1654">
        <v>7</v>
      </c>
      <c r="L1654">
        <v>276</v>
      </c>
      <c r="M1654" t="s">
        <v>12</v>
      </c>
      <c r="N1654">
        <f t="shared" si="75"/>
        <v>56.34</v>
      </c>
      <c r="O1654" t="str">
        <f t="shared" si="76"/>
        <v>July</v>
      </c>
      <c r="P1654" t="str">
        <f t="shared" si="77"/>
        <v>Weekday</v>
      </c>
    </row>
    <row r="1655" spans="1:16" x14ac:dyDescent="0.3">
      <c r="A1655" s="1">
        <v>43294</v>
      </c>
      <c r="B1655">
        <v>1.34</v>
      </c>
      <c r="C1655">
        <v>2.67</v>
      </c>
      <c r="D1655">
        <v>1.1499999999999999</v>
      </c>
      <c r="E1655">
        <v>22</v>
      </c>
      <c r="F1655">
        <v>5</v>
      </c>
      <c r="G1655">
        <v>0</v>
      </c>
      <c r="H1655">
        <v>2</v>
      </c>
      <c r="I1655">
        <v>3</v>
      </c>
      <c r="J1655">
        <v>2018</v>
      </c>
      <c r="K1655">
        <v>7</v>
      </c>
      <c r="L1655">
        <v>276</v>
      </c>
      <c r="M1655" t="s">
        <v>13</v>
      </c>
      <c r="N1655">
        <f t="shared" si="75"/>
        <v>37.159999999999997</v>
      </c>
      <c r="O1655" t="str">
        <f t="shared" si="76"/>
        <v>July</v>
      </c>
      <c r="P1655" t="str">
        <f t="shared" si="77"/>
        <v>Weekday</v>
      </c>
    </row>
    <row r="1656" spans="1:16" x14ac:dyDescent="0.3">
      <c r="A1656" s="1">
        <v>43295</v>
      </c>
      <c r="B1656">
        <v>0</v>
      </c>
      <c r="C1656">
        <v>3.2</v>
      </c>
      <c r="D1656">
        <v>0</v>
      </c>
      <c r="E1656">
        <v>26</v>
      </c>
      <c r="F1656">
        <v>8</v>
      </c>
      <c r="G1656">
        <v>0</v>
      </c>
      <c r="H1656">
        <v>0</v>
      </c>
      <c r="I1656">
        <v>1.4</v>
      </c>
      <c r="J1656">
        <v>2018</v>
      </c>
      <c r="K1656">
        <v>7</v>
      </c>
      <c r="L1656">
        <v>276</v>
      </c>
      <c r="M1656" t="s">
        <v>14</v>
      </c>
      <c r="N1656">
        <f t="shared" si="75"/>
        <v>38.6</v>
      </c>
      <c r="O1656" t="str">
        <f t="shared" si="76"/>
        <v>July</v>
      </c>
      <c r="P1656" t="str">
        <f t="shared" si="77"/>
        <v>Weekend</v>
      </c>
    </row>
    <row r="1657" spans="1:16" x14ac:dyDescent="0.3">
      <c r="A1657" s="1">
        <v>43296</v>
      </c>
      <c r="B1657">
        <v>10</v>
      </c>
      <c r="C1657">
        <v>9.42</v>
      </c>
      <c r="D1657">
        <v>3.5</v>
      </c>
      <c r="E1657">
        <v>23</v>
      </c>
      <c r="F1657">
        <v>4</v>
      </c>
      <c r="G1657">
        <v>0</v>
      </c>
      <c r="H1657">
        <v>1</v>
      </c>
      <c r="I1657">
        <v>7</v>
      </c>
      <c r="J1657">
        <v>2018</v>
      </c>
      <c r="K1657">
        <v>7</v>
      </c>
      <c r="L1657">
        <v>276</v>
      </c>
      <c r="M1657" t="s">
        <v>15</v>
      </c>
      <c r="N1657">
        <f t="shared" si="75"/>
        <v>57.92</v>
      </c>
      <c r="O1657" t="str">
        <f t="shared" si="76"/>
        <v>July</v>
      </c>
      <c r="P1657" t="str">
        <f t="shared" si="77"/>
        <v>Weekend</v>
      </c>
    </row>
    <row r="1658" spans="1:16" x14ac:dyDescent="0.3">
      <c r="A1658" s="1">
        <v>43297</v>
      </c>
      <c r="B1658">
        <v>9.33</v>
      </c>
      <c r="C1658">
        <v>5.0229999999999997</v>
      </c>
      <c r="D1658">
        <v>1</v>
      </c>
      <c r="E1658">
        <v>22</v>
      </c>
      <c r="F1658">
        <v>8</v>
      </c>
      <c r="G1658">
        <v>0</v>
      </c>
      <c r="H1658">
        <v>0</v>
      </c>
      <c r="I1658">
        <v>3</v>
      </c>
      <c r="J1658">
        <v>2018</v>
      </c>
      <c r="K1658">
        <v>7</v>
      </c>
      <c r="L1658">
        <v>276</v>
      </c>
      <c r="M1658" t="s">
        <v>16</v>
      </c>
      <c r="N1658">
        <f t="shared" si="75"/>
        <v>48.353000000000002</v>
      </c>
      <c r="O1658" t="str">
        <f t="shared" si="76"/>
        <v>July</v>
      </c>
      <c r="P1658" t="str">
        <f t="shared" si="77"/>
        <v>Weekday</v>
      </c>
    </row>
    <row r="1659" spans="1:16" x14ac:dyDescent="0.3">
      <c r="A1659" s="1">
        <v>43298</v>
      </c>
      <c r="B1659">
        <v>2.33</v>
      </c>
      <c r="C1659">
        <v>3.66</v>
      </c>
      <c r="D1659">
        <v>2</v>
      </c>
      <c r="E1659">
        <v>29.4</v>
      </c>
      <c r="F1659">
        <v>13</v>
      </c>
      <c r="G1659">
        <v>0</v>
      </c>
      <c r="H1659">
        <v>0</v>
      </c>
      <c r="I1659">
        <v>6</v>
      </c>
      <c r="J1659">
        <v>2018</v>
      </c>
      <c r="K1659">
        <v>7</v>
      </c>
      <c r="L1659">
        <v>276</v>
      </c>
      <c r="M1659" t="s">
        <v>17</v>
      </c>
      <c r="N1659">
        <f t="shared" si="75"/>
        <v>56.39</v>
      </c>
      <c r="O1659" t="str">
        <f t="shared" si="76"/>
        <v>July</v>
      </c>
      <c r="P1659" t="str">
        <f t="shared" si="77"/>
        <v>Weekday</v>
      </c>
    </row>
    <row r="1660" spans="1:16" x14ac:dyDescent="0.3">
      <c r="A1660" s="1">
        <v>43299</v>
      </c>
      <c r="B1660">
        <v>2.5</v>
      </c>
      <c r="C1660">
        <v>2.8370000000000002</v>
      </c>
      <c r="D1660">
        <v>5</v>
      </c>
      <c r="E1660">
        <v>10</v>
      </c>
      <c r="F1660">
        <v>17</v>
      </c>
      <c r="G1660">
        <v>0</v>
      </c>
      <c r="H1660">
        <v>12</v>
      </c>
      <c r="I1660">
        <v>6</v>
      </c>
      <c r="J1660">
        <v>2018</v>
      </c>
      <c r="K1660">
        <v>7</v>
      </c>
      <c r="L1660">
        <v>276</v>
      </c>
      <c r="M1660" t="s">
        <v>18</v>
      </c>
      <c r="N1660">
        <f t="shared" si="75"/>
        <v>55.337000000000003</v>
      </c>
      <c r="O1660" t="str">
        <f t="shared" si="76"/>
        <v>July</v>
      </c>
      <c r="P1660" t="str">
        <f t="shared" si="77"/>
        <v>Weekday</v>
      </c>
    </row>
    <row r="1661" spans="1:16" x14ac:dyDescent="0.3">
      <c r="A1661" s="1">
        <v>43300</v>
      </c>
      <c r="B1661">
        <v>6.84</v>
      </c>
      <c r="C1661">
        <v>4</v>
      </c>
      <c r="D1661">
        <v>3</v>
      </c>
      <c r="E1661">
        <v>16</v>
      </c>
      <c r="F1661">
        <v>14</v>
      </c>
      <c r="G1661">
        <v>1</v>
      </c>
      <c r="H1661">
        <v>0</v>
      </c>
      <c r="I1661">
        <v>3</v>
      </c>
      <c r="J1661">
        <v>2018</v>
      </c>
      <c r="K1661">
        <v>7</v>
      </c>
      <c r="L1661">
        <v>276</v>
      </c>
      <c r="M1661" t="s">
        <v>12</v>
      </c>
      <c r="N1661">
        <f t="shared" si="75"/>
        <v>47.84</v>
      </c>
      <c r="O1661" t="str">
        <f t="shared" si="76"/>
        <v>July</v>
      </c>
      <c r="P1661" t="str">
        <f t="shared" si="77"/>
        <v>Weekday</v>
      </c>
    </row>
    <row r="1662" spans="1:16" x14ac:dyDescent="0.3">
      <c r="A1662" s="1">
        <v>43301</v>
      </c>
      <c r="B1662">
        <v>5</v>
      </c>
      <c r="C1662">
        <v>7.1769999999999996</v>
      </c>
      <c r="D1662">
        <v>5</v>
      </c>
      <c r="E1662">
        <v>35.200000000000003</v>
      </c>
      <c r="F1662">
        <v>2</v>
      </c>
      <c r="G1662">
        <v>1</v>
      </c>
      <c r="H1662">
        <v>2</v>
      </c>
      <c r="I1662">
        <v>4</v>
      </c>
      <c r="J1662">
        <v>2018</v>
      </c>
      <c r="K1662">
        <v>7</v>
      </c>
      <c r="L1662">
        <v>276</v>
      </c>
      <c r="M1662" t="s">
        <v>13</v>
      </c>
      <c r="N1662">
        <f t="shared" si="75"/>
        <v>61.377000000000002</v>
      </c>
      <c r="O1662" t="str">
        <f t="shared" si="76"/>
        <v>July</v>
      </c>
      <c r="P1662" t="str">
        <f t="shared" si="77"/>
        <v>Weekday</v>
      </c>
    </row>
    <row r="1663" spans="1:16" x14ac:dyDescent="0.3">
      <c r="A1663" s="1">
        <v>43302</v>
      </c>
      <c r="B1663">
        <v>4</v>
      </c>
      <c r="C1663">
        <v>5.0199999999999996</v>
      </c>
      <c r="D1663">
        <v>0.3</v>
      </c>
      <c r="E1663">
        <v>22</v>
      </c>
      <c r="F1663">
        <v>7</v>
      </c>
      <c r="G1663">
        <v>0</v>
      </c>
      <c r="H1663">
        <v>5</v>
      </c>
      <c r="I1663">
        <v>1</v>
      </c>
      <c r="J1663">
        <v>2018</v>
      </c>
      <c r="K1663">
        <v>7</v>
      </c>
      <c r="L1663">
        <v>276</v>
      </c>
      <c r="M1663" t="s">
        <v>14</v>
      </c>
      <c r="N1663">
        <f t="shared" si="75"/>
        <v>44.32</v>
      </c>
      <c r="O1663" t="str">
        <f t="shared" si="76"/>
        <v>July</v>
      </c>
      <c r="P1663" t="str">
        <f t="shared" si="77"/>
        <v>Weekend</v>
      </c>
    </row>
    <row r="1664" spans="1:16" x14ac:dyDescent="0.3">
      <c r="A1664" s="1">
        <v>43303</v>
      </c>
      <c r="B1664">
        <v>3.66</v>
      </c>
      <c r="C1664">
        <v>4.34</v>
      </c>
      <c r="D1664">
        <v>0</v>
      </c>
      <c r="E1664">
        <v>31</v>
      </c>
      <c r="F1664">
        <v>4</v>
      </c>
      <c r="G1664">
        <v>0</v>
      </c>
      <c r="H1664">
        <v>5</v>
      </c>
      <c r="I1664">
        <v>6</v>
      </c>
      <c r="J1664">
        <v>2018</v>
      </c>
      <c r="K1664">
        <v>7</v>
      </c>
      <c r="L1664">
        <v>276</v>
      </c>
      <c r="M1664" t="s">
        <v>15</v>
      </c>
      <c r="N1664">
        <f t="shared" si="75"/>
        <v>54</v>
      </c>
      <c r="O1664" t="str">
        <f t="shared" si="76"/>
        <v>July</v>
      </c>
      <c r="P1664" t="str">
        <f t="shared" si="77"/>
        <v>Weekend</v>
      </c>
    </row>
    <row r="1665" spans="1:16" x14ac:dyDescent="0.3">
      <c r="A1665" s="1">
        <v>43304</v>
      </c>
      <c r="B1665">
        <v>8.68</v>
      </c>
      <c r="C1665">
        <v>1.863</v>
      </c>
      <c r="D1665">
        <v>2.1</v>
      </c>
      <c r="E1665">
        <v>12</v>
      </c>
      <c r="F1665">
        <v>15</v>
      </c>
      <c r="G1665">
        <v>1</v>
      </c>
      <c r="H1665">
        <v>0</v>
      </c>
      <c r="I1665">
        <v>5.3</v>
      </c>
      <c r="J1665">
        <v>2018</v>
      </c>
      <c r="K1665">
        <v>7</v>
      </c>
      <c r="L1665">
        <v>276</v>
      </c>
      <c r="M1665" t="s">
        <v>16</v>
      </c>
      <c r="N1665">
        <f t="shared" si="75"/>
        <v>45.942999999999998</v>
      </c>
      <c r="O1665" t="str">
        <f t="shared" si="76"/>
        <v>July</v>
      </c>
      <c r="P1665" t="str">
        <f t="shared" si="77"/>
        <v>Weekday</v>
      </c>
    </row>
    <row r="1666" spans="1:16" x14ac:dyDescent="0.3">
      <c r="A1666" s="1">
        <v>43305</v>
      </c>
      <c r="B1666">
        <v>9.68</v>
      </c>
      <c r="C1666">
        <v>4</v>
      </c>
      <c r="D1666">
        <v>2</v>
      </c>
      <c r="E1666">
        <v>22</v>
      </c>
      <c r="F1666">
        <v>4</v>
      </c>
      <c r="G1666">
        <v>1</v>
      </c>
      <c r="H1666">
        <v>2</v>
      </c>
      <c r="I1666">
        <v>2</v>
      </c>
      <c r="J1666">
        <v>2018</v>
      </c>
      <c r="K1666">
        <v>7</v>
      </c>
      <c r="L1666">
        <v>276</v>
      </c>
      <c r="M1666" t="s">
        <v>17</v>
      </c>
      <c r="N1666">
        <f t="shared" si="75"/>
        <v>46.68</v>
      </c>
      <c r="O1666" t="str">
        <f t="shared" si="76"/>
        <v>July</v>
      </c>
      <c r="P1666" t="str">
        <f t="shared" si="77"/>
        <v>Weekday</v>
      </c>
    </row>
    <row r="1667" spans="1:16" x14ac:dyDescent="0.3">
      <c r="A1667" s="1">
        <v>43306</v>
      </c>
      <c r="B1667">
        <v>5</v>
      </c>
      <c r="C1667">
        <v>2.68</v>
      </c>
      <c r="D1667">
        <v>2</v>
      </c>
      <c r="E1667">
        <v>16</v>
      </c>
      <c r="F1667">
        <v>7</v>
      </c>
      <c r="G1667">
        <v>0</v>
      </c>
      <c r="H1667">
        <v>0</v>
      </c>
      <c r="I1667">
        <v>2</v>
      </c>
      <c r="J1667">
        <v>2018</v>
      </c>
      <c r="K1667">
        <v>7</v>
      </c>
      <c r="L1667">
        <v>276</v>
      </c>
      <c r="M1667" t="s">
        <v>18</v>
      </c>
      <c r="N1667">
        <f t="shared" ref="N1667:N1730" si="78">SUM(B1667:I1667)</f>
        <v>34.68</v>
      </c>
      <c r="O1667" t="str">
        <f t="shared" ref="O1667:O1730" si="79">TEXT(A1667,"mmmm")</f>
        <v>July</v>
      </c>
      <c r="P1667" t="str">
        <f t="shared" ref="P1667:P1730" si="80">IF(OR(M1667="Saturday",M1667="Sunday"),"Weekend","Weekday")</f>
        <v>Weekday</v>
      </c>
    </row>
    <row r="1668" spans="1:16" x14ac:dyDescent="0.3">
      <c r="A1668" s="1">
        <v>43307</v>
      </c>
      <c r="B1668">
        <v>4.33</v>
      </c>
      <c r="C1668">
        <v>1.827</v>
      </c>
      <c r="D1668">
        <v>5</v>
      </c>
      <c r="E1668">
        <v>24</v>
      </c>
      <c r="F1668">
        <v>4</v>
      </c>
      <c r="G1668">
        <v>0</v>
      </c>
      <c r="H1668">
        <v>1</v>
      </c>
      <c r="I1668">
        <v>4</v>
      </c>
      <c r="J1668">
        <v>2018</v>
      </c>
      <c r="K1668">
        <v>7</v>
      </c>
      <c r="L1668">
        <v>276</v>
      </c>
      <c r="M1668" t="s">
        <v>12</v>
      </c>
      <c r="N1668">
        <f t="shared" si="78"/>
        <v>44.156999999999996</v>
      </c>
      <c r="O1668" t="str">
        <f t="shared" si="79"/>
        <v>July</v>
      </c>
      <c r="P1668" t="str">
        <f t="shared" si="80"/>
        <v>Weekday</v>
      </c>
    </row>
    <row r="1669" spans="1:16" x14ac:dyDescent="0.3">
      <c r="A1669" s="1">
        <v>43308</v>
      </c>
      <c r="B1669">
        <v>2.34</v>
      </c>
      <c r="C1669">
        <v>3.34</v>
      </c>
      <c r="D1669">
        <v>3</v>
      </c>
      <c r="E1669">
        <v>19.399999999999999</v>
      </c>
      <c r="F1669">
        <v>11</v>
      </c>
      <c r="G1669">
        <v>0</v>
      </c>
      <c r="H1669">
        <v>1</v>
      </c>
      <c r="I1669">
        <v>6</v>
      </c>
      <c r="J1669">
        <v>2018</v>
      </c>
      <c r="K1669">
        <v>7</v>
      </c>
      <c r="L1669">
        <v>276</v>
      </c>
      <c r="M1669" t="s">
        <v>13</v>
      </c>
      <c r="N1669">
        <f t="shared" si="78"/>
        <v>46.08</v>
      </c>
      <c r="O1669" t="str">
        <f t="shared" si="79"/>
        <v>July</v>
      </c>
      <c r="P1669" t="str">
        <f t="shared" si="80"/>
        <v>Weekday</v>
      </c>
    </row>
    <row r="1670" spans="1:16" x14ac:dyDescent="0.3">
      <c r="A1670" s="1">
        <v>43309</v>
      </c>
      <c r="B1670">
        <v>6</v>
      </c>
      <c r="C1670">
        <v>4.01</v>
      </c>
      <c r="D1670">
        <v>1</v>
      </c>
      <c r="E1670">
        <v>24.5</v>
      </c>
      <c r="F1670">
        <v>9</v>
      </c>
      <c r="G1670">
        <v>0</v>
      </c>
      <c r="H1670">
        <v>0</v>
      </c>
      <c r="I1670">
        <v>3</v>
      </c>
      <c r="J1670">
        <v>2018</v>
      </c>
      <c r="K1670">
        <v>7</v>
      </c>
      <c r="L1670">
        <v>276</v>
      </c>
      <c r="M1670" t="s">
        <v>14</v>
      </c>
      <c r="N1670">
        <f t="shared" si="78"/>
        <v>47.51</v>
      </c>
      <c r="O1670" t="str">
        <f t="shared" si="79"/>
        <v>July</v>
      </c>
      <c r="P1670" t="str">
        <f t="shared" si="80"/>
        <v>Weekend</v>
      </c>
    </row>
    <row r="1671" spans="1:16" x14ac:dyDescent="0.3">
      <c r="A1671" s="1">
        <v>43310</v>
      </c>
      <c r="B1671">
        <v>3.5</v>
      </c>
      <c r="C1671">
        <v>4.3499999999999996</v>
      </c>
      <c r="D1671">
        <v>2.1</v>
      </c>
      <c r="E1671">
        <v>9</v>
      </c>
      <c r="F1671">
        <v>7</v>
      </c>
      <c r="G1671">
        <v>1</v>
      </c>
      <c r="H1671">
        <v>0</v>
      </c>
      <c r="I1671">
        <v>3</v>
      </c>
      <c r="J1671">
        <v>2018</v>
      </c>
      <c r="K1671">
        <v>7</v>
      </c>
      <c r="L1671">
        <v>276</v>
      </c>
      <c r="M1671" t="s">
        <v>15</v>
      </c>
      <c r="N1671">
        <f t="shared" si="78"/>
        <v>29.95</v>
      </c>
      <c r="O1671" t="str">
        <f t="shared" si="79"/>
        <v>July</v>
      </c>
      <c r="P1671" t="str">
        <f t="shared" si="80"/>
        <v>Weekend</v>
      </c>
    </row>
    <row r="1672" spans="1:16" x14ac:dyDescent="0.3">
      <c r="A1672" s="1">
        <v>43311</v>
      </c>
      <c r="B1672">
        <v>3</v>
      </c>
      <c r="C1672">
        <v>6.33</v>
      </c>
      <c r="D1672">
        <v>5.3</v>
      </c>
      <c r="E1672">
        <v>26</v>
      </c>
      <c r="F1672">
        <v>9</v>
      </c>
      <c r="G1672">
        <v>2</v>
      </c>
      <c r="H1672">
        <v>0</v>
      </c>
      <c r="I1672">
        <v>4</v>
      </c>
      <c r="J1672">
        <v>2018</v>
      </c>
      <c r="K1672">
        <v>7</v>
      </c>
      <c r="L1672">
        <v>276</v>
      </c>
      <c r="M1672" t="s">
        <v>16</v>
      </c>
      <c r="N1672">
        <f t="shared" si="78"/>
        <v>55.629999999999995</v>
      </c>
      <c r="O1672" t="str">
        <f t="shared" si="79"/>
        <v>July</v>
      </c>
      <c r="P1672" t="str">
        <f t="shared" si="80"/>
        <v>Weekday</v>
      </c>
    </row>
    <row r="1673" spans="1:16" x14ac:dyDescent="0.3">
      <c r="A1673" s="1">
        <v>43312</v>
      </c>
      <c r="B1673">
        <v>7.33</v>
      </c>
      <c r="C1673">
        <v>3.7360000000000002</v>
      </c>
      <c r="D1673">
        <v>3</v>
      </c>
      <c r="E1673">
        <v>13</v>
      </c>
      <c r="F1673">
        <v>5</v>
      </c>
      <c r="G1673">
        <v>0</v>
      </c>
      <c r="H1673">
        <v>0</v>
      </c>
      <c r="I1673">
        <v>3</v>
      </c>
      <c r="J1673">
        <v>2018</v>
      </c>
      <c r="K1673">
        <v>7</v>
      </c>
      <c r="L1673">
        <v>276</v>
      </c>
      <c r="M1673" t="s">
        <v>17</v>
      </c>
      <c r="N1673">
        <f t="shared" si="78"/>
        <v>35.066000000000003</v>
      </c>
      <c r="O1673" t="str">
        <f t="shared" si="79"/>
        <v>July</v>
      </c>
      <c r="P1673" t="str">
        <f t="shared" si="80"/>
        <v>Weekday</v>
      </c>
    </row>
    <row r="1674" spans="1:16" x14ac:dyDescent="0.3">
      <c r="A1674" s="1">
        <v>43313</v>
      </c>
      <c r="B1674">
        <v>1</v>
      </c>
      <c r="C1674">
        <v>2.34</v>
      </c>
      <c r="D1674">
        <v>1</v>
      </c>
      <c r="E1674">
        <v>14</v>
      </c>
      <c r="F1674">
        <v>9</v>
      </c>
      <c r="G1674">
        <v>1</v>
      </c>
      <c r="H1674">
        <v>1</v>
      </c>
      <c r="I1674">
        <v>7</v>
      </c>
      <c r="J1674">
        <v>2018</v>
      </c>
      <c r="K1674">
        <v>8</v>
      </c>
      <c r="L1674">
        <v>276</v>
      </c>
      <c r="M1674" t="s">
        <v>18</v>
      </c>
      <c r="N1674">
        <f t="shared" si="78"/>
        <v>36.340000000000003</v>
      </c>
      <c r="O1674" t="str">
        <f t="shared" si="79"/>
        <v>August</v>
      </c>
      <c r="P1674" t="str">
        <f t="shared" si="80"/>
        <v>Weekday</v>
      </c>
    </row>
    <row r="1675" spans="1:16" x14ac:dyDescent="0.3">
      <c r="A1675" s="1">
        <v>43314</v>
      </c>
      <c r="B1675">
        <v>0</v>
      </c>
      <c r="C1675">
        <v>1</v>
      </c>
      <c r="D1675">
        <v>0</v>
      </c>
      <c r="E1675">
        <v>11</v>
      </c>
      <c r="F1675">
        <v>11</v>
      </c>
      <c r="G1675">
        <v>0</v>
      </c>
      <c r="H1675">
        <v>2</v>
      </c>
      <c r="I1675">
        <v>5</v>
      </c>
      <c r="J1675">
        <v>2018</v>
      </c>
      <c r="K1675">
        <v>8</v>
      </c>
      <c r="L1675">
        <v>276</v>
      </c>
      <c r="M1675" t="s">
        <v>12</v>
      </c>
      <c r="N1675">
        <f t="shared" si="78"/>
        <v>30</v>
      </c>
      <c r="O1675" t="str">
        <f t="shared" si="79"/>
        <v>August</v>
      </c>
      <c r="P1675" t="str">
        <f t="shared" si="80"/>
        <v>Weekday</v>
      </c>
    </row>
    <row r="1676" spans="1:16" x14ac:dyDescent="0.3">
      <c r="A1676" s="1">
        <v>43315</v>
      </c>
      <c r="B1676">
        <v>4.01</v>
      </c>
      <c r="C1676">
        <v>2.67</v>
      </c>
      <c r="D1676">
        <v>2</v>
      </c>
      <c r="E1676">
        <v>21</v>
      </c>
      <c r="F1676">
        <v>9</v>
      </c>
      <c r="G1676">
        <v>0</v>
      </c>
      <c r="H1676">
        <v>0</v>
      </c>
      <c r="I1676">
        <v>1</v>
      </c>
      <c r="J1676">
        <v>2018</v>
      </c>
      <c r="K1676">
        <v>8</v>
      </c>
      <c r="L1676">
        <v>276</v>
      </c>
      <c r="M1676" t="s">
        <v>13</v>
      </c>
      <c r="N1676">
        <f t="shared" si="78"/>
        <v>39.68</v>
      </c>
      <c r="O1676" t="str">
        <f t="shared" si="79"/>
        <v>August</v>
      </c>
      <c r="P1676" t="str">
        <f t="shared" si="80"/>
        <v>Weekday</v>
      </c>
    </row>
    <row r="1677" spans="1:16" x14ac:dyDescent="0.3">
      <c r="A1677" s="1">
        <v>43316</v>
      </c>
      <c r="B1677">
        <v>5</v>
      </c>
      <c r="C1677">
        <v>3.87</v>
      </c>
      <c r="D1677">
        <v>2</v>
      </c>
      <c r="E1677">
        <v>8</v>
      </c>
      <c r="F1677">
        <v>11</v>
      </c>
      <c r="G1677">
        <v>3</v>
      </c>
      <c r="H1677">
        <v>0</v>
      </c>
      <c r="I1677">
        <v>8</v>
      </c>
      <c r="J1677">
        <v>2018</v>
      </c>
      <c r="K1677">
        <v>8</v>
      </c>
      <c r="L1677">
        <v>276</v>
      </c>
      <c r="M1677" t="s">
        <v>14</v>
      </c>
      <c r="N1677">
        <f t="shared" si="78"/>
        <v>40.870000000000005</v>
      </c>
      <c r="O1677" t="str">
        <f t="shared" si="79"/>
        <v>August</v>
      </c>
      <c r="P1677" t="str">
        <f t="shared" si="80"/>
        <v>Weekend</v>
      </c>
    </row>
    <row r="1678" spans="1:16" x14ac:dyDescent="0.3">
      <c r="A1678" s="1">
        <v>43317</v>
      </c>
      <c r="B1678">
        <v>6</v>
      </c>
      <c r="C1678">
        <v>0.99</v>
      </c>
      <c r="D1678">
        <v>5</v>
      </c>
      <c r="E1678">
        <v>13</v>
      </c>
      <c r="F1678">
        <v>4</v>
      </c>
      <c r="G1678">
        <v>2</v>
      </c>
      <c r="H1678">
        <v>6</v>
      </c>
      <c r="I1678">
        <v>1.3</v>
      </c>
      <c r="J1678">
        <v>2018</v>
      </c>
      <c r="K1678">
        <v>8</v>
      </c>
      <c r="L1678">
        <v>276</v>
      </c>
      <c r="M1678" t="s">
        <v>15</v>
      </c>
      <c r="N1678">
        <f t="shared" si="78"/>
        <v>38.29</v>
      </c>
      <c r="O1678" t="str">
        <f t="shared" si="79"/>
        <v>August</v>
      </c>
      <c r="P1678" t="str">
        <f t="shared" si="80"/>
        <v>Weekend</v>
      </c>
    </row>
    <row r="1679" spans="1:16" x14ac:dyDescent="0.3">
      <c r="A1679" s="1">
        <v>43318</v>
      </c>
      <c r="B1679">
        <v>8.33</v>
      </c>
      <c r="C1679">
        <v>6.165</v>
      </c>
      <c r="D1679">
        <v>2</v>
      </c>
      <c r="E1679">
        <v>21.388000000000002</v>
      </c>
      <c r="F1679">
        <v>7</v>
      </c>
      <c r="G1679">
        <v>0</v>
      </c>
      <c r="H1679">
        <v>6</v>
      </c>
      <c r="I1679">
        <v>2</v>
      </c>
      <c r="J1679">
        <v>2018</v>
      </c>
      <c r="K1679">
        <v>8</v>
      </c>
      <c r="L1679">
        <v>276</v>
      </c>
      <c r="M1679" t="s">
        <v>16</v>
      </c>
      <c r="N1679">
        <f t="shared" si="78"/>
        <v>52.883000000000003</v>
      </c>
      <c r="O1679" t="str">
        <f t="shared" si="79"/>
        <v>August</v>
      </c>
      <c r="P1679" t="str">
        <f t="shared" si="80"/>
        <v>Weekday</v>
      </c>
    </row>
    <row r="1680" spans="1:16" x14ac:dyDescent="0.3">
      <c r="A1680" s="1">
        <v>43319</v>
      </c>
      <c r="B1680">
        <v>2.33</v>
      </c>
      <c r="C1680">
        <v>2.67</v>
      </c>
      <c r="D1680">
        <v>8</v>
      </c>
      <c r="E1680">
        <v>15</v>
      </c>
      <c r="F1680">
        <v>7</v>
      </c>
      <c r="G1680">
        <v>1</v>
      </c>
      <c r="H1680">
        <v>1</v>
      </c>
      <c r="I1680">
        <v>3</v>
      </c>
      <c r="J1680">
        <v>2018</v>
      </c>
      <c r="K1680">
        <v>8</v>
      </c>
      <c r="L1680">
        <v>276</v>
      </c>
      <c r="M1680" t="s">
        <v>17</v>
      </c>
      <c r="N1680">
        <f t="shared" si="78"/>
        <v>40</v>
      </c>
      <c r="O1680" t="str">
        <f t="shared" si="79"/>
        <v>August</v>
      </c>
      <c r="P1680" t="str">
        <f t="shared" si="80"/>
        <v>Weekday</v>
      </c>
    </row>
    <row r="1681" spans="1:16" x14ac:dyDescent="0.3">
      <c r="A1681" s="1">
        <v>43320</v>
      </c>
      <c r="B1681">
        <v>4.33</v>
      </c>
      <c r="C1681">
        <v>2.7930000000000001</v>
      </c>
      <c r="D1681">
        <v>2</v>
      </c>
      <c r="E1681">
        <v>10</v>
      </c>
      <c r="F1681">
        <v>13</v>
      </c>
      <c r="G1681">
        <v>0</v>
      </c>
      <c r="H1681">
        <v>0</v>
      </c>
      <c r="I1681">
        <v>2</v>
      </c>
      <c r="J1681">
        <v>2018</v>
      </c>
      <c r="K1681">
        <v>8</v>
      </c>
      <c r="L1681">
        <v>276</v>
      </c>
      <c r="M1681" t="s">
        <v>18</v>
      </c>
      <c r="N1681">
        <f t="shared" si="78"/>
        <v>34.123000000000005</v>
      </c>
      <c r="O1681" t="str">
        <f t="shared" si="79"/>
        <v>August</v>
      </c>
      <c r="P1681" t="str">
        <f t="shared" si="80"/>
        <v>Weekday</v>
      </c>
    </row>
    <row r="1682" spans="1:16" x14ac:dyDescent="0.3">
      <c r="A1682" s="1">
        <v>43321</v>
      </c>
      <c r="B1682">
        <v>2.67</v>
      </c>
      <c r="C1682">
        <v>3.0659999999999998</v>
      </c>
      <c r="D1682">
        <v>1</v>
      </c>
      <c r="E1682">
        <v>29.4</v>
      </c>
      <c r="F1682">
        <v>13</v>
      </c>
      <c r="G1682">
        <v>0</v>
      </c>
      <c r="H1682">
        <v>0</v>
      </c>
      <c r="I1682">
        <v>2</v>
      </c>
      <c r="J1682">
        <v>2018</v>
      </c>
      <c r="K1682">
        <v>8</v>
      </c>
      <c r="L1682">
        <v>276</v>
      </c>
      <c r="M1682" t="s">
        <v>12</v>
      </c>
      <c r="N1682">
        <f t="shared" si="78"/>
        <v>51.135999999999996</v>
      </c>
      <c r="O1682" t="str">
        <f t="shared" si="79"/>
        <v>August</v>
      </c>
      <c r="P1682" t="str">
        <f t="shared" si="80"/>
        <v>Weekday</v>
      </c>
    </row>
    <row r="1683" spans="1:16" x14ac:dyDescent="0.3">
      <c r="A1683" s="1">
        <v>43322</v>
      </c>
      <c r="B1683">
        <v>6</v>
      </c>
      <c r="C1683">
        <v>4</v>
      </c>
      <c r="D1683">
        <v>4</v>
      </c>
      <c r="E1683">
        <v>19</v>
      </c>
      <c r="F1683">
        <v>4</v>
      </c>
      <c r="G1683">
        <v>0</v>
      </c>
      <c r="H1683">
        <v>0</v>
      </c>
      <c r="I1683">
        <v>2</v>
      </c>
      <c r="J1683">
        <v>2018</v>
      </c>
      <c r="K1683">
        <v>8</v>
      </c>
      <c r="L1683">
        <v>276</v>
      </c>
      <c r="M1683" t="s">
        <v>13</v>
      </c>
      <c r="N1683">
        <f t="shared" si="78"/>
        <v>39</v>
      </c>
      <c r="O1683" t="str">
        <f t="shared" si="79"/>
        <v>August</v>
      </c>
      <c r="P1683" t="str">
        <f t="shared" si="80"/>
        <v>Weekday</v>
      </c>
    </row>
    <row r="1684" spans="1:16" x14ac:dyDescent="0.3">
      <c r="A1684" s="1">
        <v>43323</v>
      </c>
      <c r="B1684">
        <v>4</v>
      </c>
      <c r="C1684">
        <v>4.133</v>
      </c>
      <c r="D1684">
        <v>6</v>
      </c>
      <c r="E1684">
        <v>37</v>
      </c>
      <c r="F1684">
        <v>16</v>
      </c>
      <c r="G1684">
        <v>1</v>
      </c>
      <c r="H1684">
        <v>5</v>
      </c>
      <c r="I1684">
        <v>10</v>
      </c>
      <c r="J1684">
        <v>2018</v>
      </c>
      <c r="K1684">
        <v>8</v>
      </c>
      <c r="L1684">
        <v>276</v>
      </c>
      <c r="M1684" t="s">
        <v>14</v>
      </c>
      <c r="N1684">
        <f t="shared" si="78"/>
        <v>83.132999999999996</v>
      </c>
      <c r="O1684" t="str">
        <f t="shared" si="79"/>
        <v>August</v>
      </c>
      <c r="P1684" t="str">
        <f t="shared" si="80"/>
        <v>Weekend</v>
      </c>
    </row>
    <row r="1685" spans="1:16" x14ac:dyDescent="0.3">
      <c r="A1685" s="1">
        <v>43324</v>
      </c>
      <c r="B1685">
        <v>10.99</v>
      </c>
      <c r="C1685">
        <v>4.99</v>
      </c>
      <c r="D1685">
        <v>6</v>
      </c>
      <c r="E1685">
        <v>16</v>
      </c>
      <c r="F1685">
        <v>6</v>
      </c>
      <c r="G1685">
        <v>0</v>
      </c>
      <c r="H1685">
        <v>1</v>
      </c>
      <c r="I1685">
        <v>2</v>
      </c>
      <c r="J1685">
        <v>2018</v>
      </c>
      <c r="K1685">
        <v>8</v>
      </c>
      <c r="L1685">
        <v>276</v>
      </c>
      <c r="M1685" t="s">
        <v>15</v>
      </c>
      <c r="N1685">
        <f t="shared" si="78"/>
        <v>46.980000000000004</v>
      </c>
      <c r="O1685" t="str">
        <f t="shared" si="79"/>
        <v>August</v>
      </c>
      <c r="P1685" t="str">
        <f t="shared" si="80"/>
        <v>Weekend</v>
      </c>
    </row>
    <row r="1686" spans="1:16" x14ac:dyDescent="0.3">
      <c r="A1686" s="1">
        <v>43325</v>
      </c>
      <c r="B1686">
        <v>3.33</v>
      </c>
      <c r="C1686">
        <v>5.0199999999999996</v>
      </c>
      <c r="D1686">
        <v>2</v>
      </c>
      <c r="E1686">
        <v>23.25</v>
      </c>
      <c r="F1686">
        <v>15</v>
      </c>
      <c r="G1686">
        <v>0</v>
      </c>
      <c r="H1686">
        <v>3</v>
      </c>
      <c r="I1686">
        <v>2</v>
      </c>
      <c r="J1686">
        <v>2018</v>
      </c>
      <c r="K1686">
        <v>8</v>
      </c>
      <c r="L1686">
        <v>276</v>
      </c>
      <c r="M1686" t="s">
        <v>16</v>
      </c>
      <c r="N1686">
        <f t="shared" si="78"/>
        <v>53.6</v>
      </c>
      <c r="O1686" t="str">
        <f t="shared" si="79"/>
        <v>August</v>
      </c>
      <c r="P1686" t="str">
        <f t="shared" si="80"/>
        <v>Weekday</v>
      </c>
    </row>
    <row r="1687" spans="1:16" x14ac:dyDescent="0.3">
      <c r="A1687" s="1">
        <v>43326</v>
      </c>
      <c r="B1687">
        <v>1.33</v>
      </c>
      <c r="C1687">
        <v>2.7360000000000002</v>
      </c>
      <c r="D1687">
        <v>5</v>
      </c>
      <c r="E1687">
        <v>12</v>
      </c>
      <c r="F1687">
        <v>9</v>
      </c>
      <c r="G1687">
        <v>0</v>
      </c>
      <c r="H1687">
        <v>4</v>
      </c>
      <c r="I1687">
        <v>5</v>
      </c>
      <c r="J1687">
        <v>2018</v>
      </c>
      <c r="K1687">
        <v>8</v>
      </c>
      <c r="L1687">
        <v>276</v>
      </c>
      <c r="M1687" t="s">
        <v>17</v>
      </c>
      <c r="N1687">
        <f t="shared" si="78"/>
        <v>39.066000000000003</v>
      </c>
      <c r="O1687" t="str">
        <f t="shared" si="79"/>
        <v>August</v>
      </c>
      <c r="P1687" t="str">
        <f t="shared" si="80"/>
        <v>Weekday</v>
      </c>
    </row>
    <row r="1688" spans="1:16" x14ac:dyDescent="0.3">
      <c r="A1688" s="1">
        <v>43327</v>
      </c>
      <c r="B1688">
        <v>8.34</v>
      </c>
      <c r="C1688">
        <v>4.1989999999999998</v>
      </c>
      <c r="D1688">
        <v>2</v>
      </c>
      <c r="E1688">
        <v>32.200000000000003</v>
      </c>
      <c r="F1688">
        <v>13</v>
      </c>
      <c r="G1688">
        <v>2</v>
      </c>
      <c r="H1688">
        <v>0</v>
      </c>
      <c r="I1688">
        <v>1</v>
      </c>
      <c r="J1688">
        <v>2018</v>
      </c>
      <c r="K1688">
        <v>8</v>
      </c>
      <c r="L1688">
        <v>276</v>
      </c>
      <c r="M1688" t="s">
        <v>18</v>
      </c>
      <c r="N1688">
        <f t="shared" si="78"/>
        <v>62.739000000000004</v>
      </c>
      <c r="O1688" t="str">
        <f t="shared" si="79"/>
        <v>August</v>
      </c>
      <c r="P1688" t="str">
        <f t="shared" si="80"/>
        <v>Weekday</v>
      </c>
    </row>
    <row r="1689" spans="1:16" x14ac:dyDescent="0.3">
      <c r="A1689" s="1">
        <v>43328</v>
      </c>
      <c r="B1689">
        <v>3.33</v>
      </c>
      <c r="C1689">
        <v>8.7289999999999992</v>
      </c>
      <c r="D1689">
        <v>4</v>
      </c>
      <c r="E1689">
        <v>27.4</v>
      </c>
      <c r="F1689">
        <v>6</v>
      </c>
      <c r="G1689">
        <v>3</v>
      </c>
      <c r="H1689">
        <v>5</v>
      </c>
      <c r="I1689">
        <v>5</v>
      </c>
      <c r="J1689">
        <v>2018</v>
      </c>
      <c r="K1689">
        <v>8</v>
      </c>
      <c r="L1689">
        <v>276</v>
      </c>
      <c r="M1689" t="s">
        <v>12</v>
      </c>
      <c r="N1689">
        <f t="shared" si="78"/>
        <v>62.458999999999996</v>
      </c>
      <c r="O1689" t="str">
        <f t="shared" si="79"/>
        <v>August</v>
      </c>
      <c r="P1689" t="str">
        <f t="shared" si="80"/>
        <v>Weekday</v>
      </c>
    </row>
    <row r="1690" spans="1:16" x14ac:dyDescent="0.3">
      <c r="A1690" s="1">
        <v>43329</v>
      </c>
      <c r="B1690">
        <v>2.33</v>
      </c>
      <c r="C1690">
        <v>2.99</v>
      </c>
      <c r="D1690">
        <v>2.4</v>
      </c>
      <c r="E1690">
        <v>23</v>
      </c>
      <c r="F1690">
        <v>5</v>
      </c>
      <c r="G1690">
        <v>1</v>
      </c>
      <c r="H1690">
        <v>5</v>
      </c>
      <c r="I1690">
        <v>1</v>
      </c>
      <c r="J1690">
        <v>2018</v>
      </c>
      <c r="K1690">
        <v>8</v>
      </c>
      <c r="L1690">
        <v>276</v>
      </c>
      <c r="M1690" t="s">
        <v>13</v>
      </c>
      <c r="N1690">
        <f t="shared" si="78"/>
        <v>42.72</v>
      </c>
      <c r="O1690" t="str">
        <f t="shared" si="79"/>
        <v>August</v>
      </c>
      <c r="P1690" t="str">
        <f t="shared" si="80"/>
        <v>Weekday</v>
      </c>
    </row>
    <row r="1691" spans="1:16" x14ac:dyDescent="0.3">
      <c r="A1691" s="1">
        <v>43330</v>
      </c>
      <c r="B1691">
        <v>6.33</v>
      </c>
      <c r="C1691">
        <v>5.34</v>
      </c>
      <c r="D1691">
        <v>0</v>
      </c>
      <c r="E1691">
        <v>32.1</v>
      </c>
      <c r="F1691">
        <v>5</v>
      </c>
      <c r="G1691">
        <v>1</v>
      </c>
      <c r="H1691">
        <v>6</v>
      </c>
      <c r="I1691">
        <v>0</v>
      </c>
      <c r="J1691">
        <v>2018</v>
      </c>
      <c r="K1691">
        <v>8</v>
      </c>
      <c r="L1691">
        <v>276</v>
      </c>
      <c r="M1691" t="s">
        <v>14</v>
      </c>
      <c r="N1691">
        <f t="shared" si="78"/>
        <v>55.77</v>
      </c>
      <c r="O1691" t="str">
        <f t="shared" si="79"/>
        <v>August</v>
      </c>
      <c r="P1691" t="str">
        <f t="shared" si="80"/>
        <v>Weekend</v>
      </c>
    </row>
    <row r="1692" spans="1:16" x14ac:dyDescent="0.3">
      <c r="A1692" s="1">
        <v>43331</v>
      </c>
      <c r="B1692">
        <v>6.33</v>
      </c>
      <c r="C1692">
        <v>4.4950000000000001</v>
      </c>
      <c r="D1692">
        <v>1</v>
      </c>
      <c r="E1692">
        <v>19.899999999999999</v>
      </c>
      <c r="F1692">
        <v>3</v>
      </c>
      <c r="G1692">
        <v>0</v>
      </c>
      <c r="H1692">
        <v>5</v>
      </c>
      <c r="I1692">
        <v>6</v>
      </c>
      <c r="J1692">
        <v>2018</v>
      </c>
      <c r="K1692">
        <v>8</v>
      </c>
      <c r="L1692">
        <v>276</v>
      </c>
      <c r="M1692" t="s">
        <v>15</v>
      </c>
      <c r="N1692">
        <f t="shared" si="78"/>
        <v>45.724999999999994</v>
      </c>
      <c r="O1692" t="str">
        <f t="shared" si="79"/>
        <v>August</v>
      </c>
      <c r="P1692" t="str">
        <f t="shared" si="80"/>
        <v>Weekend</v>
      </c>
    </row>
    <row r="1693" spans="1:16" x14ac:dyDescent="0.3">
      <c r="A1693" s="1">
        <v>43332</v>
      </c>
      <c r="B1693">
        <v>4</v>
      </c>
      <c r="C1693">
        <v>5.68</v>
      </c>
      <c r="D1693">
        <v>4.2</v>
      </c>
      <c r="E1693">
        <v>21.4</v>
      </c>
      <c r="F1693">
        <v>7</v>
      </c>
      <c r="G1693">
        <v>0</v>
      </c>
      <c r="H1693">
        <v>20</v>
      </c>
      <c r="I1693">
        <v>3</v>
      </c>
      <c r="J1693">
        <v>2018</v>
      </c>
      <c r="K1693">
        <v>8</v>
      </c>
      <c r="L1693">
        <v>276</v>
      </c>
      <c r="M1693" t="s">
        <v>16</v>
      </c>
      <c r="N1693">
        <f t="shared" si="78"/>
        <v>65.28</v>
      </c>
      <c r="O1693" t="str">
        <f t="shared" si="79"/>
        <v>August</v>
      </c>
      <c r="P1693" t="str">
        <f t="shared" si="80"/>
        <v>Weekday</v>
      </c>
    </row>
    <row r="1694" spans="1:16" x14ac:dyDescent="0.3">
      <c r="A1694" s="1">
        <v>43333</v>
      </c>
      <c r="B1694">
        <v>2.34</v>
      </c>
      <c r="C1694">
        <v>3</v>
      </c>
      <c r="D1694">
        <v>2.15</v>
      </c>
      <c r="E1694">
        <v>26.2</v>
      </c>
      <c r="F1694">
        <v>4</v>
      </c>
      <c r="G1694">
        <v>1</v>
      </c>
      <c r="H1694">
        <v>1</v>
      </c>
      <c r="I1694">
        <v>4</v>
      </c>
      <c r="J1694">
        <v>2018</v>
      </c>
      <c r="K1694">
        <v>8</v>
      </c>
      <c r="L1694">
        <v>276</v>
      </c>
      <c r="M1694" t="s">
        <v>17</v>
      </c>
      <c r="N1694">
        <f t="shared" si="78"/>
        <v>43.69</v>
      </c>
      <c r="O1694" t="str">
        <f t="shared" si="79"/>
        <v>August</v>
      </c>
      <c r="P1694" t="str">
        <f t="shared" si="80"/>
        <v>Weekday</v>
      </c>
    </row>
    <row r="1695" spans="1:16" x14ac:dyDescent="0.3">
      <c r="A1695" s="1">
        <v>43334</v>
      </c>
      <c r="B1695">
        <v>5</v>
      </c>
      <c r="C1695">
        <v>4.33</v>
      </c>
      <c r="D1695">
        <v>0</v>
      </c>
      <c r="E1695">
        <v>18</v>
      </c>
      <c r="F1695">
        <v>4</v>
      </c>
      <c r="G1695">
        <v>1</v>
      </c>
      <c r="H1695">
        <v>0</v>
      </c>
      <c r="I1695">
        <v>4</v>
      </c>
      <c r="J1695">
        <v>2018</v>
      </c>
      <c r="K1695">
        <v>8</v>
      </c>
      <c r="L1695">
        <v>276</v>
      </c>
      <c r="M1695" t="s">
        <v>18</v>
      </c>
      <c r="N1695">
        <f t="shared" si="78"/>
        <v>36.33</v>
      </c>
      <c r="O1695" t="str">
        <f t="shared" si="79"/>
        <v>August</v>
      </c>
      <c r="P1695" t="str">
        <f t="shared" si="80"/>
        <v>Weekday</v>
      </c>
    </row>
    <row r="1696" spans="1:16" x14ac:dyDescent="0.3">
      <c r="A1696" s="1">
        <v>43335</v>
      </c>
      <c r="B1696">
        <v>5</v>
      </c>
      <c r="C1696">
        <v>4.0670000000000002</v>
      </c>
      <c r="D1696">
        <v>4</v>
      </c>
      <c r="E1696">
        <v>35</v>
      </c>
      <c r="F1696">
        <v>8</v>
      </c>
      <c r="G1696">
        <v>0</v>
      </c>
      <c r="H1696">
        <v>23</v>
      </c>
      <c r="I1696">
        <v>3</v>
      </c>
      <c r="J1696">
        <v>2018</v>
      </c>
      <c r="K1696">
        <v>8</v>
      </c>
      <c r="L1696">
        <v>276</v>
      </c>
      <c r="M1696" t="s">
        <v>12</v>
      </c>
      <c r="N1696">
        <f t="shared" si="78"/>
        <v>82.067000000000007</v>
      </c>
      <c r="O1696" t="str">
        <f t="shared" si="79"/>
        <v>August</v>
      </c>
      <c r="P1696" t="str">
        <f t="shared" si="80"/>
        <v>Weekday</v>
      </c>
    </row>
    <row r="1697" spans="1:16" x14ac:dyDescent="0.3">
      <c r="A1697" s="1">
        <v>43336</v>
      </c>
      <c r="B1697">
        <v>4</v>
      </c>
      <c r="C1697">
        <v>2.34</v>
      </c>
      <c r="D1697">
        <v>1</v>
      </c>
      <c r="E1697">
        <v>38.5</v>
      </c>
      <c r="F1697">
        <v>7</v>
      </c>
      <c r="G1697">
        <v>0</v>
      </c>
      <c r="H1697">
        <v>21</v>
      </c>
      <c r="I1697">
        <v>4</v>
      </c>
      <c r="J1697">
        <v>2018</v>
      </c>
      <c r="K1697">
        <v>8</v>
      </c>
      <c r="L1697">
        <v>276</v>
      </c>
      <c r="M1697" t="s">
        <v>13</v>
      </c>
      <c r="N1697">
        <f t="shared" si="78"/>
        <v>77.84</v>
      </c>
      <c r="O1697" t="str">
        <f t="shared" si="79"/>
        <v>August</v>
      </c>
      <c r="P1697" t="str">
        <f t="shared" si="80"/>
        <v>Weekday</v>
      </c>
    </row>
    <row r="1698" spans="1:16" x14ac:dyDescent="0.3">
      <c r="A1698" s="1">
        <v>43337</v>
      </c>
      <c r="B1698">
        <v>3.67</v>
      </c>
      <c r="C1698">
        <v>4.01</v>
      </c>
      <c r="D1698">
        <v>3.2</v>
      </c>
      <c r="E1698">
        <v>27</v>
      </c>
      <c r="F1698">
        <v>4</v>
      </c>
      <c r="G1698">
        <v>0</v>
      </c>
      <c r="H1698">
        <v>6</v>
      </c>
      <c r="I1698">
        <v>2.5</v>
      </c>
      <c r="J1698">
        <v>2018</v>
      </c>
      <c r="K1698">
        <v>8</v>
      </c>
      <c r="L1698">
        <v>276</v>
      </c>
      <c r="M1698" t="s">
        <v>14</v>
      </c>
      <c r="N1698">
        <f t="shared" si="78"/>
        <v>50.379999999999995</v>
      </c>
      <c r="O1698" t="str">
        <f t="shared" si="79"/>
        <v>August</v>
      </c>
      <c r="P1698" t="str">
        <f t="shared" si="80"/>
        <v>Weekend</v>
      </c>
    </row>
    <row r="1699" spans="1:16" x14ac:dyDescent="0.3">
      <c r="A1699" s="1">
        <v>43338</v>
      </c>
      <c r="B1699">
        <v>11.33</v>
      </c>
      <c r="C1699">
        <v>6.67</v>
      </c>
      <c r="D1699">
        <v>4</v>
      </c>
      <c r="E1699">
        <v>57</v>
      </c>
      <c r="F1699">
        <v>10</v>
      </c>
      <c r="G1699">
        <v>0</v>
      </c>
      <c r="H1699">
        <v>8</v>
      </c>
      <c r="I1699">
        <v>4.3</v>
      </c>
      <c r="J1699">
        <v>2018</v>
      </c>
      <c r="K1699">
        <v>8</v>
      </c>
      <c r="L1699">
        <v>276</v>
      </c>
      <c r="M1699" t="s">
        <v>15</v>
      </c>
      <c r="N1699">
        <f t="shared" si="78"/>
        <v>101.3</v>
      </c>
      <c r="O1699" t="str">
        <f t="shared" si="79"/>
        <v>August</v>
      </c>
      <c r="P1699" t="str">
        <f t="shared" si="80"/>
        <v>Weekend</v>
      </c>
    </row>
    <row r="1700" spans="1:16" x14ac:dyDescent="0.3">
      <c r="A1700" s="1">
        <v>43339</v>
      </c>
      <c r="B1700">
        <v>3.34</v>
      </c>
      <c r="C1700">
        <v>1</v>
      </c>
      <c r="D1700">
        <v>9</v>
      </c>
      <c r="E1700">
        <v>16</v>
      </c>
      <c r="F1700">
        <v>6</v>
      </c>
      <c r="G1700">
        <v>0</v>
      </c>
      <c r="H1700">
        <v>1</v>
      </c>
      <c r="I1700">
        <v>1</v>
      </c>
      <c r="J1700">
        <v>2018</v>
      </c>
      <c r="K1700">
        <v>8</v>
      </c>
      <c r="L1700">
        <v>276</v>
      </c>
      <c r="M1700" t="s">
        <v>16</v>
      </c>
      <c r="N1700">
        <f t="shared" si="78"/>
        <v>37.340000000000003</v>
      </c>
      <c r="O1700" t="str">
        <f t="shared" si="79"/>
        <v>August</v>
      </c>
      <c r="P1700" t="str">
        <f t="shared" si="80"/>
        <v>Weekday</v>
      </c>
    </row>
    <row r="1701" spans="1:16" x14ac:dyDescent="0.3">
      <c r="A1701" s="1">
        <v>43340</v>
      </c>
      <c r="B1701">
        <v>2</v>
      </c>
      <c r="C1701">
        <v>2.68</v>
      </c>
      <c r="D1701">
        <v>1</v>
      </c>
      <c r="E1701">
        <v>26.4</v>
      </c>
      <c r="F1701">
        <v>7</v>
      </c>
      <c r="G1701">
        <v>1</v>
      </c>
      <c r="H1701">
        <v>0</v>
      </c>
      <c r="I1701">
        <v>3</v>
      </c>
      <c r="J1701">
        <v>2018</v>
      </c>
      <c r="K1701">
        <v>8</v>
      </c>
      <c r="L1701">
        <v>276</v>
      </c>
      <c r="M1701" t="s">
        <v>17</v>
      </c>
      <c r="N1701">
        <f t="shared" si="78"/>
        <v>43.08</v>
      </c>
      <c r="O1701" t="str">
        <f t="shared" si="79"/>
        <v>August</v>
      </c>
      <c r="P1701" t="str">
        <f t="shared" si="80"/>
        <v>Weekday</v>
      </c>
    </row>
    <row r="1702" spans="1:16" x14ac:dyDescent="0.3">
      <c r="A1702" s="1">
        <v>43341</v>
      </c>
      <c r="B1702">
        <v>6.67</v>
      </c>
      <c r="C1702">
        <v>2.67</v>
      </c>
      <c r="D1702">
        <v>1.3</v>
      </c>
      <c r="E1702">
        <v>28.5</v>
      </c>
      <c r="F1702">
        <v>10</v>
      </c>
      <c r="G1702">
        <v>1</v>
      </c>
      <c r="H1702">
        <v>5</v>
      </c>
      <c r="I1702">
        <v>3</v>
      </c>
      <c r="J1702">
        <v>2018</v>
      </c>
      <c r="K1702">
        <v>8</v>
      </c>
      <c r="L1702">
        <v>276</v>
      </c>
      <c r="M1702" t="s">
        <v>18</v>
      </c>
      <c r="N1702">
        <f t="shared" si="78"/>
        <v>58.14</v>
      </c>
      <c r="O1702" t="str">
        <f t="shared" si="79"/>
        <v>August</v>
      </c>
      <c r="P1702" t="str">
        <f t="shared" si="80"/>
        <v>Weekday</v>
      </c>
    </row>
    <row r="1703" spans="1:16" x14ac:dyDescent="0.3">
      <c r="A1703" s="1">
        <v>43342</v>
      </c>
      <c r="B1703">
        <v>2.33</v>
      </c>
      <c r="C1703">
        <v>2.7360000000000002</v>
      </c>
      <c r="D1703">
        <v>3</v>
      </c>
      <c r="E1703">
        <v>38</v>
      </c>
      <c r="F1703">
        <v>7</v>
      </c>
      <c r="G1703">
        <v>0</v>
      </c>
      <c r="H1703">
        <v>4</v>
      </c>
      <c r="I1703">
        <v>2</v>
      </c>
      <c r="J1703">
        <v>2018</v>
      </c>
      <c r="K1703">
        <v>8</v>
      </c>
      <c r="L1703">
        <v>276</v>
      </c>
      <c r="M1703" t="s">
        <v>12</v>
      </c>
      <c r="N1703">
        <f t="shared" si="78"/>
        <v>59.066000000000003</v>
      </c>
      <c r="O1703" t="str">
        <f t="shared" si="79"/>
        <v>August</v>
      </c>
      <c r="P1703" t="str">
        <f t="shared" si="80"/>
        <v>Weekday</v>
      </c>
    </row>
    <row r="1704" spans="1:16" x14ac:dyDescent="0.3">
      <c r="A1704" s="1">
        <v>43343</v>
      </c>
      <c r="B1704">
        <v>4.34</v>
      </c>
      <c r="C1704">
        <v>3.34</v>
      </c>
      <c r="D1704">
        <v>0</v>
      </c>
      <c r="E1704">
        <v>17.2</v>
      </c>
      <c r="F1704">
        <v>13</v>
      </c>
      <c r="G1704">
        <v>1</v>
      </c>
      <c r="H1704">
        <v>20</v>
      </c>
      <c r="I1704">
        <v>4</v>
      </c>
      <c r="J1704">
        <v>2018</v>
      </c>
      <c r="K1704">
        <v>8</v>
      </c>
      <c r="L1704">
        <v>276</v>
      </c>
      <c r="M1704" t="s">
        <v>13</v>
      </c>
      <c r="N1704">
        <f t="shared" si="78"/>
        <v>62.879999999999995</v>
      </c>
      <c r="O1704" t="str">
        <f t="shared" si="79"/>
        <v>August</v>
      </c>
      <c r="P1704" t="str">
        <f t="shared" si="80"/>
        <v>Weekday</v>
      </c>
    </row>
    <row r="1705" spans="1:16" x14ac:dyDescent="0.3">
      <c r="A1705" s="1">
        <v>43344</v>
      </c>
      <c r="B1705">
        <v>2.34</v>
      </c>
      <c r="C1705">
        <v>0</v>
      </c>
      <c r="D1705">
        <v>2.2000000000000002</v>
      </c>
      <c r="E1705">
        <v>19</v>
      </c>
      <c r="F1705">
        <v>6</v>
      </c>
      <c r="G1705">
        <v>1</v>
      </c>
      <c r="H1705">
        <v>1</v>
      </c>
      <c r="I1705">
        <v>2</v>
      </c>
      <c r="J1705">
        <v>2018</v>
      </c>
      <c r="K1705">
        <v>9</v>
      </c>
      <c r="L1705">
        <v>276</v>
      </c>
      <c r="M1705" t="s">
        <v>14</v>
      </c>
      <c r="N1705">
        <f t="shared" si="78"/>
        <v>33.54</v>
      </c>
      <c r="O1705" t="str">
        <f t="shared" si="79"/>
        <v>September</v>
      </c>
      <c r="P1705" t="str">
        <f t="shared" si="80"/>
        <v>Weekend</v>
      </c>
    </row>
    <row r="1706" spans="1:16" x14ac:dyDescent="0.3">
      <c r="A1706" s="1">
        <v>43345</v>
      </c>
      <c r="B1706">
        <v>6.68</v>
      </c>
      <c r="C1706">
        <v>5.3730000000000002</v>
      </c>
      <c r="D1706">
        <v>3</v>
      </c>
      <c r="E1706">
        <v>20</v>
      </c>
      <c r="F1706">
        <v>5</v>
      </c>
      <c r="G1706">
        <v>0</v>
      </c>
      <c r="H1706">
        <v>5</v>
      </c>
      <c r="I1706">
        <v>2</v>
      </c>
      <c r="J1706">
        <v>2018</v>
      </c>
      <c r="K1706">
        <v>9</v>
      </c>
      <c r="L1706">
        <v>276</v>
      </c>
      <c r="M1706" t="s">
        <v>15</v>
      </c>
      <c r="N1706">
        <f t="shared" si="78"/>
        <v>47.052999999999997</v>
      </c>
      <c r="O1706" t="str">
        <f t="shared" si="79"/>
        <v>September</v>
      </c>
      <c r="P1706" t="str">
        <f t="shared" si="80"/>
        <v>Weekend</v>
      </c>
    </row>
    <row r="1707" spans="1:16" x14ac:dyDescent="0.3">
      <c r="A1707" s="1">
        <v>43346</v>
      </c>
      <c r="B1707">
        <v>1</v>
      </c>
      <c r="C1707">
        <v>2.02</v>
      </c>
      <c r="D1707">
        <v>2</v>
      </c>
      <c r="E1707">
        <v>27.4</v>
      </c>
      <c r="F1707">
        <v>12</v>
      </c>
      <c r="G1707">
        <v>0</v>
      </c>
      <c r="H1707">
        <v>0</v>
      </c>
      <c r="I1707">
        <v>4</v>
      </c>
      <c r="J1707">
        <v>2018</v>
      </c>
      <c r="K1707">
        <v>9</v>
      </c>
      <c r="L1707">
        <v>276</v>
      </c>
      <c r="M1707" t="s">
        <v>16</v>
      </c>
      <c r="N1707">
        <f t="shared" si="78"/>
        <v>48.42</v>
      </c>
      <c r="O1707" t="str">
        <f t="shared" si="79"/>
        <v>September</v>
      </c>
      <c r="P1707" t="str">
        <f t="shared" si="80"/>
        <v>Weekday</v>
      </c>
    </row>
    <row r="1708" spans="1:16" x14ac:dyDescent="0.3">
      <c r="A1708" s="1">
        <v>43347</v>
      </c>
      <c r="B1708">
        <v>4</v>
      </c>
      <c r="C1708">
        <v>1.0860000000000001</v>
      </c>
      <c r="D1708">
        <v>1</v>
      </c>
      <c r="E1708">
        <v>22</v>
      </c>
      <c r="F1708">
        <v>7</v>
      </c>
      <c r="G1708">
        <v>0</v>
      </c>
      <c r="H1708">
        <v>3</v>
      </c>
      <c r="I1708">
        <v>2</v>
      </c>
      <c r="J1708">
        <v>2018</v>
      </c>
      <c r="K1708">
        <v>9</v>
      </c>
      <c r="L1708">
        <v>276</v>
      </c>
      <c r="M1708" t="s">
        <v>17</v>
      </c>
      <c r="N1708">
        <f t="shared" si="78"/>
        <v>40.085999999999999</v>
      </c>
      <c r="O1708" t="str">
        <f t="shared" si="79"/>
        <v>September</v>
      </c>
      <c r="P1708" t="str">
        <f t="shared" si="80"/>
        <v>Weekday</v>
      </c>
    </row>
    <row r="1709" spans="1:16" x14ac:dyDescent="0.3">
      <c r="A1709" s="1">
        <v>43348</v>
      </c>
      <c r="B1709">
        <v>6.5</v>
      </c>
      <c r="C1709">
        <v>3.33</v>
      </c>
      <c r="D1709">
        <v>1.5</v>
      </c>
      <c r="E1709">
        <v>28</v>
      </c>
      <c r="F1709">
        <v>11</v>
      </c>
      <c r="G1709">
        <v>0</v>
      </c>
      <c r="H1709">
        <v>3</v>
      </c>
      <c r="I1709">
        <v>2</v>
      </c>
      <c r="J1709">
        <v>2018</v>
      </c>
      <c r="K1709">
        <v>9</v>
      </c>
      <c r="L1709">
        <v>276</v>
      </c>
      <c r="M1709" t="s">
        <v>18</v>
      </c>
      <c r="N1709">
        <f t="shared" si="78"/>
        <v>55.33</v>
      </c>
      <c r="O1709" t="str">
        <f t="shared" si="79"/>
        <v>September</v>
      </c>
      <c r="P1709" t="str">
        <f t="shared" si="80"/>
        <v>Weekday</v>
      </c>
    </row>
    <row r="1710" spans="1:16" x14ac:dyDescent="0.3">
      <c r="A1710" s="1">
        <v>43349</v>
      </c>
      <c r="B1710">
        <v>6.66</v>
      </c>
      <c r="C1710">
        <v>4.056</v>
      </c>
      <c r="D1710">
        <v>3</v>
      </c>
      <c r="E1710">
        <v>18.399999999999999</v>
      </c>
      <c r="F1710">
        <v>13</v>
      </c>
      <c r="G1710">
        <v>0</v>
      </c>
      <c r="H1710">
        <v>5</v>
      </c>
      <c r="I1710">
        <v>0</v>
      </c>
      <c r="J1710">
        <v>2018</v>
      </c>
      <c r="K1710">
        <v>9</v>
      </c>
      <c r="L1710">
        <v>276</v>
      </c>
      <c r="M1710" t="s">
        <v>12</v>
      </c>
      <c r="N1710">
        <f t="shared" si="78"/>
        <v>50.116</v>
      </c>
      <c r="O1710" t="str">
        <f t="shared" si="79"/>
        <v>September</v>
      </c>
      <c r="P1710" t="str">
        <f t="shared" si="80"/>
        <v>Weekday</v>
      </c>
    </row>
    <row r="1711" spans="1:16" x14ac:dyDescent="0.3">
      <c r="A1711" s="1">
        <v>43350</v>
      </c>
      <c r="B1711">
        <v>2</v>
      </c>
      <c r="C1711">
        <v>1.746</v>
      </c>
      <c r="D1711">
        <v>4</v>
      </c>
      <c r="E1711">
        <v>42</v>
      </c>
      <c r="F1711">
        <v>6</v>
      </c>
      <c r="G1711">
        <v>0</v>
      </c>
      <c r="H1711">
        <v>22</v>
      </c>
      <c r="I1711">
        <v>7.7</v>
      </c>
      <c r="J1711">
        <v>2018</v>
      </c>
      <c r="K1711">
        <v>9</v>
      </c>
      <c r="L1711">
        <v>276</v>
      </c>
      <c r="M1711" t="s">
        <v>13</v>
      </c>
      <c r="N1711">
        <f t="shared" si="78"/>
        <v>85.446000000000012</v>
      </c>
      <c r="O1711" t="str">
        <f t="shared" si="79"/>
        <v>September</v>
      </c>
      <c r="P1711" t="str">
        <f t="shared" si="80"/>
        <v>Weekday</v>
      </c>
    </row>
    <row r="1712" spans="1:16" x14ac:dyDescent="0.3">
      <c r="A1712" s="1">
        <v>43351</v>
      </c>
      <c r="B1712">
        <v>10</v>
      </c>
      <c r="C1712">
        <v>2.34</v>
      </c>
      <c r="D1712">
        <v>6.1</v>
      </c>
      <c r="E1712">
        <v>35.4</v>
      </c>
      <c r="F1712">
        <v>12</v>
      </c>
      <c r="G1712">
        <v>0</v>
      </c>
      <c r="H1712">
        <v>10</v>
      </c>
      <c r="I1712">
        <v>1</v>
      </c>
      <c r="J1712">
        <v>2018</v>
      </c>
      <c r="K1712">
        <v>9</v>
      </c>
      <c r="L1712">
        <v>276</v>
      </c>
      <c r="M1712" t="s">
        <v>14</v>
      </c>
      <c r="N1712">
        <f t="shared" si="78"/>
        <v>76.84</v>
      </c>
      <c r="O1712" t="str">
        <f t="shared" si="79"/>
        <v>September</v>
      </c>
      <c r="P1712" t="str">
        <f t="shared" si="80"/>
        <v>Weekend</v>
      </c>
    </row>
    <row r="1713" spans="1:16" x14ac:dyDescent="0.3">
      <c r="A1713" s="1">
        <v>43352</v>
      </c>
      <c r="B1713">
        <v>4</v>
      </c>
      <c r="C1713">
        <v>5.944</v>
      </c>
      <c r="D1713">
        <v>0</v>
      </c>
      <c r="E1713">
        <v>50</v>
      </c>
      <c r="F1713">
        <v>2</v>
      </c>
      <c r="G1713">
        <v>0</v>
      </c>
      <c r="H1713">
        <v>0</v>
      </c>
      <c r="I1713">
        <v>5</v>
      </c>
      <c r="J1713">
        <v>2018</v>
      </c>
      <c r="K1713">
        <v>9</v>
      </c>
      <c r="L1713">
        <v>276</v>
      </c>
      <c r="M1713" t="s">
        <v>15</v>
      </c>
      <c r="N1713">
        <f t="shared" si="78"/>
        <v>66.944000000000003</v>
      </c>
      <c r="O1713" t="str">
        <f t="shared" si="79"/>
        <v>September</v>
      </c>
      <c r="P1713" t="str">
        <f t="shared" si="80"/>
        <v>Weekend</v>
      </c>
    </row>
    <row r="1714" spans="1:16" x14ac:dyDescent="0.3">
      <c r="A1714" s="1">
        <v>43353</v>
      </c>
      <c r="B1714">
        <v>7</v>
      </c>
      <c r="C1714">
        <v>2.4060000000000001</v>
      </c>
      <c r="D1714">
        <v>2</v>
      </c>
      <c r="E1714">
        <v>49.4</v>
      </c>
      <c r="F1714">
        <v>14</v>
      </c>
      <c r="G1714">
        <v>3</v>
      </c>
      <c r="H1714">
        <v>1</v>
      </c>
      <c r="I1714">
        <v>2</v>
      </c>
      <c r="J1714">
        <v>2018</v>
      </c>
      <c r="K1714">
        <v>9</v>
      </c>
      <c r="L1714">
        <v>276</v>
      </c>
      <c r="M1714" t="s">
        <v>16</v>
      </c>
      <c r="N1714">
        <f t="shared" si="78"/>
        <v>80.805999999999997</v>
      </c>
      <c r="O1714" t="str">
        <f t="shared" si="79"/>
        <v>September</v>
      </c>
      <c r="P1714" t="str">
        <f t="shared" si="80"/>
        <v>Weekday</v>
      </c>
    </row>
    <row r="1715" spans="1:16" x14ac:dyDescent="0.3">
      <c r="A1715" s="1">
        <v>43354</v>
      </c>
      <c r="B1715">
        <v>9</v>
      </c>
      <c r="C1715">
        <v>2.726</v>
      </c>
      <c r="D1715">
        <v>3</v>
      </c>
      <c r="E1715">
        <v>50.6</v>
      </c>
      <c r="F1715">
        <v>15</v>
      </c>
      <c r="G1715">
        <v>0</v>
      </c>
      <c r="H1715">
        <v>6</v>
      </c>
      <c r="I1715">
        <v>4</v>
      </c>
      <c r="J1715">
        <v>2018</v>
      </c>
      <c r="K1715">
        <v>9</v>
      </c>
      <c r="L1715">
        <v>276</v>
      </c>
      <c r="M1715" t="s">
        <v>17</v>
      </c>
      <c r="N1715">
        <f t="shared" si="78"/>
        <v>90.325999999999993</v>
      </c>
      <c r="O1715" t="str">
        <f t="shared" si="79"/>
        <v>September</v>
      </c>
      <c r="P1715" t="str">
        <f t="shared" si="80"/>
        <v>Weekday</v>
      </c>
    </row>
    <row r="1716" spans="1:16" x14ac:dyDescent="0.3">
      <c r="A1716" s="1">
        <v>43355</v>
      </c>
      <c r="B1716">
        <v>4</v>
      </c>
      <c r="C1716">
        <v>3</v>
      </c>
      <c r="D1716">
        <v>2</v>
      </c>
      <c r="E1716">
        <v>35</v>
      </c>
      <c r="F1716">
        <v>18</v>
      </c>
      <c r="G1716">
        <v>0</v>
      </c>
      <c r="H1716">
        <v>5</v>
      </c>
      <c r="I1716">
        <v>0</v>
      </c>
      <c r="J1716">
        <v>2018</v>
      </c>
      <c r="K1716">
        <v>9</v>
      </c>
      <c r="L1716">
        <v>276</v>
      </c>
      <c r="M1716" t="s">
        <v>18</v>
      </c>
      <c r="N1716">
        <f t="shared" si="78"/>
        <v>67</v>
      </c>
      <c r="O1716" t="str">
        <f t="shared" si="79"/>
        <v>September</v>
      </c>
      <c r="P1716" t="str">
        <f t="shared" si="80"/>
        <v>Weekday</v>
      </c>
    </row>
    <row r="1717" spans="1:16" x14ac:dyDescent="0.3">
      <c r="A1717" s="1">
        <v>43356</v>
      </c>
      <c r="B1717">
        <v>2.83</v>
      </c>
      <c r="C1717">
        <v>3.0859999999999999</v>
      </c>
      <c r="D1717">
        <v>1</v>
      </c>
      <c r="E1717">
        <v>20.6</v>
      </c>
      <c r="F1717">
        <v>5</v>
      </c>
      <c r="G1717">
        <v>2</v>
      </c>
      <c r="H1717">
        <v>12</v>
      </c>
      <c r="I1717">
        <v>2</v>
      </c>
      <c r="J1717">
        <v>2018</v>
      </c>
      <c r="K1717">
        <v>9</v>
      </c>
      <c r="L1717">
        <v>276</v>
      </c>
      <c r="M1717" t="s">
        <v>12</v>
      </c>
      <c r="N1717">
        <f t="shared" si="78"/>
        <v>48.516000000000005</v>
      </c>
      <c r="O1717" t="str">
        <f t="shared" si="79"/>
        <v>September</v>
      </c>
      <c r="P1717" t="str">
        <f t="shared" si="80"/>
        <v>Weekday</v>
      </c>
    </row>
    <row r="1718" spans="1:16" x14ac:dyDescent="0.3">
      <c r="A1718" s="1">
        <v>43357</v>
      </c>
      <c r="B1718">
        <v>8</v>
      </c>
      <c r="C1718">
        <v>7.02</v>
      </c>
      <c r="D1718">
        <v>4</v>
      </c>
      <c r="E1718">
        <v>54</v>
      </c>
      <c r="F1718">
        <v>7</v>
      </c>
      <c r="G1718">
        <v>0</v>
      </c>
      <c r="H1718">
        <v>1</v>
      </c>
      <c r="I1718">
        <v>2</v>
      </c>
      <c r="J1718">
        <v>2018</v>
      </c>
      <c r="K1718">
        <v>9</v>
      </c>
      <c r="L1718">
        <v>276</v>
      </c>
      <c r="M1718" t="s">
        <v>13</v>
      </c>
      <c r="N1718">
        <f t="shared" si="78"/>
        <v>83.02</v>
      </c>
      <c r="O1718" t="str">
        <f t="shared" si="79"/>
        <v>September</v>
      </c>
      <c r="P1718" t="str">
        <f t="shared" si="80"/>
        <v>Weekday</v>
      </c>
    </row>
    <row r="1719" spans="1:16" x14ac:dyDescent="0.3">
      <c r="A1719" s="1">
        <v>43358</v>
      </c>
      <c r="B1719">
        <v>6</v>
      </c>
      <c r="C1719">
        <v>2.0099999999999998</v>
      </c>
      <c r="D1719">
        <v>4</v>
      </c>
      <c r="E1719">
        <v>19.7</v>
      </c>
      <c r="F1719">
        <v>6</v>
      </c>
      <c r="G1719">
        <v>0</v>
      </c>
      <c r="H1719">
        <v>10</v>
      </c>
      <c r="I1719">
        <v>4.4000000000000004</v>
      </c>
      <c r="J1719">
        <v>2018</v>
      </c>
      <c r="K1719">
        <v>9</v>
      </c>
      <c r="L1719">
        <v>276</v>
      </c>
      <c r="M1719" t="s">
        <v>14</v>
      </c>
      <c r="N1719">
        <f t="shared" si="78"/>
        <v>52.11</v>
      </c>
      <c r="O1719" t="str">
        <f t="shared" si="79"/>
        <v>September</v>
      </c>
      <c r="P1719" t="str">
        <f t="shared" si="80"/>
        <v>Weekend</v>
      </c>
    </row>
    <row r="1720" spans="1:16" x14ac:dyDescent="0.3">
      <c r="A1720" s="1">
        <v>43359</v>
      </c>
      <c r="B1720">
        <v>3.33</v>
      </c>
      <c r="C1720">
        <v>0.67</v>
      </c>
      <c r="D1720">
        <v>3.25</v>
      </c>
      <c r="E1720">
        <v>24.25</v>
      </c>
      <c r="F1720">
        <v>6</v>
      </c>
      <c r="G1720">
        <v>1</v>
      </c>
      <c r="H1720">
        <v>7</v>
      </c>
      <c r="I1720">
        <v>3</v>
      </c>
      <c r="J1720">
        <v>2018</v>
      </c>
      <c r="K1720">
        <v>9</v>
      </c>
      <c r="L1720">
        <v>276</v>
      </c>
      <c r="M1720" t="s">
        <v>15</v>
      </c>
      <c r="N1720">
        <f t="shared" si="78"/>
        <v>48.5</v>
      </c>
      <c r="O1720" t="str">
        <f t="shared" si="79"/>
        <v>September</v>
      </c>
      <c r="P1720" t="str">
        <f t="shared" si="80"/>
        <v>Weekend</v>
      </c>
    </row>
    <row r="1721" spans="1:16" x14ac:dyDescent="0.3">
      <c r="A1721" s="1">
        <v>43360</v>
      </c>
      <c r="B1721">
        <v>3</v>
      </c>
      <c r="C1721">
        <v>2.33</v>
      </c>
      <c r="D1721">
        <v>3.75</v>
      </c>
      <c r="E1721">
        <v>44.4</v>
      </c>
      <c r="F1721">
        <v>10</v>
      </c>
      <c r="G1721">
        <v>1</v>
      </c>
      <c r="H1721">
        <v>5</v>
      </c>
      <c r="I1721">
        <v>0</v>
      </c>
      <c r="J1721">
        <v>2018</v>
      </c>
      <c r="K1721">
        <v>9</v>
      </c>
      <c r="L1721">
        <v>276</v>
      </c>
      <c r="M1721" t="s">
        <v>16</v>
      </c>
      <c r="N1721">
        <f t="shared" si="78"/>
        <v>69.47999999999999</v>
      </c>
      <c r="O1721" t="str">
        <f t="shared" si="79"/>
        <v>September</v>
      </c>
      <c r="P1721" t="str">
        <f t="shared" si="80"/>
        <v>Weekday</v>
      </c>
    </row>
    <row r="1722" spans="1:16" x14ac:dyDescent="0.3">
      <c r="A1722" s="1">
        <v>43361</v>
      </c>
      <c r="B1722">
        <v>4.34</v>
      </c>
      <c r="C1722">
        <v>3</v>
      </c>
      <c r="D1722">
        <v>3.7</v>
      </c>
      <c r="E1722">
        <v>20</v>
      </c>
      <c r="F1722">
        <v>6</v>
      </c>
      <c r="G1722">
        <v>0</v>
      </c>
      <c r="H1722">
        <v>1</v>
      </c>
      <c r="I1722">
        <v>5</v>
      </c>
      <c r="J1722">
        <v>2018</v>
      </c>
      <c r="K1722">
        <v>9</v>
      </c>
      <c r="L1722">
        <v>276</v>
      </c>
      <c r="M1722" t="s">
        <v>17</v>
      </c>
      <c r="N1722">
        <f t="shared" si="78"/>
        <v>43.04</v>
      </c>
      <c r="O1722" t="str">
        <f t="shared" si="79"/>
        <v>September</v>
      </c>
      <c r="P1722" t="str">
        <f t="shared" si="80"/>
        <v>Weekday</v>
      </c>
    </row>
    <row r="1723" spans="1:16" x14ac:dyDescent="0.3">
      <c r="A1723" s="1">
        <v>43362</v>
      </c>
      <c r="B1723">
        <v>6</v>
      </c>
      <c r="C1723">
        <v>3.68</v>
      </c>
      <c r="D1723">
        <v>2</v>
      </c>
      <c r="E1723">
        <v>26</v>
      </c>
      <c r="F1723">
        <v>10</v>
      </c>
      <c r="G1723">
        <v>0</v>
      </c>
      <c r="H1723">
        <v>9</v>
      </c>
      <c r="I1723">
        <v>7</v>
      </c>
      <c r="J1723">
        <v>2018</v>
      </c>
      <c r="K1723">
        <v>9</v>
      </c>
      <c r="L1723">
        <v>276</v>
      </c>
      <c r="M1723" t="s">
        <v>18</v>
      </c>
      <c r="N1723">
        <f t="shared" si="78"/>
        <v>63.68</v>
      </c>
      <c r="O1723" t="str">
        <f t="shared" si="79"/>
        <v>September</v>
      </c>
      <c r="P1723" t="str">
        <f t="shared" si="80"/>
        <v>Weekday</v>
      </c>
    </row>
    <row r="1724" spans="1:16" x14ac:dyDescent="0.3">
      <c r="A1724" s="1">
        <v>43363</v>
      </c>
      <c r="B1724">
        <v>2</v>
      </c>
      <c r="C1724">
        <v>4.0670000000000002</v>
      </c>
      <c r="D1724">
        <v>2</v>
      </c>
      <c r="E1724">
        <v>24.2</v>
      </c>
      <c r="F1724">
        <v>13</v>
      </c>
      <c r="G1724">
        <v>1</v>
      </c>
      <c r="H1724">
        <v>0</v>
      </c>
      <c r="I1724">
        <v>5</v>
      </c>
      <c r="J1724">
        <v>2018</v>
      </c>
      <c r="K1724">
        <v>9</v>
      </c>
      <c r="L1724">
        <v>276</v>
      </c>
      <c r="M1724" t="s">
        <v>12</v>
      </c>
      <c r="N1724">
        <f t="shared" si="78"/>
        <v>51.266999999999996</v>
      </c>
      <c r="O1724" t="str">
        <f t="shared" si="79"/>
        <v>September</v>
      </c>
      <c r="P1724" t="str">
        <f t="shared" si="80"/>
        <v>Weekday</v>
      </c>
    </row>
    <row r="1725" spans="1:16" x14ac:dyDescent="0.3">
      <c r="A1725" s="1">
        <v>43364</v>
      </c>
      <c r="B1725">
        <v>4.66</v>
      </c>
      <c r="C1725">
        <v>5.8369999999999997</v>
      </c>
      <c r="D1725">
        <v>1</v>
      </c>
      <c r="E1725">
        <v>33.1</v>
      </c>
      <c r="F1725">
        <v>10</v>
      </c>
      <c r="G1725">
        <v>0</v>
      </c>
      <c r="H1725">
        <v>1</v>
      </c>
      <c r="I1725">
        <v>3</v>
      </c>
      <c r="J1725">
        <v>2018</v>
      </c>
      <c r="K1725">
        <v>9</v>
      </c>
      <c r="L1725">
        <v>276</v>
      </c>
      <c r="M1725" t="s">
        <v>13</v>
      </c>
      <c r="N1725">
        <f t="shared" si="78"/>
        <v>58.597000000000001</v>
      </c>
      <c r="O1725" t="str">
        <f t="shared" si="79"/>
        <v>September</v>
      </c>
      <c r="P1725" t="str">
        <f t="shared" si="80"/>
        <v>Weekday</v>
      </c>
    </row>
    <row r="1726" spans="1:16" x14ac:dyDescent="0.3">
      <c r="A1726" s="1">
        <v>43365</v>
      </c>
      <c r="B1726">
        <v>6</v>
      </c>
      <c r="C1726">
        <v>3.8330000000000002</v>
      </c>
      <c r="D1726">
        <v>1.5</v>
      </c>
      <c r="E1726">
        <v>31.6</v>
      </c>
      <c r="F1726">
        <v>6</v>
      </c>
      <c r="G1726">
        <v>1</v>
      </c>
      <c r="H1726">
        <v>23</v>
      </c>
      <c r="I1726">
        <v>3</v>
      </c>
      <c r="J1726">
        <v>2018</v>
      </c>
      <c r="K1726">
        <v>9</v>
      </c>
      <c r="L1726">
        <v>276</v>
      </c>
      <c r="M1726" t="s">
        <v>14</v>
      </c>
      <c r="N1726">
        <f t="shared" si="78"/>
        <v>75.932999999999993</v>
      </c>
      <c r="O1726" t="str">
        <f t="shared" si="79"/>
        <v>September</v>
      </c>
      <c r="P1726" t="str">
        <f t="shared" si="80"/>
        <v>Weekend</v>
      </c>
    </row>
    <row r="1727" spans="1:16" x14ac:dyDescent="0.3">
      <c r="A1727" s="1">
        <v>43366</v>
      </c>
      <c r="B1727">
        <v>7.34</v>
      </c>
      <c r="C1727">
        <v>9.4390000000000001</v>
      </c>
      <c r="D1727">
        <v>3.25</v>
      </c>
      <c r="E1727">
        <v>42.862000000000002</v>
      </c>
      <c r="F1727">
        <v>9</v>
      </c>
      <c r="G1727">
        <v>0</v>
      </c>
      <c r="H1727">
        <v>8</v>
      </c>
      <c r="I1727">
        <v>5</v>
      </c>
      <c r="J1727">
        <v>2018</v>
      </c>
      <c r="K1727">
        <v>9</v>
      </c>
      <c r="L1727">
        <v>276</v>
      </c>
      <c r="M1727" t="s">
        <v>15</v>
      </c>
      <c r="N1727">
        <f t="shared" si="78"/>
        <v>84.891000000000005</v>
      </c>
      <c r="O1727" t="str">
        <f t="shared" si="79"/>
        <v>September</v>
      </c>
      <c r="P1727" t="str">
        <f t="shared" si="80"/>
        <v>Weekend</v>
      </c>
    </row>
    <row r="1728" spans="1:16" x14ac:dyDescent="0.3">
      <c r="A1728" s="1">
        <v>43367</v>
      </c>
      <c r="B1728">
        <v>7.33</v>
      </c>
      <c r="C1728">
        <v>3.67</v>
      </c>
      <c r="D1728">
        <v>5.5</v>
      </c>
      <c r="E1728">
        <v>53.8</v>
      </c>
      <c r="F1728">
        <v>7</v>
      </c>
      <c r="G1728">
        <v>0</v>
      </c>
      <c r="H1728">
        <v>9</v>
      </c>
      <c r="I1728">
        <v>2</v>
      </c>
      <c r="J1728">
        <v>2018</v>
      </c>
      <c r="K1728">
        <v>9</v>
      </c>
      <c r="L1728">
        <v>276</v>
      </c>
      <c r="M1728" t="s">
        <v>16</v>
      </c>
      <c r="N1728">
        <f t="shared" si="78"/>
        <v>88.3</v>
      </c>
      <c r="O1728" t="str">
        <f t="shared" si="79"/>
        <v>September</v>
      </c>
      <c r="P1728" t="str">
        <f t="shared" si="80"/>
        <v>Weekday</v>
      </c>
    </row>
    <row r="1729" spans="1:16" x14ac:dyDescent="0.3">
      <c r="A1729" s="1">
        <v>43368</v>
      </c>
      <c r="B1729">
        <v>6</v>
      </c>
      <c r="C1729">
        <v>4.7359999999999998</v>
      </c>
      <c r="D1729">
        <v>3.3</v>
      </c>
      <c r="E1729">
        <v>53.85</v>
      </c>
      <c r="F1729">
        <v>11</v>
      </c>
      <c r="G1729">
        <v>0</v>
      </c>
      <c r="H1729">
        <v>22</v>
      </c>
      <c r="I1729">
        <v>2</v>
      </c>
      <c r="J1729">
        <v>2018</v>
      </c>
      <c r="K1729">
        <v>9</v>
      </c>
      <c r="L1729">
        <v>276</v>
      </c>
      <c r="M1729" t="s">
        <v>17</v>
      </c>
      <c r="N1729">
        <f t="shared" si="78"/>
        <v>102.886</v>
      </c>
      <c r="O1729" t="str">
        <f t="shared" si="79"/>
        <v>September</v>
      </c>
      <c r="P1729" t="str">
        <f t="shared" si="80"/>
        <v>Weekday</v>
      </c>
    </row>
    <row r="1730" spans="1:16" x14ac:dyDescent="0.3">
      <c r="A1730" s="1">
        <v>43369</v>
      </c>
      <c r="B1730">
        <v>3</v>
      </c>
      <c r="C1730">
        <v>9</v>
      </c>
      <c r="D1730">
        <v>6</v>
      </c>
      <c r="E1730">
        <v>41.4</v>
      </c>
      <c r="F1730">
        <v>9</v>
      </c>
      <c r="G1730">
        <v>1</v>
      </c>
      <c r="H1730">
        <v>0</v>
      </c>
      <c r="I1730">
        <v>3</v>
      </c>
      <c r="J1730">
        <v>2018</v>
      </c>
      <c r="K1730">
        <v>9</v>
      </c>
      <c r="L1730">
        <v>276</v>
      </c>
      <c r="M1730" t="s">
        <v>18</v>
      </c>
      <c r="N1730">
        <f t="shared" si="78"/>
        <v>72.400000000000006</v>
      </c>
      <c r="O1730" t="str">
        <f t="shared" si="79"/>
        <v>September</v>
      </c>
      <c r="P1730" t="str">
        <f t="shared" si="80"/>
        <v>Weekday</v>
      </c>
    </row>
    <row r="1731" spans="1:16" x14ac:dyDescent="0.3">
      <c r="A1731" s="1">
        <v>43370</v>
      </c>
      <c r="B1731">
        <v>4</v>
      </c>
      <c r="C1731">
        <v>6.5670000000000002</v>
      </c>
      <c r="D1731">
        <v>4.5999999999999996</v>
      </c>
      <c r="E1731">
        <v>19</v>
      </c>
      <c r="F1731">
        <v>11</v>
      </c>
      <c r="G1731">
        <v>0</v>
      </c>
      <c r="H1731">
        <v>7</v>
      </c>
      <c r="I1731">
        <v>3</v>
      </c>
      <c r="J1731">
        <v>2018</v>
      </c>
      <c r="K1731">
        <v>9</v>
      </c>
      <c r="L1731">
        <v>276</v>
      </c>
      <c r="M1731" t="s">
        <v>12</v>
      </c>
      <c r="N1731">
        <f t="shared" ref="N1731:N1794" si="81">SUM(B1731:I1731)</f>
        <v>55.167000000000002</v>
      </c>
      <c r="O1731" t="str">
        <f t="shared" ref="O1731:O1794" si="82">TEXT(A1731,"mmmm")</f>
        <v>September</v>
      </c>
      <c r="P1731" t="str">
        <f t="shared" ref="P1731:P1794" si="83">IF(OR(M1731="Saturday",M1731="Sunday"),"Weekend","Weekday")</f>
        <v>Weekday</v>
      </c>
    </row>
    <row r="1732" spans="1:16" x14ac:dyDescent="0.3">
      <c r="A1732" s="1">
        <v>43371</v>
      </c>
      <c r="B1732">
        <v>2</v>
      </c>
      <c r="C1732">
        <v>4.68</v>
      </c>
      <c r="D1732">
        <v>3.7</v>
      </c>
      <c r="E1732">
        <v>40.6</v>
      </c>
      <c r="F1732">
        <v>3</v>
      </c>
      <c r="G1732">
        <v>0</v>
      </c>
      <c r="H1732">
        <v>5</v>
      </c>
      <c r="I1732">
        <v>3</v>
      </c>
      <c r="J1732">
        <v>2018</v>
      </c>
      <c r="K1732">
        <v>9</v>
      </c>
      <c r="L1732">
        <v>276</v>
      </c>
      <c r="M1732" t="s">
        <v>13</v>
      </c>
      <c r="N1732">
        <f t="shared" si="81"/>
        <v>61.980000000000004</v>
      </c>
      <c r="O1732" t="str">
        <f t="shared" si="82"/>
        <v>September</v>
      </c>
      <c r="P1732" t="str">
        <f t="shared" si="83"/>
        <v>Weekday</v>
      </c>
    </row>
    <row r="1733" spans="1:16" x14ac:dyDescent="0.3">
      <c r="A1733" s="1">
        <v>43372</v>
      </c>
      <c r="B1733">
        <v>3.5</v>
      </c>
      <c r="C1733">
        <v>5.33</v>
      </c>
      <c r="D1733">
        <v>2.15</v>
      </c>
      <c r="E1733">
        <v>57.7</v>
      </c>
      <c r="F1733">
        <v>4</v>
      </c>
      <c r="G1733">
        <v>0</v>
      </c>
      <c r="H1733">
        <v>21</v>
      </c>
      <c r="I1733">
        <v>1</v>
      </c>
      <c r="J1733">
        <v>2018</v>
      </c>
      <c r="K1733">
        <v>9</v>
      </c>
      <c r="L1733">
        <v>276</v>
      </c>
      <c r="M1733" t="s">
        <v>14</v>
      </c>
      <c r="N1733">
        <f t="shared" si="81"/>
        <v>94.68</v>
      </c>
      <c r="O1733" t="str">
        <f t="shared" si="82"/>
        <v>September</v>
      </c>
      <c r="P1733" t="str">
        <f t="shared" si="83"/>
        <v>Weekend</v>
      </c>
    </row>
    <row r="1734" spans="1:16" x14ac:dyDescent="0.3">
      <c r="A1734" s="1">
        <v>43373</v>
      </c>
      <c r="B1734">
        <v>11.01</v>
      </c>
      <c r="C1734">
        <v>2.0099999999999998</v>
      </c>
      <c r="D1734">
        <v>2</v>
      </c>
      <c r="E1734">
        <v>54</v>
      </c>
      <c r="F1734">
        <v>9</v>
      </c>
      <c r="G1734">
        <v>1</v>
      </c>
      <c r="H1734">
        <v>3</v>
      </c>
      <c r="I1734">
        <v>3</v>
      </c>
      <c r="J1734">
        <v>2018</v>
      </c>
      <c r="K1734">
        <v>9</v>
      </c>
      <c r="L1734">
        <v>276</v>
      </c>
      <c r="M1734" t="s">
        <v>15</v>
      </c>
      <c r="N1734">
        <f t="shared" si="81"/>
        <v>85.02</v>
      </c>
      <c r="O1734" t="str">
        <f t="shared" si="82"/>
        <v>September</v>
      </c>
      <c r="P1734" t="str">
        <f t="shared" si="83"/>
        <v>Weekend</v>
      </c>
    </row>
    <row r="1735" spans="1:16" x14ac:dyDescent="0.3">
      <c r="A1735" s="1">
        <v>43374</v>
      </c>
      <c r="B1735">
        <v>3</v>
      </c>
      <c r="C1735">
        <v>4.9320000000000004</v>
      </c>
      <c r="D1735">
        <v>1</v>
      </c>
      <c r="E1735">
        <v>53</v>
      </c>
      <c r="F1735">
        <v>10</v>
      </c>
      <c r="G1735">
        <v>0</v>
      </c>
      <c r="H1735">
        <v>21</v>
      </c>
      <c r="I1735">
        <v>3</v>
      </c>
      <c r="J1735">
        <v>2018</v>
      </c>
      <c r="K1735">
        <v>10</v>
      </c>
      <c r="L1735">
        <v>276</v>
      </c>
      <c r="M1735" t="s">
        <v>16</v>
      </c>
      <c r="N1735">
        <f t="shared" si="81"/>
        <v>95.932000000000002</v>
      </c>
      <c r="O1735" t="str">
        <f t="shared" si="82"/>
        <v>October</v>
      </c>
      <c r="P1735" t="str">
        <f t="shared" si="83"/>
        <v>Weekday</v>
      </c>
    </row>
    <row r="1736" spans="1:16" x14ac:dyDescent="0.3">
      <c r="A1736" s="1">
        <v>43375</v>
      </c>
      <c r="B1736">
        <v>6</v>
      </c>
      <c r="C1736">
        <v>3.91</v>
      </c>
      <c r="D1736">
        <v>3.5</v>
      </c>
      <c r="E1736">
        <v>18.600000000000001</v>
      </c>
      <c r="F1736">
        <v>7</v>
      </c>
      <c r="G1736">
        <v>0</v>
      </c>
      <c r="H1736">
        <v>6</v>
      </c>
      <c r="I1736">
        <v>0</v>
      </c>
      <c r="J1736">
        <v>2018</v>
      </c>
      <c r="K1736">
        <v>10</v>
      </c>
      <c r="L1736">
        <v>276</v>
      </c>
      <c r="M1736" t="s">
        <v>17</v>
      </c>
      <c r="N1736">
        <f t="shared" si="81"/>
        <v>45.010000000000005</v>
      </c>
      <c r="O1736" t="str">
        <f t="shared" si="82"/>
        <v>October</v>
      </c>
      <c r="P1736" t="str">
        <f t="shared" si="83"/>
        <v>Weekday</v>
      </c>
    </row>
    <row r="1737" spans="1:16" x14ac:dyDescent="0.3">
      <c r="A1737" s="1">
        <v>43376</v>
      </c>
      <c r="B1737">
        <v>6</v>
      </c>
      <c r="C1737">
        <v>3.33</v>
      </c>
      <c r="D1737">
        <v>3</v>
      </c>
      <c r="E1737">
        <v>34.9</v>
      </c>
      <c r="F1737">
        <v>12</v>
      </c>
      <c r="G1737">
        <v>2</v>
      </c>
      <c r="H1737">
        <v>5</v>
      </c>
      <c r="I1737">
        <v>4</v>
      </c>
      <c r="J1737">
        <v>2018</v>
      </c>
      <c r="K1737">
        <v>10</v>
      </c>
      <c r="L1737">
        <v>276</v>
      </c>
      <c r="M1737" t="s">
        <v>18</v>
      </c>
      <c r="N1737">
        <f t="shared" si="81"/>
        <v>70.22999999999999</v>
      </c>
      <c r="O1737" t="str">
        <f t="shared" si="82"/>
        <v>October</v>
      </c>
      <c r="P1737" t="str">
        <f t="shared" si="83"/>
        <v>Weekday</v>
      </c>
    </row>
    <row r="1738" spans="1:16" x14ac:dyDescent="0.3">
      <c r="A1738" s="1">
        <v>43377</v>
      </c>
      <c r="B1738">
        <v>6</v>
      </c>
      <c r="C1738">
        <v>3.36</v>
      </c>
      <c r="D1738">
        <v>2</v>
      </c>
      <c r="E1738">
        <v>32</v>
      </c>
      <c r="F1738">
        <v>12</v>
      </c>
      <c r="G1738">
        <v>1</v>
      </c>
      <c r="H1738">
        <v>5</v>
      </c>
      <c r="I1738">
        <v>0</v>
      </c>
      <c r="J1738">
        <v>2018</v>
      </c>
      <c r="K1738">
        <v>10</v>
      </c>
      <c r="L1738">
        <v>276</v>
      </c>
      <c r="M1738" t="s">
        <v>12</v>
      </c>
      <c r="N1738">
        <f t="shared" si="81"/>
        <v>61.36</v>
      </c>
      <c r="O1738" t="str">
        <f t="shared" si="82"/>
        <v>October</v>
      </c>
      <c r="P1738" t="str">
        <f t="shared" si="83"/>
        <v>Weekday</v>
      </c>
    </row>
    <row r="1739" spans="1:16" x14ac:dyDescent="0.3">
      <c r="A1739" s="1">
        <v>43378</v>
      </c>
      <c r="B1739">
        <v>4.84</v>
      </c>
      <c r="C1739">
        <v>3.3969999999999998</v>
      </c>
      <c r="D1739">
        <v>1.1000000000000001</v>
      </c>
      <c r="E1739">
        <v>22.8</v>
      </c>
      <c r="F1739">
        <v>7</v>
      </c>
      <c r="G1739">
        <v>0</v>
      </c>
      <c r="H1739">
        <v>14</v>
      </c>
      <c r="I1739">
        <v>1</v>
      </c>
      <c r="J1739">
        <v>2018</v>
      </c>
      <c r="K1739">
        <v>10</v>
      </c>
      <c r="L1739">
        <v>276</v>
      </c>
      <c r="M1739" t="s">
        <v>13</v>
      </c>
      <c r="N1739">
        <f t="shared" si="81"/>
        <v>54.137</v>
      </c>
      <c r="O1739" t="str">
        <f t="shared" si="82"/>
        <v>October</v>
      </c>
      <c r="P1739" t="str">
        <f t="shared" si="83"/>
        <v>Weekday</v>
      </c>
    </row>
    <row r="1740" spans="1:16" x14ac:dyDescent="0.3">
      <c r="A1740" s="1">
        <v>43379</v>
      </c>
      <c r="B1740">
        <v>2</v>
      </c>
      <c r="C1740">
        <v>5.36</v>
      </c>
      <c r="D1740">
        <v>3.2</v>
      </c>
      <c r="E1740">
        <v>59.25</v>
      </c>
      <c r="F1740">
        <v>4</v>
      </c>
      <c r="G1740">
        <v>0</v>
      </c>
      <c r="H1740">
        <v>3</v>
      </c>
      <c r="I1740">
        <v>0.1</v>
      </c>
      <c r="J1740">
        <v>2018</v>
      </c>
      <c r="K1740">
        <v>10</v>
      </c>
      <c r="L1740">
        <v>276</v>
      </c>
      <c r="M1740" t="s">
        <v>14</v>
      </c>
      <c r="N1740">
        <f t="shared" si="81"/>
        <v>76.91</v>
      </c>
      <c r="O1740" t="str">
        <f t="shared" si="82"/>
        <v>October</v>
      </c>
      <c r="P1740" t="str">
        <f t="shared" si="83"/>
        <v>Weekend</v>
      </c>
    </row>
    <row r="1741" spans="1:16" x14ac:dyDescent="0.3">
      <c r="A1741" s="1">
        <v>43380</v>
      </c>
      <c r="B1741">
        <v>2.68</v>
      </c>
      <c r="C1741">
        <v>7.35</v>
      </c>
      <c r="D1741">
        <v>2</v>
      </c>
      <c r="E1741">
        <v>42.4</v>
      </c>
      <c r="F1741">
        <v>8</v>
      </c>
      <c r="G1741">
        <v>0</v>
      </c>
      <c r="H1741">
        <v>9</v>
      </c>
      <c r="I1741">
        <v>1</v>
      </c>
      <c r="J1741">
        <v>2018</v>
      </c>
      <c r="K1741">
        <v>10</v>
      </c>
      <c r="L1741">
        <v>276</v>
      </c>
      <c r="M1741" t="s">
        <v>15</v>
      </c>
      <c r="N1741">
        <f t="shared" si="81"/>
        <v>72.430000000000007</v>
      </c>
      <c r="O1741" t="str">
        <f t="shared" si="82"/>
        <v>October</v>
      </c>
      <c r="P1741" t="str">
        <f t="shared" si="83"/>
        <v>Weekend</v>
      </c>
    </row>
    <row r="1742" spans="1:16" x14ac:dyDescent="0.3">
      <c r="A1742" s="1">
        <v>43381</v>
      </c>
      <c r="B1742">
        <v>4</v>
      </c>
      <c r="C1742">
        <v>1.68</v>
      </c>
      <c r="D1742">
        <v>3</v>
      </c>
      <c r="E1742">
        <v>30</v>
      </c>
      <c r="F1742">
        <v>18</v>
      </c>
      <c r="G1742">
        <v>5</v>
      </c>
      <c r="H1742">
        <v>0</v>
      </c>
      <c r="I1742">
        <v>3</v>
      </c>
      <c r="J1742">
        <v>2018</v>
      </c>
      <c r="K1742">
        <v>10</v>
      </c>
      <c r="L1742">
        <v>276</v>
      </c>
      <c r="M1742" t="s">
        <v>16</v>
      </c>
      <c r="N1742">
        <f t="shared" si="81"/>
        <v>64.680000000000007</v>
      </c>
      <c r="O1742" t="str">
        <f t="shared" si="82"/>
        <v>October</v>
      </c>
      <c r="P1742" t="str">
        <f t="shared" si="83"/>
        <v>Weekday</v>
      </c>
    </row>
    <row r="1743" spans="1:16" x14ac:dyDescent="0.3">
      <c r="A1743" s="1">
        <v>43382</v>
      </c>
      <c r="B1743">
        <v>2</v>
      </c>
      <c r="C1743">
        <v>1.67</v>
      </c>
      <c r="D1743">
        <v>1</v>
      </c>
      <c r="E1743">
        <v>30</v>
      </c>
      <c r="F1743">
        <v>18</v>
      </c>
      <c r="G1743">
        <v>0</v>
      </c>
      <c r="H1743">
        <v>29</v>
      </c>
      <c r="I1743">
        <v>1</v>
      </c>
      <c r="J1743">
        <v>2018</v>
      </c>
      <c r="K1743">
        <v>10</v>
      </c>
      <c r="L1743">
        <v>276</v>
      </c>
      <c r="M1743" t="s">
        <v>17</v>
      </c>
      <c r="N1743">
        <f t="shared" si="81"/>
        <v>82.67</v>
      </c>
      <c r="O1743" t="str">
        <f t="shared" si="82"/>
        <v>October</v>
      </c>
      <c r="P1743" t="str">
        <f t="shared" si="83"/>
        <v>Weekday</v>
      </c>
    </row>
    <row r="1744" spans="1:16" x14ac:dyDescent="0.3">
      <c r="A1744" s="1">
        <v>43383</v>
      </c>
      <c r="B1744">
        <v>9</v>
      </c>
      <c r="C1744">
        <v>8.01</v>
      </c>
      <c r="D1744">
        <v>4.0999999999999996</v>
      </c>
      <c r="E1744">
        <v>41.2</v>
      </c>
      <c r="F1744">
        <v>13</v>
      </c>
      <c r="G1744">
        <v>0</v>
      </c>
      <c r="H1744">
        <v>20</v>
      </c>
      <c r="I1744">
        <v>2</v>
      </c>
      <c r="J1744">
        <v>2018</v>
      </c>
      <c r="K1744">
        <v>10</v>
      </c>
      <c r="L1744">
        <v>276</v>
      </c>
      <c r="M1744" t="s">
        <v>18</v>
      </c>
      <c r="N1744">
        <f t="shared" si="81"/>
        <v>97.31</v>
      </c>
      <c r="O1744" t="str">
        <f t="shared" si="82"/>
        <v>October</v>
      </c>
      <c r="P1744" t="str">
        <f t="shared" si="83"/>
        <v>Weekday</v>
      </c>
    </row>
    <row r="1745" spans="1:16" x14ac:dyDescent="0.3">
      <c r="A1745" s="1">
        <v>43384</v>
      </c>
      <c r="B1745">
        <v>2</v>
      </c>
      <c r="C1745">
        <v>2.33</v>
      </c>
      <c r="D1745">
        <v>2.1</v>
      </c>
      <c r="E1745">
        <v>31</v>
      </c>
      <c r="F1745">
        <v>15</v>
      </c>
      <c r="G1745">
        <v>0</v>
      </c>
      <c r="H1745">
        <v>0</v>
      </c>
      <c r="I1745">
        <v>1</v>
      </c>
      <c r="J1745">
        <v>2018</v>
      </c>
      <c r="K1745">
        <v>10</v>
      </c>
      <c r="L1745">
        <v>276</v>
      </c>
      <c r="M1745" t="s">
        <v>12</v>
      </c>
      <c r="N1745">
        <f t="shared" si="81"/>
        <v>53.43</v>
      </c>
      <c r="O1745" t="str">
        <f t="shared" si="82"/>
        <v>October</v>
      </c>
      <c r="P1745" t="str">
        <f t="shared" si="83"/>
        <v>Weekday</v>
      </c>
    </row>
    <row r="1746" spans="1:16" x14ac:dyDescent="0.3">
      <c r="A1746" s="1">
        <v>43385</v>
      </c>
      <c r="B1746">
        <v>6.33</v>
      </c>
      <c r="C1746">
        <v>4.3630000000000004</v>
      </c>
      <c r="D1746">
        <v>1</v>
      </c>
      <c r="E1746">
        <v>26</v>
      </c>
      <c r="F1746">
        <v>6</v>
      </c>
      <c r="G1746">
        <v>0</v>
      </c>
      <c r="H1746">
        <v>1</v>
      </c>
      <c r="I1746">
        <v>6</v>
      </c>
      <c r="J1746">
        <v>2018</v>
      </c>
      <c r="K1746">
        <v>10</v>
      </c>
      <c r="L1746">
        <v>276</v>
      </c>
      <c r="M1746" t="s">
        <v>13</v>
      </c>
      <c r="N1746">
        <f t="shared" si="81"/>
        <v>50.692999999999998</v>
      </c>
      <c r="O1746" t="str">
        <f t="shared" si="82"/>
        <v>October</v>
      </c>
      <c r="P1746" t="str">
        <f t="shared" si="83"/>
        <v>Weekday</v>
      </c>
    </row>
    <row r="1747" spans="1:16" x14ac:dyDescent="0.3">
      <c r="A1747" s="1">
        <v>43386</v>
      </c>
      <c r="B1747">
        <v>6.99</v>
      </c>
      <c r="C1747">
        <v>4.5069999999999997</v>
      </c>
      <c r="D1747">
        <v>3.25</v>
      </c>
      <c r="E1747">
        <v>29.6</v>
      </c>
      <c r="F1747">
        <v>8</v>
      </c>
      <c r="G1747">
        <v>0</v>
      </c>
      <c r="H1747">
        <v>6</v>
      </c>
      <c r="I1747">
        <v>3</v>
      </c>
      <c r="J1747">
        <v>2018</v>
      </c>
      <c r="K1747">
        <v>10</v>
      </c>
      <c r="L1747">
        <v>276</v>
      </c>
      <c r="M1747" t="s">
        <v>14</v>
      </c>
      <c r="N1747">
        <f t="shared" si="81"/>
        <v>61.347000000000001</v>
      </c>
      <c r="O1747" t="str">
        <f t="shared" si="82"/>
        <v>October</v>
      </c>
      <c r="P1747" t="str">
        <f t="shared" si="83"/>
        <v>Weekend</v>
      </c>
    </row>
    <row r="1748" spans="1:16" x14ac:dyDescent="0.3">
      <c r="A1748" s="1">
        <v>43387</v>
      </c>
      <c r="B1748">
        <v>2.34</v>
      </c>
      <c r="C1748">
        <v>6.01</v>
      </c>
      <c r="D1748">
        <v>6.2</v>
      </c>
      <c r="E1748">
        <v>51.7</v>
      </c>
      <c r="F1748">
        <v>9</v>
      </c>
      <c r="G1748">
        <v>2</v>
      </c>
      <c r="H1748">
        <v>0</v>
      </c>
      <c r="I1748">
        <v>6</v>
      </c>
      <c r="J1748">
        <v>2018</v>
      </c>
      <c r="K1748">
        <v>10</v>
      </c>
      <c r="L1748">
        <v>276</v>
      </c>
      <c r="M1748" t="s">
        <v>15</v>
      </c>
      <c r="N1748">
        <f t="shared" si="81"/>
        <v>83.25</v>
      </c>
      <c r="O1748" t="str">
        <f t="shared" si="82"/>
        <v>October</v>
      </c>
      <c r="P1748" t="str">
        <f t="shared" si="83"/>
        <v>Weekend</v>
      </c>
    </row>
    <row r="1749" spans="1:16" x14ac:dyDescent="0.3">
      <c r="A1749" s="1">
        <v>43388</v>
      </c>
      <c r="B1749">
        <v>7.17</v>
      </c>
      <c r="C1749">
        <v>6.6000000000000003E-2</v>
      </c>
      <c r="D1749">
        <v>3</v>
      </c>
      <c r="E1749">
        <v>47.6</v>
      </c>
      <c r="F1749">
        <v>12</v>
      </c>
      <c r="G1749">
        <v>0</v>
      </c>
      <c r="H1749">
        <v>5</v>
      </c>
      <c r="I1749">
        <v>6</v>
      </c>
      <c r="J1749">
        <v>2018</v>
      </c>
      <c r="K1749">
        <v>10</v>
      </c>
      <c r="L1749">
        <v>276</v>
      </c>
      <c r="M1749" t="s">
        <v>16</v>
      </c>
      <c r="N1749">
        <f t="shared" si="81"/>
        <v>80.835999999999999</v>
      </c>
      <c r="O1749" t="str">
        <f t="shared" si="82"/>
        <v>October</v>
      </c>
      <c r="P1749" t="str">
        <f t="shared" si="83"/>
        <v>Weekday</v>
      </c>
    </row>
    <row r="1750" spans="1:16" x14ac:dyDescent="0.3">
      <c r="A1750" s="1">
        <v>43389</v>
      </c>
      <c r="B1750">
        <v>6</v>
      </c>
      <c r="C1750">
        <v>5.3220000000000001</v>
      </c>
      <c r="D1750">
        <v>2</v>
      </c>
      <c r="E1750">
        <v>27.3</v>
      </c>
      <c r="F1750">
        <v>5</v>
      </c>
      <c r="G1750">
        <v>3</v>
      </c>
      <c r="H1750">
        <v>6</v>
      </c>
      <c r="I1750">
        <v>0</v>
      </c>
      <c r="J1750">
        <v>2018</v>
      </c>
      <c r="K1750">
        <v>10</v>
      </c>
      <c r="L1750">
        <v>276</v>
      </c>
      <c r="M1750" t="s">
        <v>17</v>
      </c>
      <c r="N1750">
        <f t="shared" si="81"/>
        <v>54.622</v>
      </c>
      <c r="O1750" t="str">
        <f t="shared" si="82"/>
        <v>October</v>
      </c>
      <c r="P1750" t="str">
        <f t="shared" si="83"/>
        <v>Weekday</v>
      </c>
    </row>
    <row r="1751" spans="1:16" x14ac:dyDescent="0.3">
      <c r="A1751" s="1">
        <v>43390</v>
      </c>
      <c r="B1751">
        <v>2.33</v>
      </c>
      <c r="C1751">
        <v>6</v>
      </c>
      <c r="D1751">
        <v>4</v>
      </c>
      <c r="E1751">
        <v>52.2</v>
      </c>
      <c r="F1751">
        <v>5</v>
      </c>
      <c r="G1751">
        <v>0</v>
      </c>
      <c r="H1751">
        <v>1</v>
      </c>
      <c r="I1751">
        <v>4</v>
      </c>
      <c r="J1751">
        <v>2018</v>
      </c>
      <c r="K1751">
        <v>10</v>
      </c>
      <c r="L1751">
        <v>276</v>
      </c>
      <c r="M1751" t="s">
        <v>18</v>
      </c>
      <c r="N1751">
        <f t="shared" si="81"/>
        <v>74.53</v>
      </c>
      <c r="O1751" t="str">
        <f t="shared" si="82"/>
        <v>October</v>
      </c>
      <c r="P1751" t="str">
        <f t="shared" si="83"/>
        <v>Weekday</v>
      </c>
    </row>
    <row r="1752" spans="1:16" x14ac:dyDescent="0.3">
      <c r="A1752" s="1">
        <v>43391</v>
      </c>
      <c r="B1752">
        <v>4.34</v>
      </c>
      <c r="C1752">
        <v>3</v>
      </c>
      <c r="D1752">
        <v>1.1000000000000001</v>
      </c>
      <c r="E1752">
        <v>14</v>
      </c>
      <c r="F1752">
        <v>9</v>
      </c>
      <c r="G1752">
        <v>1</v>
      </c>
      <c r="H1752">
        <v>10</v>
      </c>
      <c r="I1752">
        <v>5</v>
      </c>
      <c r="J1752">
        <v>2018</v>
      </c>
      <c r="K1752">
        <v>10</v>
      </c>
      <c r="L1752">
        <v>276</v>
      </c>
      <c r="M1752" t="s">
        <v>12</v>
      </c>
      <c r="N1752">
        <f t="shared" si="81"/>
        <v>47.44</v>
      </c>
      <c r="O1752" t="str">
        <f t="shared" si="82"/>
        <v>October</v>
      </c>
      <c r="P1752" t="str">
        <f t="shared" si="83"/>
        <v>Weekday</v>
      </c>
    </row>
    <row r="1753" spans="1:16" x14ac:dyDescent="0.3">
      <c r="A1753" s="1">
        <v>43392</v>
      </c>
      <c r="B1753">
        <v>4</v>
      </c>
      <c r="C1753">
        <v>2.0659999999999998</v>
      </c>
      <c r="D1753">
        <v>0</v>
      </c>
      <c r="E1753">
        <v>10.6</v>
      </c>
      <c r="F1753">
        <v>5</v>
      </c>
      <c r="G1753">
        <v>2</v>
      </c>
      <c r="H1753">
        <v>6</v>
      </c>
      <c r="I1753">
        <v>4</v>
      </c>
      <c r="J1753">
        <v>2018</v>
      </c>
      <c r="K1753">
        <v>10</v>
      </c>
      <c r="L1753">
        <v>276</v>
      </c>
      <c r="M1753" t="s">
        <v>13</v>
      </c>
      <c r="N1753">
        <f t="shared" si="81"/>
        <v>33.665999999999997</v>
      </c>
      <c r="O1753" t="str">
        <f t="shared" si="82"/>
        <v>October</v>
      </c>
      <c r="P1753" t="str">
        <f t="shared" si="83"/>
        <v>Weekday</v>
      </c>
    </row>
    <row r="1754" spans="1:16" x14ac:dyDescent="0.3">
      <c r="A1754" s="1">
        <v>43393</v>
      </c>
      <c r="B1754">
        <v>2.34</v>
      </c>
      <c r="C1754">
        <v>2.02</v>
      </c>
      <c r="D1754">
        <v>2</v>
      </c>
      <c r="E1754">
        <v>33</v>
      </c>
      <c r="F1754">
        <v>9</v>
      </c>
      <c r="G1754">
        <v>0</v>
      </c>
      <c r="H1754">
        <v>34</v>
      </c>
      <c r="I1754">
        <v>5</v>
      </c>
      <c r="J1754">
        <v>2018</v>
      </c>
      <c r="K1754">
        <v>10</v>
      </c>
      <c r="L1754">
        <v>276</v>
      </c>
      <c r="M1754" t="s">
        <v>14</v>
      </c>
      <c r="N1754">
        <f t="shared" si="81"/>
        <v>87.36</v>
      </c>
      <c r="O1754" t="str">
        <f t="shared" si="82"/>
        <v>October</v>
      </c>
      <c r="P1754" t="str">
        <f t="shared" si="83"/>
        <v>Weekend</v>
      </c>
    </row>
    <row r="1755" spans="1:16" x14ac:dyDescent="0.3">
      <c r="A1755" s="1">
        <v>43394</v>
      </c>
      <c r="B1755">
        <v>6.67</v>
      </c>
      <c r="C1755">
        <v>8.69</v>
      </c>
      <c r="D1755">
        <v>1</v>
      </c>
      <c r="E1755">
        <v>56.3</v>
      </c>
      <c r="F1755">
        <v>5</v>
      </c>
      <c r="G1755">
        <v>3</v>
      </c>
      <c r="H1755">
        <v>5</v>
      </c>
      <c r="I1755">
        <v>1</v>
      </c>
      <c r="J1755">
        <v>2018</v>
      </c>
      <c r="K1755">
        <v>10</v>
      </c>
      <c r="L1755">
        <v>276</v>
      </c>
      <c r="M1755" t="s">
        <v>15</v>
      </c>
      <c r="N1755">
        <f t="shared" si="81"/>
        <v>86.66</v>
      </c>
      <c r="O1755" t="str">
        <f t="shared" si="82"/>
        <v>October</v>
      </c>
      <c r="P1755" t="str">
        <f t="shared" si="83"/>
        <v>Weekend</v>
      </c>
    </row>
    <row r="1756" spans="1:16" x14ac:dyDescent="0.3">
      <c r="A1756" s="1">
        <v>43395</v>
      </c>
      <c r="B1756">
        <v>2.66</v>
      </c>
      <c r="C1756">
        <v>7.01</v>
      </c>
      <c r="D1756">
        <v>3.3</v>
      </c>
      <c r="E1756">
        <v>18.8</v>
      </c>
      <c r="F1756">
        <v>8</v>
      </c>
      <c r="G1756">
        <v>0</v>
      </c>
      <c r="H1756">
        <v>28</v>
      </c>
      <c r="I1756">
        <v>1.3</v>
      </c>
      <c r="J1756">
        <v>2018</v>
      </c>
      <c r="K1756">
        <v>10</v>
      </c>
      <c r="L1756">
        <v>276</v>
      </c>
      <c r="M1756" t="s">
        <v>16</v>
      </c>
      <c r="N1756">
        <f t="shared" si="81"/>
        <v>69.069999999999993</v>
      </c>
      <c r="O1756" t="str">
        <f t="shared" si="82"/>
        <v>October</v>
      </c>
      <c r="P1756" t="str">
        <f t="shared" si="83"/>
        <v>Weekday</v>
      </c>
    </row>
    <row r="1757" spans="1:16" x14ac:dyDescent="0.3">
      <c r="A1757" s="1">
        <v>43396</v>
      </c>
      <c r="B1757">
        <v>2.34</v>
      </c>
      <c r="C1757">
        <v>2</v>
      </c>
      <c r="D1757">
        <v>0.45</v>
      </c>
      <c r="E1757">
        <v>44.8</v>
      </c>
      <c r="F1757">
        <v>9</v>
      </c>
      <c r="G1757">
        <v>1</v>
      </c>
      <c r="H1757">
        <v>11</v>
      </c>
      <c r="I1757">
        <v>3</v>
      </c>
      <c r="J1757">
        <v>2018</v>
      </c>
      <c r="K1757">
        <v>10</v>
      </c>
      <c r="L1757">
        <v>276</v>
      </c>
      <c r="M1757" t="s">
        <v>17</v>
      </c>
      <c r="N1757">
        <f t="shared" si="81"/>
        <v>73.59</v>
      </c>
      <c r="O1757" t="str">
        <f t="shared" si="82"/>
        <v>October</v>
      </c>
      <c r="P1757" t="str">
        <f t="shared" si="83"/>
        <v>Weekday</v>
      </c>
    </row>
    <row r="1758" spans="1:16" x14ac:dyDescent="0.3">
      <c r="A1758" s="1">
        <v>43397</v>
      </c>
      <c r="B1758">
        <v>4</v>
      </c>
      <c r="C1758">
        <v>2.109</v>
      </c>
      <c r="D1758">
        <v>5</v>
      </c>
      <c r="E1758">
        <v>37.200000000000003</v>
      </c>
      <c r="F1758">
        <v>7</v>
      </c>
      <c r="G1758">
        <v>0</v>
      </c>
      <c r="H1758">
        <v>10</v>
      </c>
      <c r="I1758">
        <v>1.5</v>
      </c>
      <c r="J1758">
        <v>2018</v>
      </c>
      <c r="K1758">
        <v>10</v>
      </c>
      <c r="L1758">
        <v>276</v>
      </c>
      <c r="M1758" t="s">
        <v>18</v>
      </c>
      <c r="N1758">
        <f t="shared" si="81"/>
        <v>66.808999999999997</v>
      </c>
      <c r="O1758" t="str">
        <f t="shared" si="82"/>
        <v>October</v>
      </c>
      <c r="P1758" t="str">
        <f t="shared" si="83"/>
        <v>Weekday</v>
      </c>
    </row>
    <row r="1759" spans="1:16" x14ac:dyDescent="0.3">
      <c r="A1759" s="1">
        <v>43398</v>
      </c>
      <c r="B1759">
        <v>5.33</v>
      </c>
      <c r="C1759">
        <v>5.4290000000000003</v>
      </c>
      <c r="D1759">
        <v>3</v>
      </c>
      <c r="E1759">
        <v>52.2</v>
      </c>
      <c r="F1759">
        <v>12</v>
      </c>
      <c r="G1759">
        <v>0</v>
      </c>
      <c r="H1759">
        <v>33</v>
      </c>
      <c r="I1759">
        <v>3</v>
      </c>
      <c r="J1759">
        <v>2018</v>
      </c>
      <c r="K1759">
        <v>10</v>
      </c>
      <c r="L1759">
        <v>276</v>
      </c>
      <c r="M1759" t="s">
        <v>12</v>
      </c>
      <c r="N1759">
        <f t="shared" si="81"/>
        <v>113.959</v>
      </c>
      <c r="O1759" t="str">
        <f t="shared" si="82"/>
        <v>October</v>
      </c>
      <c r="P1759" t="str">
        <f t="shared" si="83"/>
        <v>Weekday</v>
      </c>
    </row>
    <row r="1760" spans="1:16" x14ac:dyDescent="0.3">
      <c r="A1760" s="1">
        <v>43399</v>
      </c>
      <c r="B1760">
        <v>4</v>
      </c>
      <c r="C1760">
        <v>5.3730000000000002</v>
      </c>
      <c r="D1760">
        <v>4.5999999999999996</v>
      </c>
      <c r="E1760">
        <v>44</v>
      </c>
      <c r="F1760">
        <v>14</v>
      </c>
      <c r="G1760">
        <v>1</v>
      </c>
      <c r="H1760">
        <v>14</v>
      </c>
      <c r="I1760">
        <v>1</v>
      </c>
      <c r="J1760">
        <v>2018</v>
      </c>
      <c r="K1760">
        <v>10</v>
      </c>
      <c r="L1760">
        <v>276</v>
      </c>
      <c r="M1760" t="s">
        <v>13</v>
      </c>
      <c r="N1760">
        <f t="shared" si="81"/>
        <v>87.972999999999999</v>
      </c>
      <c r="O1760" t="str">
        <f t="shared" si="82"/>
        <v>October</v>
      </c>
      <c r="P1760" t="str">
        <f t="shared" si="83"/>
        <v>Weekday</v>
      </c>
    </row>
    <row r="1761" spans="1:16" x14ac:dyDescent="0.3">
      <c r="A1761" s="1">
        <v>43400</v>
      </c>
      <c r="B1761">
        <v>8.34</v>
      </c>
      <c r="C1761">
        <v>3.4260000000000002</v>
      </c>
      <c r="D1761">
        <v>2.2000000000000002</v>
      </c>
      <c r="E1761">
        <v>49.975000000000001</v>
      </c>
      <c r="F1761">
        <v>12</v>
      </c>
      <c r="G1761">
        <v>1</v>
      </c>
      <c r="H1761">
        <v>7</v>
      </c>
      <c r="I1761">
        <v>2</v>
      </c>
      <c r="J1761">
        <v>2018</v>
      </c>
      <c r="K1761">
        <v>10</v>
      </c>
      <c r="L1761">
        <v>276</v>
      </c>
      <c r="M1761" t="s">
        <v>14</v>
      </c>
      <c r="N1761">
        <f t="shared" si="81"/>
        <v>85.941000000000003</v>
      </c>
      <c r="O1761" t="str">
        <f t="shared" si="82"/>
        <v>October</v>
      </c>
      <c r="P1761" t="str">
        <f t="shared" si="83"/>
        <v>Weekend</v>
      </c>
    </row>
    <row r="1762" spans="1:16" x14ac:dyDescent="0.3">
      <c r="A1762" s="1">
        <v>43401</v>
      </c>
      <c r="B1762">
        <v>5.33</v>
      </c>
      <c r="C1762">
        <v>5.33</v>
      </c>
      <c r="D1762">
        <v>1.6</v>
      </c>
      <c r="E1762">
        <v>53.75</v>
      </c>
      <c r="F1762">
        <v>9</v>
      </c>
      <c r="G1762">
        <v>3</v>
      </c>
      <c r="H1762">
        <v>13</v>
      </c>
      <c r="I1762">
        <v>3</v>
      </c>
      <c r="J1762">
        <v>2018</v>
      </c>
      <c r="K1762">
        <v>10</v>
      </c>
      <c r="L1762">
        <v>276</v>
      </c>
      <c r="M1762" t="s">
        <v>15</v>
      </c>
      <c r="N1762">
        <f t="shared" si="81"/>
        <v>94.01</v>
      </c>
      <c r="O1762" t="str">
        <f t="shared" si="82"/>
        <v>October</v>
      </c>
      <c r="P1762" t="str">
        <f t="shared" si="83"/>
        <v>Weekend</v>
      </c>
    </row>
    <row r="1763" spans="1:16" x14ac:dyDescent="0.3">
      <c r="A1763" s="1">
        <v>43402</v>
      </c>
      <c r="B1763">
        <v>5.35</v>
      </c>
      <c r="C1763">
        <v>2.67</v>
      </c>
      <c r="D1763">
        <v>2.35</v>
      </c>
      <c r="E1763">
        <v>32.799999999999997</v>
      </c>
      <c r="F1763">
        <v>5</v>
      </c>
      <c r="G1763">
        <v>0</v>
      </c>
      <c r="H1763">
        <v>10</v>
      </c>
      <c r="I1763">
        <v>3</v>
      </c>
      <c r="J1763">
        <v>2018</v>
      </c>
      <c r="K1763">
        <v>10</v>
      </c>
      <c r="L1763">
        <v>276</v>
      </c>
      <c r="M1763" t="s">
        <v>16</v>
      </c>
      <c r="N1763">
        <f t="shared" si="81"/>
        <v>61.169999999999995</v>
      </c>
      <c r="O1763" t="str">
        <f t="shared" si="82"/>
        <v>October</v>
      </c>
      <c r="P1763" t="str">
        <f t="shared" si="83"/>
        <v>Weekday</v>
      </c>
    </row>
    <row r="1764" spans="1:16" x14ac:dyDescent="0.3">
      <c r="A1764" s="1">
        <v>43403</v>
      </c>
      <c r="B1764">
        <v>9.33</v>
      </c>
      <c r="C1764">
        <v>4</v>
      </c>
      <c r="D1764">
        <v>1</v>
      </c>
      <c r="E1764">
        <v>18.2</v>
      </c>
      <c r="F1764">
        <v>7</v>
      </c>
      <c r="G1764">
        <v>0</v>
      </c>
      <c r="H1764">
        <v>13</v>
      </c>
      <c r="I1764">
        <v>1</v>
      </c>
      <c r="J1764">
        <v>2018</v>
      </c>
      <c r="K1764">
        <v>10</v>
      </c>
      <c r="L1764">
        <v>276</v>
      </c>
      <c r="M1764" t="s">
        <v>17</v>
      </c>
      <c r="N1764">
        <f t="shared" si="81"/>
        <v>53.53</v>
      </c>
      <c r="O1764" t="str">
        <f t="shared" si="82"/>
        <v>October</v>
      </c>
      <c r="P1764" t="str">
        <f t="shared" si="83"/>
        <v>Weekday</v>
      </c>
    </row>
    <row r="1765" spans="1:16" x14ac:dyDescent="0.3">
      <c r="A1765" s="1">
        <v>43404</v>
      </c>
      <c r="B1765">
        <v>2</v>
      </c>
      <c r="C1765">
        <v>4.68</v>
      </c>
      <c r="D1765">
        <v>3</v>
      </c>
      <c r="E1765">
        <v>34.1</v>
      </c>
      <c r="F1765">
        <v>7</v>
      </c>
      <c r="G1765">
        <v>0</v>
      </c>
      <c r="H1765">
        <v>2</v>
      </c>
      <c r="I1765">
        <v>2</v>
      </c>
      <c r="J1765">
        <v>2018</v>
      </c>
      <c r="K1765">
        <v>10</v>
      </c>
      <c r="L1765">
        <v>276</v>
      </c>
      <c r="M1765" t="s">
        <v>18</v>
      </c>
      <c r="N1765">
        <f t="shared" si="81"/>
        <v>54.78</v>
      </c>
      <c r="O1765" t="str">
        <f t="shared" si="82"/>
        <v>October</v>
      </c>
      <c r="P1765" t="str">
        <f t="shared" si="83"/>
        <v>Weekday</v>
      </c>
    </row>
    <row r="1766" spans="1:16" x14ac:dyDescent="0.3">
      <c r="A1766" s="1">
        <v>43405</v>
      </c>
      <c r="B1766">
        <v>7.84</v>
      </c>
      <c r="C1766">
        <v>0.34</v>
      </c>
      <c r="D1766">
        <v>3</v>
      </c>
      <c r="E1766">
        <v>25</v>
      </c>
      <c r="F1766">
        <v>6</v>
      </c>
      <c r="G1766">
        <v>3</v>
      </c>
      <c r="H1766">
        <v>7</v>
      </c>
      <c r="I1766">
        <v>0</v>
      </c>
      <c r="J1766">
        <v>2018</v>
      </c>
      <c r="K1766">
        <v>11</v>
      </c>
      <c r="L1766">
        <v>276</v>
      </c>
      <c r="M1766" t="s">
        <v>12</v>
      </c>
      <c r="N1766">
        <f t="shared" si="81"/>
        <v>52.18</v>
      </c>
      <c r="O1766" t="str">
        <f t="shared" si="82"/>
        <v>November</v>
      </c>
      <c r="P1766" t="str">
        <f t="shared" si="83"/>
        <v>Weekday</v>
      </c>
    </row>
    <row r="1767" spans="1:16" x14ac:dyDescent="0.3">
      <c r="A1767" s="1">
        <v>43406</v>
      </c>
      <c r="B1767">
        <v>5.14</v>
      </c>
      <c r="C1767">
        <v>1.845</v>
      </c>
      <c r="D1767">
        <v>0</v>
      </c>
      <c r="E1767">
        <v>32.6</v>
      </c>
      <c r="F1767">
        <v>8.1999999999999993</v>
      </c>
      <c r="G1767">
        <v>0</v>
      </c>
      <c r="H1767">
        <v>1</v>
      </c>
      <c r="I1767">
        <v>3.3</v>
      </c>
      <c r="J1767">
        <v>2018</v>
      </c>
      <c r="K1767">
        <v>11</v>
      </c>
      <c r="L1767">
        <v>276</v>
      </c>
      <c r="M1767" t="s">
        <v>13</v>
      </c>
      <c r="N1767">
        <f t="shared" si="81"/>
        <v>52.084999999999994</v>
      </c>
      <c r="O1767" t="str">
        <f t="shared" si="82"/>
        <v>November</v>
      </c>
      <c r="P1767" t="str">
        <f t="shared" si="83"/>
        <v>Weekday</v>
      </c>
    </row>
    <row r="1768" spans="1:16" x14ac:dyDescent="0.3">
      <c r="A1768" s="1">
        <v>43407</v>
      </c>
      <c r="B1768">
        <v>3</v>
      </c>
      <c r="C1768">
        <v>3</v>
      </c>
      <c r="D1768">
        <v>6.2</v>
      </c>
      <c r="E1768">
        <v>45.4</v>
      </c>
      <c r="F1768">
        <v>2</v>
      </c>
      <c r="G1768">
        <v>0</v>
      </c>
      <c r="H1768">
        <v>0</v>
      </c>
      <c r="I1768">
        <v>2</v>
      </c>
      <c r="J1768">
        <v>2018</v>
      </c>
      <c r="K1768">
        <v>11</v>
      </c>
      <c r="L1768">
        <v>276</v>
      </c>
      <c r="M1768" t="s">
        <v>14</v>
      </c>
      <c r="N1768">
        <f t="shared" si="81"/>
        <v>61.599999999999994</v>
      </c>
      <c r="O1768" t="str">
        <f t="shared" si="82"/>
        <v>November</v>
      </c>
      <c r="P1768" t="str">
        <f t="shared" si="83"/>
        <v>Weekend</v>
      </c>
    </row>
    <row r="1769" spans="1:16" x14ac:dyDescent="0.3">
      <c r="A1769" s="1">
        <v>43408</v>
      </c>
      <c r="B1769">
        <v>13.99</v>
      </c>
      <c r="C1769">
        <v>4.8959999999999999</v>
      </c>
      <c r="D1769">
        <v>0</v>
      </c>
      <c r="E1769">
        <v>52</v>
      </c>
      <c r="F1769">
        <v>7</v>
      </c>
      <c r="G1769">
        <v>0</v>
      </c>
      <c r="H1769">
        <v>13</v>
      </c>
      <c r="I1769">
        <v>1</v>
      </c>
      <c r="J1769">
        <v>2018</v>
      </c>
      <c r="K1769">
        <v>11</v>
      </c>
      <c r="L1769">
        <v>276</v>
      </c>
      <c r="M1769" t="s">
        <v>15</v>
      </c>
      <c r="N1769">
        <f t="shared" si="81"/>
        <v>91.885999999999996</v>
      </c>
      <c r="O1769" t="str">
        <f t="shared" si="82"/>
        <v>November</v>
      </c>
      <c r="P1769" t="str">
        <f t="shared" si="83"/>
        <v>Weekend</v>
      </c>
    </row>
    <row r="1770" spans="1:16" x14ac:dyDescent="0.3">
      <c r="A1770" s="1">
        <v>43409</v>
      </c>
      <c r="B1770">
        <v>6.33</v>
      </c>
      <c r="C1770">
        <v>2.34</v>
      </c>
      <c r="D1770">
        <v>6</v>
      </c>
      <c r="E1770">
        <v>29</v>
      </c>
      <c r="F1770">
        <v>14</v>
      </c>
      <c r="G1770">
        <v>0</v>
      </c>
      <c r="H1770">
        <v>13</v>
      </c>
      <c r="I1770">
        <v>2.2999999999999998</v>
      </c>
      <c r="J1770">
        <v>2018</v>
      </c>
      <c r="K1770">
        <v>11</v>
      </c>
      <c r="L1770">
        <v>276</v>
      </c>
      <c r="M1770" t="s">
        <v>16</v>
      </c>
      <c r="N1770">
        <f t="shared" si="81"/>
        <v>72.97</v>
      </c>
      <c r="O1770" t="str">
        <f t="shared" si="82"/>
        <v>November</v>
      </c>
      <c r="P1770" t="str">
        <f t="shared" si="83"/>
        <v>Weekday</v>
      </c>
    </row>
    <row r="1771" spans="1:16" x14ac:dyDescent="0.3">
      <c r="A1771" s="1">
        <v>43410</v>
      </c>
      <c r="B1771">
        <v>3.33</v>
      </c>
      <c r="C1771">
        <v>6.68</v>
      </c>
      <c r="D1771">
        <v>10.55</v>
      </c>
      <c r="E1771">
        <v>37.700000000000003</v>
      </c>
      <c r="F1771">
        <v>8</v>
      </c>
      <c r="G1771">
        <v>0</v>
      </c>
      <c r="H1771">
        <v>13</v>
      </c>
      <c r="I1771">
        <v>2.5</v>
      </c>
      <c r="J1771">
        <v>2018</v>
      </c>
      <c r="K1771">
        <v>11</v>
      </c>
      <c r="L1771">
        <v>276</v>
      </c>
      <c r="M1771" t="s">
        <v>17</v>
      </c>
      <c r="N1771">
        <f t="shared" si="81"/>
        <v>81.760000000000005</v>
      </c>
      <c r="O1771" t="str">
        <f t="shared" si="82"/>
        <v>November</v>
      </c>
      <c r="P1771" t="str">
        <f t="shared" si="83"/>
        <v>Weekday</v>
      </c>
    </row>
    <row r="1772" spans="1:16" x14ac:dyDescent="0.3">
      <c r="A1772" s="1">
        <v>43411</v>
      </c>
      <c r="B1772">
        <v>7</v>
      </c>
      <c r="C1772">
        <v>1.863</v>
      </c>
      <c r="D1772">
        <v>3</v>
      </c>
      <c r="E1772">
        <v>38.9</v>
      </c>
      <c r="F1772">
        <v>15</v>
      </c>
      <c r="G1772">
        <v>3</v>
      </c>
      <c r="H1772">
        <v>8</v>
      </c>
      <c r="I1772">
        <v>0</v>
      </c>
      <c r="J1772">
        <v>2018</v>
      </c>
      <c r="K1772">
        <v>11</v>
      </c>
      <c r="L1772">
        <v>276</v>
      </c>
      <c r="M1772" t="s">
        <v>18</v>
      </c>
      <c r="N1772">
        <f t="shared" si="81"/>
        <v>76.763000000000005</v>
      </c>
      <c r="O1772" t="str">
        <f t="shared" si="82"/>
        <v>November</v>
      </c>
      <c r="P1772" t="str">
        <f t="shared" si="83"/>
        <v>Weekday</v>
      </c>
    </row>
    <row r="1773" spans="1:16" x14ac:dyDescent="0.3">
      <c r="A1773" s="1">
        <v>43412</v>
      </c>
      <c r="B1773">
        <v>3</v>
      </c>
      <c r="C1773">
        <v>1.573</v>
      </c>
      <c r="D1773">
        <v>6</v>
      </c>
      <c r="E1773">
        <v>38</v>
      </c>
      <c r="F1773">
        <v>5</v>
      </c>
      <c r="G1773">
        <v>0</v>
      </c>
      <c r="H1773">
        <v>16</v>
      </c>
      <c r="I1773">
        <v>2</v>
      </c>
      <c r="J1773">
        <v>2018</v>
      </c>
      <c r="K1773">
        <v>11</v>
      </c>
      <c r="L1773">
        <v>276</v>
      </c>
      <c r="M1773" t="s">
        <v>12</v>
      </c>
      <c r="N1773">
        <f t="shared" si="81"/>
        <v>71.573000000000008</v>
      </c>
      <c r="O1773" t="str">
        <f t="shared" si="82"/>
        <v>November</v>
      </c>
      <c r="P1773" t="str">
        <f t="shared" si="83"/>
        <v>Weekday</v>
      </c>
    </row>
    <row r="1774" spans="1:16" x14ac:dyDescent="0.3">
      <c r="A1774" s="1">
        <v>43413</v>
      </c>
      <c r="B1774">
        <v>5</v>
      </c>
      <c r="C1774">
        <v>0.67</v>
      </c>
      <c r="D1774">
        <v>5</v>
      </c>
      <c r="E1774">
        <v>43</v>
      </c>
      <c r="F1774">
        <v>7</v>
      </c>
      <c r="G1774">
        <v>1</v>
      </c>
      <c r="H1774">
        <v>22</v>
      </c>
      <c r="I1774">
        <v>0</v>
      </c>
      <c r="J1774">
        <v>2018</v>
      </c>
      <c r="K1774">
        <v>11</v>
      </c>
      <c r="L1774">
        <v>276</v>
      </c>
      <c r="M1774" t="s">
        <v>13</v>
      </c>
      <c r="N1774">
        <f t="shared" si="81"/>
        <v>83.67</v>
      </c>
      <c r="O1774" t="str">
        <f t="shared" si="82"/>
        <v>November</v>
      </c>
      <c r="P1774" t="str">
        <f t="shared" si="83"/>
        <v>Weekday</v>
      </c>
    </row>
    <row r="1775" spans="1:16" x14ac:dyDescent="0.3">
      <c r="A1775" s="1">
        <v>43414</v>
      </c>
      <c r="B1775">
        <v>4.33</v>
      </c>
      <c r="C1775">
        <v>2.4169999999999998</v>
      </c>
      <c r="D1775">
        <v>2</v>
      </c>
      <c r="E1775">
        <v>35.6</v>
      </c>
      <c r="F1775">
        <v>7</v>
      </c>
      <c r="G1775">
        <v>1</v>
      </c>
      <c r="H1775">
        <v>11</v>
      </c>
      <c r="I1775">
        <v>1.1000000000000001</v>
      </c>
      <c r="J1775">
        <v>2018</v>
      </c>
      <c r="K1775">
        <v>11</v>
      </c>
      <c r="L1775">
        <v>276</v>
      </c>
      <c r="M1775" t="s">
        <v>14</v>
      </c>
      <c r="N1775">
        <f t="shared" si="81"/>
        <v>64.447000000000003</v>
      </c>
      <c r="O1775" t="str">
        <f t="shared" si="82"/>
        <v>November</v>
      </c>
      <c r="P1775" t="str">
        <f t="shared" si="83"/>
        <v>Weekend</v>
      </c>
    </row>
    <row r="1776" spans="1:16" x14ac:dyDescent="0.3">
      <c r="A1776" s="1">
        <v>43415</v>
      </c>
      <c r="B1776">
        <v>11</v>
      </c>
      <c r="C1776">
        <v>4.2460000000000004</v>
      </c>
      <c r="D1776">
        <v>2</v>
      </c>
      <c r="E1776">
        <v>33.65</v>
      </c>
      <c r="F1776">
        <v>14</v>
      </c>
      <c r="G1776">
        <v>0</v>
      </c>
      <c r="H1776">
        <v>10</v>
      </c>
      <c r="I1776">
        <v>1</v>
      </c>
      <c r="J1776">
        <v>2018</v>
      </c>
      <c r="K1776">
        <v>11</v>
      </c>
      <c r="L1776">
        <v>276</v>
      </c>
      <c r="M1776" t="s">
        <v>15</v>
      </c>
      <c r="N1776">
        <f t="shared" si="81"/>
        <v>75.896000000000001</v>
      </c>
      <c r="O1776" t="str">
        <f t="shared" si="82"/>
        <v>November</v>
      </c>
      <c r="P1776" t="str">
        <f t="shared" si="83"/>
        <v>Weekend</v>
      </c>
    </row>
    <row r="1777" spans="1:16" x14ac:dyDescent="0.3">
      <c r="A1777" s="1">
        <v>43416</v>
      </c>
      <c r="B1777">
        <v>2.34</v>
      </c>
      <c r="C1777">
        <v>2.33</v>
      </c>
      <c r="D1777">
        <v>7</v>
      </c>
      <c r="E1777">
        <v>35</v>
      </c>
      <c r="F1777">
        <v>15</v>
      </c>
      <c r="G1777">
        <v>2</v>
      </c>
      <c r="H1777">
        <v>24</v>
      </c>
      <c r="I1777">
        <v>1</v>
      </c>
      <c r="J1777">
        <v>2018</v>
      </c>
      <c r="K1777">
        <v>11</v>
      </c>
      <c r="L1777">
        <v>276</v>
      </c>
      <c r="M1777" t="s">
        <v>16</v>
      </c>
      <c r="N1777">
        <f t="shared" si="81"/>
        <v>88.67</v>
      </c>
      <c r="O1777" t="str">
        <f t="shared" si="82"/>
        <v>November</v>
      </c>
      <c r="P1777" t="str">
        <f t="shared" si="83"/>
        <v>Weekday</v>
      </c>
    </row>
    <row r="1778" spans="1:16" x14ac:dyDescent="0.3">
      <c r="A1778" s="1">
        <v>43417</v>
      </c>
      <c r="B1778">
        <v>6.33</v>
      </c>
      <c r="C1778">
        <v>5.35</v>
      </c>
      <c r="D1778">
        <v>6</v>
      </c>
      <c r="E1778">
        <v>29.7</v>
      </c>
      <c r="F1778">
        <v>18</v>
      </c>
      <c r="G1778">
        <v>0</v>
      </c>
      <c r="H1778">
        <v>18</v>
      </c>
      <c r="I1778">
        <v>3</v>
      </c>
      <c r="J1778">
        <v>2018</v>
      </c>
      <c r="K1778">
        <v>11</v>
      </c>
      <c r="L1778">
        <v>276</v>
      </c>
      <c r="M1778" t="s">
        <v>17</v>
      </c>
      <c r="N1778">
        <f t="shared" si="81"/>
        <v>86.38</v>
      </c>
      <c r="O1778" t="str">
        <f t="shared" si="82"/>
        <v>November</v>
      </c>
      <c r="P1778" t="str">
        <f t="shared" si="83"/>
        <v>Weekday</v>
      </c>
    </row>
    <row r="1779" spans="1:16" x14ac:dyDescent="0.3">
      <c r="A1779" s="1">
        <v>43418</v>
      </c>
      <c r="B1779">
        <v>5.66</v>
      </c>
      <c r="C1779">
        <v>4.67</v>
      </c>
      <c r="D1779">
        <v>3</v>
      </c>
      <c r="E1779">
        <v>28.4</v>
      </c>
      <c r="F1779">
        <v>9</v>
      </c>
      <c r="G1779">
        <v>0</v>
      </c>
      <c r="H1779">
        <v>0</v>
      </c>
      <c r="I1779">
        <v>0</v>
      </c>
      <c r="J1779">
        <v>2018</v>
      </c>
      <c r="K1779">
        <v>11</v>
      </c>
      <c r="L1779">
        <v>276</v>
      </c>
      <c r="M1779" t="s">
        <v>18</v>
      </c>
      <c r="N1779">
        <f t="shared" si="81"/>
        <v>50.73</v>
      </c>
      <c r="O1779" t="str">
        <f t="shared" si="82"/>
        <v>November</v>
      </c>
      <c r="P1779" t="str">
        <f t="shared" si="83"/>
        <v>Weekday</v>
      </c>
    </row>
    <row r="1780" spans="1:16" x14ac:dyDescent="0.3">
      <c r="A1780" s="1">
        <v>43419</v>
      </c>
      <c r="B1780">
        <v>2</v>
      </c>
      <c r="C1780">
        <v>4.0830000000000002</v>
      </c>
      <c r="D1780">
        <v>2</v>
      </c>
      <c r="E1780">
        <v>49.6</v>
      </c>
      <c r="F1780">
        <v>3</v>
      </c>
      <c r="G1780">
        <v>2</v>
      </c>
      <c r="H1780">
        <v>29</v>
      </c>
      <c r="I1780">
        <v>0</v>
      </c>
      <c r="J1780">
        <v>2018</v>
      </c>
      <c r="K1780">
        <v>11</v>
      </c>
      <c r="L1780">
        <v>276</v>
      </c>
      <c r="M1780" t="s">
        <v>12</v>
      </c>
      <c r="N1780">
        <f t="shared" si="81"/>
        <v>91.682999999999993</v>
      </c>
      <c r="O1780" t="str">
        <f t="shared" si="82"/>
        <v>November</v>
      </c>
      <c r="P1780" t="str">
        <f t="shared" si="83"/>
        <v>Weekday</v>
      </c>
    </row>
    <row r="1781" spans="1:16" x14ac:dyDescent="0.3">
      <c r="A1781" s="1">
        <v>43420</v>
      </c>
      <c r="B1781">
        <v>8.33</v>
      </c>
      <c r="C1781">
        <v>2.66</v>
      </c>
      <c r="D1781">
        <v>4</v>
      </c>
      <c r="E1781">
        <v>21.5</v>
      </c>
      <c r="F1781">
        <v>6</v>
      </c>
      <c r="G1781">
        <v>0</v>
      </c>
      <c r="H1781">
        <v>6</v>
      </c>
      <c r="I1781">
        <v>0.4</v>
      </c>
      <c r="J1781">
        <v>2018</v>
      </c>
      <c r="K1781">
        <v>11</v>
      </c>
      <c r="L1781">
        <v>276</v>
      </c>
      <c r="M1781" t="s">
        <v>13</v>
      </c>
      <c r="N1781">
        <f t="shared" si="81"/>
        <v>48.89</v>
      </c>
      <c r="O1781" t="str">
        <f t="shared" si="82"/>
        <v>November</v>
      </c>
      <c r="P1781" t="str">
        <f t="shared" si="83"/>
        <v>Weekday</v>
      </c>
    </row>
    <row r="1782" spans="1:16" x14ac:dyDescent="0.3">
      <c r="A1782" s="1">
        <v>43421</v>
      </c>
      <c r="B1782">
        <v>8</v>
      </c>
      <c r="C1782">
        <v>2.34</v>
      </c>
      <c r="D1782">
        <v>1</v>
      </c>
      <c r="E1782">
        <v>39</v>
      </c>
      <c r="F1782">
        <v>5</v>
      </c>
      <c r="G1782">
        <v>0</v>
      </c>
      <c r="H1782">
        <v>13</v>
      </c>
      <c r="I1782">
        <v>2</v>
      </c>
      <c r="J1782">
        <v>2018</v>
      </c>
      <c r="K1782">
        <v>11</v>
      </c>
      <c r="L1782">
        <v>276</v>
      </c>
      <c r="M1782" t="s">
        <v>14</v>
      </c>
      <c r="N1782">
        <f t="shared" si="81"/>
        <v>70.34</v>
      </c>
      <c r="O1782" t="str">
        <f t="shared" si="82"/>
        <v>November</v>
      </c>
      <c r="P1782" t="str">
        <f t="shared" si="83"/>
        <v>Weekend</v>
      </c>
    </row>
    <row r="1783" spans="1:16" x14ac:dyDescent="0.3">
      <c r="A1783" s="1">
        <v>43422</v>
      </c>
      <c r="B1783">
        <v>4.68</v>
      </c>
      <c r="C1783">
        <v>4.68</v>
      </c>
      <c r="D1783">
        <v>5</v>
      </c>
      <c r="E1783">
        <v>32.9</v>
      </c>
      <c r="F1783">
        <v>7</v>
      </c>
      <c r="G1783">
        <v>1</v>
      </c>
      <c r="H1783">
        <v>10</v>
      </c>
      <c r="I1783">
        <v>1</v>
      </c>
      <c r="J1783">
        <v>2018</v>
      </c>
      <c r="K1783">
        <v>11</v>
      </c>
      <c r="L1783">
        <v>276</v>
      </c>
      <c r="M1783" t="s">
        <v>15</v>
      </c>
      <c r="N1783">
        <f t="shared" si="81"/>
        <v>66.259999999999991</v>
      </c>
      <c r="O1783" t="str">
        <f t="shared" si="82"/>
        <v>November</v>
      </c>
      <c r="P1783" t="str">
        <f t="shared" si="83"/>
        <v>Weekend</v>
      </c>
    </row>
    <row r="1784" spans="1:16" x14ac:dyDescent="0.3">
      <c r="A1784" s="1">
        <v>43423</v>
      </c>
      <c r="B1784">
        <v>6.01</v>
      </c>
      <c r="C1784">
        <v>2.44</v>
      </c>
      <c r="D1784">
        <v>2</v>
      </c>
      <c r="E1784">
        <v>47.2</v>
      </c>
      <c r="F1784">
        <v>6</v>
      </c>
      <c r="G1784">
        <v>3</v>
      </c>
      <c r="H1784">
        <v>3</v>
      </c>
      <c r="I1784">
        <v>0</v>
      </c>
      <c r="J1784">
        <v>2018</v>
      </c>
      <c r="K1784">
        <v>11</v>
      </c>
      <c r="L1784">
        <v>276</v>
      </c>
      <c r="M1784" t="s">
        <v>16</v>
      </c>
      <c r="N1784">
        <f t="shared" si="81"/>
        <v>69.650000000000006</v>
      </c>
      <c r="O1784" t="str">
        <f t="shared" si="82"/>
        <v>November</v>
      </c>
      <c r="P1784" t="str">
        <f t="shared" si="83"/>
        <v>Weekday</v>
      </c>
    </row>
    <row r="1785" spans="1:16" x14ac:dyDescent="0.3">
      <c r="A1785" s="1">
        <v>43424</v>
      </c>
      <c r="B1785">
        <v>5.33</v>
      </c>
      <c r="C1785">
        <v>3.8029999999999999</v>
      </c>
      <c r="D1785">
        <v>4</v>
      </c>
      <c r="E1785">
        <v>31.5</v>
      </c>
      <c r="F1785">
        <v>4</v>
      </c>
      <c r="G1785">
        <v>1</v>
      </c>
      <c r="H1785">
        <v>10</v>
      </c>
      <c r="I1785">
        <v>3</v>
      </c>
      <c r="J1785">
        <v>2018</v>
      </c>
      <c r="K1785">
        <v>11</v>
      </c>
      <c r="L1785">
        <v>276</v>
      </c>
      <c r="M1785" t="s">
        <v>17</v>
      </c>
      <c r="N1785">
        <f t="shared" si="81"/>
        <v>62.632999999999996</v>
      </c>
      <c r="O1785" t="str">
        <f t="shared" si="82"/>
        <v>November</v>
      </c>
      <c r="P1785" t="str">
        <f t="shared" si="83"/>
        <v>Weekday</v>
      </c>
    </row>
    <row r="1786" spans="1:16" x14ac:dyDescent="0.3">
      <c r="A1786" s="1">
        <v>43425</v>
      </c>
      <c r="B1786">
        <v>7</v>
      </c>
      <c r="C1786">
        <v>2.34</v>
      </c>
      <c r="D1786">
        <v>3.25</v>
      </c>
      <c r="E1786">
        <v>22</v>
      </c>
      <c r="F1786">
        <v>5</v>
      </c>
      <c r="G1786">
        <v>0</v>
      </c>
      <c r="H1786">
        <v>5</v>
      </c>
      <c r="I1786">
        <v>1</v>
      </c>
      <c r="J1786">
        <v>2018</v>
      </c>
      <c r="K1786">
        <v>11</v>
      </c>
      <c r="L1786">
        <v>276</v>
      </c>
      <c r="M1786" t="s">
        <v>18</v>
      </c>
      <c r="N1786">
        <f t="shared" si="81"/>
        <v>45.59</v>
      </c>
      <c r="O1786" t="str">
        <f t="shared" si="82"/>
        <v>November</v>
      </c>
      <c r="P1786" t="str">
        <f t="shared" si="83"/>
        <v>Weekday</v>
      </c>
    </row>
    <row r="1787" spans="1:16" x14ac:dyDescent="0.3">
      <c r="A1787" s="1">
        <v>43426</v>
      </c>
      <c r="B1787">
        <v>8</v>
      </c>
      <c r="C1787">
        <v>7.0659999999999998</v>
      </c>
      <c r="D1787">
        <v>3</v>
      </c>
      <c r="E1787">
        <v>22.4</v>
      </c>
      <c r="F1787">
        <v>9</v>
      </c>
      <c r="G1787">
        <v>0</v>
      </c>
      <c r="H1787">
        <v>15</v>
      </c>
      <c r="I1787">
        <v>2</v>
      </c>
      <c r="J1787">
        <v>2018</v>
      </c>
      <c r="K1787">
        <v>11</v>
      </c>
      <c r="L1787">
        <v>276</v>
      </c>
      <c r="M1787" t="s">
        <v>12</v>
      </c>
      <c r="N1787">
        <f t="shared" si="81"/>
        <v>66.465999999999994</v>
      </c>
      <c r="O1787" t="str">
        <f t="shared" si="82"/>
        <v>November</v>
      </c>
      <c r="P1787" t="str">
        <f t="shared" si="83"/>
        <v>Weekday</v>
      </c>
    </row>
    <row r="1788" spans="1:16" x14ac:dyDescent="0.3">
      <c r="A1788" s="1">
        <v>43427</v>
      </c>
      <c r="B1788">
        <v>6</v>
      </c>
      <c r="C1788">
        <v>4.4720000000000004</v>
      </c>
      <c r="D1788">
        <v>3</v>
      </c>
      <c r="E1788">
        <v>29.6</v>
      </c>
      <c r="F1788">
        <v>13</v>
      </c>
      <c r="G1788">
        <v>1</v>
      </c>
      <c r="H1788">
        <v>24</v>
      </c>
      <c r="I1788">
        <v>3</v>
      </c>
      <c r="J1788">
        <v>2018</v>
      </c>
      <c r="K1788">
        <v>11</v>
      </c>
      <c r="L1788">
        <v>276</v>
      </c>
      <c r="M1788" t="s">
        <v>13</v>
      </c>
      <c r="N1788">
        <f t="shared" si="81"/>
        <v>84.072000000000003</v>
      </c>
      <c r="O1788" t="str">
        <f t="shared" si="82"/>
        <v>November</v>
      </c>
      <c r="P1788" t="str">
        <f t="shared" si="83"/>
        <v>Weekday</v>
      </c>
    </row>
    <row r="1789" spans="1:16" x14ac:dyDescent="0.3">
      <c r="A1789" s="1">
        <v>43428</v>
      </c>
      <c r="B1789">
        <v>5.66</v>
      </c>
      <c r="C1789">
        <v>5.78</v>
      </c>
      <c r="D1789">
        <v>5</v>
      </c>
      <c r="E1789">
        <v>29.2</v>
      </c>
      <c r="F1789">
        <v>11</v>
      </c>
      <c r="G1789">
        <v>0</v>
      </c>
      <c r="H1789">
        <v>7</v>
      </c>
      <c r="I1789">
        <v>0.3</v>
      </c>
      <c r="J1789">
        <v>2018</v>
      </c>
      <c r="K1789">
        <v>11</v>
      </c>
      <c r="L1789">
        <v>276</v>
      </c>
      <c r="M1789" t="s">
        <v>14</v>
      </c>
      <c r="N1789">
        <f t="shared" si="81"/>
        <v>63.94</v>
      </c>
      <c r="O1789" t="str">
        <f t="shared" si="82"/>
        <v>November</v>
      </c>
      <c r="P1789" t="str">
        <f t="shared" si="83"/>
        <v>Weekend</v>
      </c>
    </row>
    <row r="1790" spans="1:16" x14ac:dyDescent="0.3">
      <c r="A1790" s="1">
        <v>43429</v>
      </c>
      <c r="B1790">
        <v>5.33</v>
      </c>
      <c r="C1790">
        <v>3.593</v>
      </c>
      <c r="D1790">
        <v>3.15</v>
      </c>
      <c r="E1790">
        <v>19.100000000000001</v>
      </c>
      <c r="F1790">
        <v>6</v>
      </c>
      <c r="G1790">
        <v>1</v>
      </c>
      <c r="H1790">
        <v>3</v>
      </c>
      <c r="I1790">
        <v>2</v>
      </c>
      <c r="J1790">
        <v>2018</v>
      </c>
      <c r="K1790">
        <v>11</v>
      </c>
      <c r="L1790">
        <v>276</v>
      </c>
      <c r="M1790" t="s">
        <v>15</v>
      </c>
      <c r="N1790">
        <f t="shared" si="81"/>
        <v>43.173000000000002</v>
      </c>
      <c r="O1790" t="str">
        <f t="shared" si="82"/>
        <v>November</v>
      </c>
      <c r="P1790" t="str">
        <f t="shared" si="83"/>
        <v>Weekend</v>
      </c>
    </row>
    <row r="1791" spans="1:16" x14ac:dyDescent="0.3">
      <c r="A1791" s="1">
        <v>43430</v>
      </c>
      <c r="B1791">
        <v>5.33</v>
      </c>
      <c r="C1791">
        <v>2.34</v>
      </c>
      <c r="D1791">
        <v>2</v>
      </c>
      <c r="E1791">
        <v>36.299999999999997</v>
      </c>
      <c r="F1791">
        <v>15</v>
      </c>
      <c r="G1791">
        <v>1</v>
      </c>
      <c r="H1791">
        <v>16</v>
      </c>
      <c r="I1791">
        <v>3</v>
      </c>
      <c r="J1791">
        <v>2018</v>
      </c>
      <c r="K1791">
        <v>11</v>
      </c>
      <c r="L1791">
        <v>276</v>
      </c>
      <c r="M1791" t="s">
        <v>16</v>
      </c>
      <c r="N1791">
        <f t="shared" si="81"/>
        <v>80.97</v>
      </c>
      <c r="O1791" t="str">
        <f t="shared" si="82"/>
        <v>November</v>
      </c>
      <c r="P1791" t="str">
        <f t="shared" si="83"/>
        <v>Weekday</v>
      </c>
    </row>
    <row r="1792" spans="1:16" x14ac:dyDescent="0.3">
      <c r="A1792" s="1">
        <v>43431</v>
      </c>
      <c r="B1792">
        <v>8</v>
      </c>
      <c r="C1792">
        <v>4.67</v>
      </c>
      <c r="D1792">
        <v>2</v>
      </c>
      <c r="E1792">
        <v>41.5</v>
      </c>
      <c r="F1792">
        <v>2</v>
      </c>
      <c r="G1792">
        <v>0</v>
      </c>
      <c r="H1792">
        <v>5</v>
      </c>
      <c r="I1792">
        <v>2</v>
      </c>
      <c r="J1792">
        <v>2018</v>
      </c>
      <c r="K1792">
        <v>11</v>
      </c>
      <c r="L1792">
        <v>276</v>
      </c>
      <c r="M1792" t="s">
        <v>17</v>
      </c>
      <c r="N1792">
        <f t="shared" si="81"/>
        <v>65.17</v>
      </c>
      <c r="O1792" t="str">
        <f t="shared" si="82"/>
        <v>November</v>
      </c>
      <c r="P1792" t="str">
        <f t="shared" si="83"/>
        <v>Weekday</v>
      </c>
    </row>
    <row r="1793" spans="1:16" x14ac:dyDescent="0.3">
      <c r="A1793" s="1">
        <v>43432</v>
      </c>
      <c r="B1793">
        <v>3</v>
      </c>
      <c r="C1793">
        <v>5.67</v>
      </c>
      <c r="D1793">
        <v>1</v>
      </c>
      <c r="E1793">
        <v>24.4</v>
      </c>
      <c r="F1793">
        <v>15</v>
      </c>
      <c r="G1793">
        <v>2</v>
      </c>
      <c r="H1793">
        <v>8</v>
      </c>
      <c r="I1793">
        <v>4</v>
      </c>
      <c r="J1793">
        <v>2018</v>
      </c>
      <c r="K1793">
        <v>11</v>
      </c>
      <c r="L1793">
        <v>276</v>
      </c>
      <c r="M1793" t="s">
        <v>18</v>
      </c>
      <c r="N1793">
        <f t="shared" si="81"/>
        <v>63.07</v>
      </c>
      <c r="O1793" t="str">
        <f t="shared" si="82"/>
        <v>November</v>
      </c>
      <c r="P1793" t="str">
        <f t="shared" si="83"/>
        <v>Weekday</v>
      </c>
    </row>
    <row r="1794" spans="1:16" x14ac:dyDescent="0.3">
      <c r="A1794" s="1">
        <v>43433</v>
      </c>
      <c r="B1794">
        <v>4.33</v>
      </c>
      <c r="C1794">
        <v>4.32</v>
      </c>
      <c r="D1794">
        <v>1</v>
      </c>
      <c r="E1794">
        <v>22.6</v>
      </c>
      <c r="F1794">
        <v>7</v>
      </c>
      <c r="G1794">
        <v>0</v>
      </c>
      <c r="H1794">
        <v>1</v>
      </c>
      <c r="I1794">
        <v>3</v>
      </c>
      <c r="J1794">
        <v>2018</v>
      </c>
      <c r="K1794">
        <v>11</v>
      </c>
      <c r="L1794">
        <v>276</v>
      </c>
      <c r="M1794" t="s">
        <v>12</v>
      </c>
      <c r="N1794">
        <f t="shared" si="81"/>
        <v>43.25</v>
      </c>
      <c r="O1794" t="str">
        <f t="shared" si="82"/>
        <v>November</v>
      </c>
      <c r="P1794" t="str">
        <f t="shared" si="83"/>
        <v>Weekday</v>
      </c>
    </row>
    <row r="1795" spans="1:16" x14ac:dyDescent="0.3">
      <c r="A1795" s="1">
        <v>43434</v>
      </c>
      <c r="B1795">
        <v>1</v>
      </c>
      <c r="C1795">
        <v>3.01</v>
      </c>
      <c r="D1795">
        <v>1</v>
      </c>
      <c r="E1795">
        <v>22.4</v>
      </c>
      <c r="F1795">
        <v>3</v>
      </c>
      <c r="G1795">
        <v>0</v>
      </c>
      <c r="H1795">
        <v>0</v>
      </c>
      <c r="I1795">
        <v>2.5</v>
      </c>
      <c r="J1795">
        <v>2018</v>
      </c>
      <c r="K1795">
        <v>11</v>
      </c>
      <c r="L1795">
        <v>276</v>
      </c>
      <c r="M1795" t="s">
        <v>13</v>
      </c>
      <c r="N1795">
        <f t="shared" ref="N1795:N1858" si="84">SUM(B1795:I1795)</f>
        <v>32.909999999999997</v>
      </c>
      <c r="O1795" t="str">
        <f t="shared" ref="O1795:O1858" si="85">TEXT(A1795,"mmmm")</f>
        <v>November</v>
      </c>
      <c r="P1795" t="str">
        <f t="shared" ref="P1795:P1858" si="86">IF(OR(M1795="Saturday",M1795="Sunday"),"Weekend","Weekday")</f>
        <v>Weekday</v>
      </c>
    </row>
    <row r="1796" spans="1:16" x14ac:dyDescent="0.3">
      <c r="A1796" s="1">
        <v>43435</v>
      </c>
      <c r="B1796">
        <v>7</v>
      </c>
      <c r="C1796">
        <v>8.7789999999999999</v>
      </c>
      <c r="D1796">
        <v>2.0499999999999998</v>
      </c>
      <c r="E1796">
        <v>41</v>
      </c>
      <c r="F1796">
        <v>7</v>
      </c>
      <c r="G1796">
        <v>3</v>
      </c>
      <c r="H1796">
        <v>13</v>
      </c>
      <c r="I1796">
        <v>2</v>
      </c>
      <c r="J1796">
        <v>2018</v>
      </c>
      <c r="K1796">
        <v>12</v>
      </c>
      <c r="L1796">
        <v>276</v>
      </c>
      <c r="M1796" t="s">
        <v>14</v>
      </c>
      <c r="N1796">
        <f t="shared" si="84"/>
        <v>83.829000000000008</v>
      </c>
      <c r="O1796" t="str">
        <f t="shared" si="85"/>
        <v>December</v>
      </c>
      <c r="P1796" t="str">
        <f t="shared" si="86"/>
        <v>Weekend</v>
      </c>
    </row>
    <row r="1797" spans="1:16" x14ac:dyDescent="0.3">
      <c r="A1797" s="1">
        <v>43436</v>
      </c>
      <c r="B1797">
        <v>3.17</v>
      </c>
      <c r="C1797">
        <v>5.7789999999999999</v>
      </c>
      <c r="D1797">
        <v>10</v>
      </c>
      <c r="E1797">
        <v>65.7</v>
      </c>
      <c r="F1797">
        <v>6</v>
      </c>
      <c r="G1797">
        <v>0</v>
      </c>
      <c r="H1797">
        <v>27</v>
      </c>
      <c r="I1797">
        <v>8</v>
      </c>
      <c r="J1797">
        <v>2018</v>
      </c>
      <c r="K1797">
        <v>12</v>
      </c>
      <c r="L1797">
        <v>276</v>
      </c>
      <c r="M1797" t="s">
        <v>15</v>
      </c>
      <c r="N1797">
        <f t="shared" si="84"/>
        <v>125.649</v>
      </c>
      <c r="O1797" t="str">
        <f t="shared" si="85"/>
        <v>December</v>
      </c>
      <c r="P1797" t="str">
        <f t="shared" si="86"/>
        <v>Weekend</v>
      </c>
    </row>
    <row r="1798" spans="1:16" x14ac:dyDescent="0.3">
      <c r="A1798" s="1">
        <v>43437</v>
      </c>
      <c r="B1798">
        <v>6</v>
      </c>
      <c r="C1798">
        <v>5.0830000000000002</v>
      </c>
      <c r="D1798">
        <v>2.1</v>
      </c>
      <c r="E1798">
        <v>44</v>
      </c>
      <c r="F1798">
        <v>13</v>
      </c>
      <c r="G1798">
        <v>0</v>
      </c>
      <c r="H1798">
        <v>13</v>
      </c>
      <c r="I1798">
        <v>1</v>
      </c>
      <c r="J1798">
        <v>2018</v>
      </c>
      <c r="K1798">
        <v>12</v>
      </c>
      <c r="L1798">
        <v>276</v>
      </c>
      <c r="M1798" t="s">
        <v>16</v>
      </c>
      <c r="N1798">
        <f t="shared" si="84"/>
        <v>84.182999999999993</v>
      </c>
      <c r="O1798" t="str">
        <f t="shared" si="85"/>
        <v>December</v>
      </c>
      <c r="P1798" t="str">
        <f t="shared" si="86"/>
        <v>Weekday</v>
      </c>
    </row>
    <row r="1799" spans="1:16" x14ac:dyDescent="0.3">
      <c r="A1799" s="1">
        <v>43438</v>
      </c>
      <c r="B1799">
        <v>2.5</v>
      </c>
      <c r="C1799">
        <v>3</v>
      </c>
      <c r="D1799">
        <v>3</v>
      </c>
      <c r="E1799">
        <v>32.200000000000003</v>
      </c>
      <c r="F1799">
        <v>11</v>
      </c>
      <c r="G1799">
        <v>0</v>
      </c>
      <c r="H1799">
        <v>5</v>
      </c>
      <c r="I1799">
        <v>3</v>
      </c>
      <c r="J1799">
        <v>2018</v>
      </c>
      <c r="K1799">
        <v>12</v>
      </c>
      <c r="L1799">
        <v>276</v>
      </c>
      <c r="M1799" t="s">
        <v>17</v>
      </c>
      <c r="N1799">
        <f t="shared" si="84"/>
        <v>59.7</v>
      </c>
      <c r="O1799" t="str">
        <f t="shared" si="85"/>
        <v>December</v>
      </c>
      <c r="P1799" t="str">
        <f t="shared" si="86"/>
        <v>Weekday</v>
      </c>
    </row>
    <row r="1800" spans="1:16" x14ac:dyDescent="0.3">
      <c r="A1800" s="1">
        <v>43439</v>
      </c>
      <c r="B1800">
        <v>5.33</v>
      </c>
      <c r="C1800">
        <v>3.726</v>
      </c>
      <c r="D1800">
        <v>3.5</v>
      </c>
      <c r="E1800">
        <v>41.3</v>
      </c>
      <c r="F1800">
        <v>13</v>
      </c>
      <c r="G1800">
        <v>0</v>
      </c>
      <c r="H1800">
        <v>15</v>
      </c>
      <c r="I1800">
        <v>2</v>
      </c>
      <c r="J1800">
        <v>2018</v>
      </c>
      <c r="K1800">
        <v>12</v>
      </c>
      <c r="L1800">
        <v>276</v>
      </c>
      <c r="M1800" t="s">
        <v>18</v>
      </c>
      <c r="N1800">
        <f t="shared" si="84"/>
        <v>83.855999999999995</v>
      </c>
      <c r="O1800" t="str">
        <f t="shared" si="85"/>
        <v>December</v>
      </c>
      <c r="P1800" t="str">
        <f t="shared" si="86"/>
        <v>Weekday</v>
      </c>
    </row>
    <row r="1801" spans="1:16" x14ac:dyDescent="0.3">
      <c r="A1801" s="1">
        <v>43440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2018</v>
      </c>
      <c r="K1801">
        <v>12</v>
      </c>
      <c r="L1801">
        <v>276</v>
      </c>
      <c r="M1801" t="s">
        <v>12</v>
      </c>
      <c r="N1801">
        <f t="shared" si="84"/>
        <v>0</v>
      </c>
      <c r="O1801" t="str">
        <f t="shared" si="85"/>
        <v>December</v>
      </c>
      <c r="P1801" t="str">
        <f t="shared" si="86"/>
        <v>Weekday</v>
      </c>
    </row>
    <row r="1802" spans="1:16" x14ac:dyDescent="0.3">
      <c r="A1802" s="1">
        <v>43441</v>
      </c>
      <c r="B1802">
        <v>5</v>
      </c>
      <c r="C1802">
        <v>3.01</v>
      </c>
      <c r="D1802">
        <v>3</v>
      </c>
      <c r="E1802">
        <v>47.4</v>
      </c>
      <c r="F1802">
        <v>14</v>
      </c>
      <c r="G1802">
        <v>0</v>
      </c>
      <c r="H1802">
        <v>12</v>
      </c>
      <c r="I1802">
        <v>3</v>
      </c>
      <c r="J1802">
        <v>2018</v>
      </c>
      <c r="K1802">
        <v>12</v>
      </c>
      <c r="L1802">
        <v>276</v>
      </c>
      <c r="M1802" t="s">
        <v>13</v>
      </c>
      <c r="N1802">
        <f t="shared" si="84"/>
        <v>87.41</v>
      </c>
      <c r="O1802" t="str">
        <f t="shared" si="85"/>
        <v>December</v>
      </c>
      <c r="P1802" t="str">
        <f t="shared" si="86"/>
        <v>Weekday</v>
      </c>
    </row>
    <row r="1803" spans="1:16" x14ac:dyDescent="0.3">
      <c r="A1803" s="1">
        <v>43442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2018</v>
      </c>
      <c r="K1803">
        <v>12</v>
      </c>
      <c r="L1803">
        <v>276</v>
      </c>
      <c r="M1803" t="s">
        <v>14</v>
      </c>
      <c r="N1803">
        <f t="shared" si="84"/>
        <v>0</v>
      </c>
      <c r="O1803" t="str">
        <f t="shared" si="85"/>
        <v>December</v>
      </c>
      <c r="P1803" t="str">
        <f t="shared" si="86"/>
        <v>Weekend</v>
      </c>
    </row>
    <row r="1804" spans="1:16" x14ac:dyDescent="0.3">
      <c r="A1804" s="1">
        <v>43443</v>
      </c>
      <c r="B1804">
        <v>4.66</v>
      </c>
      <c r="C1804">
        <v>6.69</v>
      </c>
      <c r="D1804">
        <v>4.0999999999999996</v>
      </c>
      <c r="E1804">
        <v>57.7</v>
      </c>
      <c r="F1804">
        <v>9</v>
      </c>
      <c r="G1804">
        <v>0</v>
      </c>
      <c r="H1804">
        <v>11</v>
      </c>
      <c r="I1804">
        <v>0</v>
      </c>
      <c r="J1804">
        <v>2018</v>
      </c>
      <c r="K1804">
        <v>12</v>
      </c>
      <c r="L1804">
        <v>276</v>
      </c>
      <c r="M1804" t="s">
        <v>15</v>
      </c>
      <c r="N1804">
        <f t="shared" si="84"/>
        <v>93.15</v>
      </c>
      <c r="O1804" t="str">
        <f t="shared" si="85"/>
        <v>December</v>
      </c>
      <c r="P1804" t="str">
        <f t="shared" si="86"/>
        <v>Weekend</v>
      </c>
    </row>
    <row r="1805" spans="1:16" x14ac:dyDescent="0.3">
      <c r="A1805" s="1">
        <v>43444</v>
      </c>
      <c r="B1805">
        <v>4</v>
      </c>
      <c r="C1805">
        <v>5</v>
      </c>
      <c r="D1805">
        <v>1.5</v>
      </c>
      <c r="E1805">
        <v>23.8</v>
      </c>
      <c r="F1805">
        <v>12</v>
      </c>
      <c r="G1805">
        <v>1</v>
      </c>
      <c r="H1805">
        <v>7</v>
      </c>
      <c r="I1805">
        <v>1</v>
      </c>
      <c r="J1805">
        <v>2018</v>
      </c>
      <c r="K1805">
        <v>12</v>
      </c>
      <c r="L1805">
        <v>276</v>
      </c>
      <c r="M1805" t="s">
        <v>16</v>
      </c>
      <c r="N1805">
        <f t="shared" si="84"/>
        <v>55.3</v>
      </c>
      <c r="O1805" t="str">
        <f t="shared" si="85"/>
        <v>December</v>
      </c>
      <c r="P1805" t="str">
        <f t="shared" si="86"/>
        <v>Weekday</v>
      </c>
    </row>
    <row r="1806" spans="1:16" x14ac:dyDescent="0.3">
      <c r="A1806" s="1">
        <v>43445</v>
      </c>
      <c r="B1806">
        <v>4</v>
      </c>
      <c r="C1806">
        <v>4.01</v>
      </c>
      <c r="D1806">
        <v>8.35</v>
      </c>
      <c r="E1806">
        <v>28</v>
      </c>
      <c r="F1806">
        <v>12</v>
      </c>
      <c r="G1806">
        <v>3</v>
      </c>
      <c r="H1806">
        <v>2</v>
      </c>
      <c r="I1806">
        <v>5.5</v>
      </c>
      <c r="J1806">
        <v>2018</v>
      </c>
      <c r="K1806">
        <v>12</v>
      </c>
      <c r="L1806">
        <v>276</v>
      </c>
      <c r="M1806" t="s">
        <v>17</v>
      </c>
      <c r="N1806">
        <f t="shared" si="84"/>
        <v>66.86</v>
      </c>
      <c r="O1806" t="str">
        <f t="shared" si="85"/>
        <v>December</v>
      </c>
      <c r="P1806" t="str">
        <f t="shared" si="86"/>
        <v>Weekday</v>
      </c>
    </row>
    <row r="1807" spans="1:16" x14ac:dyDescent="0.3">
      <c r="A1807" s="1">
        <v>43446</v>
      </c>
      <c r="B1807">
        <v>4.33</v>
      </c>
      <c r="C1807">
        <v>2</v>
      </c>
      <c r="D1807">
        <v>3</v>
      </c>
      <c r="E1807">
        <v>37.6</v>
      </c>
      <c r="F1807">
        <v>11</v>
      </c>
      <c r="G1807">
        <v>0</v>
      </c>
      <c r="H1807">
        <v>21</v>
      </c>
      <c r="I1807">
        <v>0</v>
      </c>
      <c r="J1807">
        <v>2018</v>
      </c>
      <c r="K1807">
        <v>12</v>
      </c>
      <c r="L1807">
        <v>276</v>
      </c>
      <c r="M1807" t="s">
        <v>18</v>
      </c>
      <c r="N1807">
        <f t="shared" si="84"/>
        <v>78.930000000000007</v>
      </c>
      <c r="O1807" t="str">
        <f t="shared" si="85"/>
        <v>December</v>
      </c>
      <c r="P1807" t="str">
        <f t="shared" si="86"/>
        <v>Weekday</v>
      </c>
    </row>
    <row r="1808" spans="1:16" x14ac:dyDescent="0.3">
      <c r="A1808" s="1">
        <v>43447</v>
      </c>
      <c r="B1808">
        <v>3.68</v>
      </c>
      <c r="C1808">
        <v>2.2429999999999999</v>
      </c>
      <c r="D1808">
        <v>3</v>
      </c>
      <c r="E1808">
        <v>47.5</v>
      </c>
      <c r="F1808">
        <v>6</v>
      </c>
      <c r="G1808">
        <v>0</v>
      </c>
      <c r="H1808">
        <v>6</v>
      </c>
      <c r="I1808">
        <v>0</v>
      </c>
      <c r="J1808">
        <v>2018</v>
      </c>
      <c r="K1808">
        <v>12</v>
      </c>
      <c r="L1808">
        <v>276</v>
      </c>
      <c r="M1808" t="s">
        <v>12</v>
      </c>
      <c r="N1808">
        <f t="shared" si="84"/>
        <v>68.423000000000002</v>
      </c>
      <c r="O1808" t="str">
        <f t="shared" si="85"/>
        <v>December</v>
      </c>
      <c r="P1808" t="str">
        <f t="shared" si="86"/>
        <v>Weekday</v>
      </c>
    </row>
    <row r="1809" spans="1:16" x14ac:dyDescent="0.3">
      <c r="A1809" s="1">
        <v>43448</v>
      </c>
      <c r="B1809">
        <v>2</v>
      </c>
      <c r="C1809">
        <v>2</v>
      </c>
      <c r="D1809">
        <v>0.2</v>
      </c>
      <c r="E1809">
        <v>23.4</v>
      </c>
      <c r="F1809">
        <v>2</v>
      </c>
      <c r="G1809">
        <v>1</v>
      </c>
      <c r="H1809">
        <v>29</v>
      </c>
      <c r="I1809">
        <v>1</v>
      </c>
      <c r="J1809">
        <v>2018</v>
      </c>
      <c r="K1809">
        <v>12</v>
      </c>
      <c r="L1809">
        <v>276</v>
      </c>
      <c r="M1809" t="s">
        <v>13</v>
      </c>
      <c r="N1809">
        <f t="shared" si="84"/>
        <v>60.599999999999994</v>
      </c>
      <c r="O1809" t="str">
        <f t="shared" si="85"/>
        <v>December</v>
      </c>
      <c r="P1809" t="str">
        <f t="shared" si="86"/>
        <v>Weekday</v>
      </c>
    </row>
    <row r="1810" spans="1:16" x14ac:dyDescent="0.3">
      <c r="A1810" s="1">
        <v>43449</v>
      </c>
      <c r="B1810">
        <v>4</v>
      </c>
      <c r="C1810">
        <v>2.34</v>
      </c>
      <c r="D1810">
        <v>3.45</v>
      </c>
      <c r="E1810">
        <v>62.4</v>
      </c>
      <c r="F1810">
        <v>5</v>
      </c>
      <c r="G1810">
        <v>0</v>
      </c>
      <c r="H1810">
        <v>26</v>
      </c>
      <c r="I1810">
        <v>2.2999999999999998</v>
      </c>
      <c r="J1810">
        <v>2018</v>
      </c>
      <c r="K1810">
        <v>12</v>
      </c>
      <c r="L1810">
        <v>276</v>
      </c>
      <c r="M1810" t="s">
        <v>14</v>
      </c>
      <c r="N1810">
        <f t="shared" si="84"/>
        <v>105.49</v>
      </c>
      <c r="O1810" t="str">
        <f t="shared" si="85"/>
        <v>December</v>
      </c>
      <c r="P1810" t="str">
        <f t="shared" si="86"/>
        <v>Weekend</v>
      </c>
    </row>
    <row r="1811" spans="1:16" x14ac:dyDescent="0.3">
      <c r="A1811" s="1">
        <v>43450</v>
      </c>
      <c r="B1811">
        <v>1.33</v>
      </c>
      <c r="C1811">
        <v>4.32</v>
      </c>
      <c r="D1811">
        <v>0.2</v>
      </c>
      <c r="E1811">
        <v>27</v>
      </c>
      <c r="F1811">
        <v>3</v>
      </c>
      <c r="G1811">
        <v>0</v>
      </c>
      <c r="H1811">
        <v>7</v>
      </c>
      <c r="I1811">
        <v>1</v>
      </c>
      <c r="J1811">
        <v>2018</v>
      </c>
      <c r="K1811">
        <v>12</v>
      </c>
      <c r="L1811">
        <v>276</v>
      </c>
      <c r="M1811" t="s">
        <v>15</v>
      </c>
      <c r="N1811">
        <f t="shared" si="84"/>
        <v>43.85</v>
      </c>
      <c r="O1811" t="str">
        <f t="shared" si="85"/>
        <v>December</v>
      </c>
      <c r="P1811" t="str">
        <f t="shared" si="86"/>
        <v>Weekend</v>
      </c>
    </row>
    <row r="1812" spans="1:16" x14ac:dyDescent="0.3">
      <c r="A1812" s="1">
        <v>43451</v>
      </c>
      <c r="B1812">
        <v>6.34</v>
      </c>
      <c r="C1812">
        <v>2.0099999999999998</v>
      </c>
      <c r="D1812">
        <v>5</v>
      </c>
      <c r="E1812">
        <v>53</v>
      </c>
      <c r="F1812">
        <v>6</v>
      </c>
      <c r="G1812">
        <v>1</v>
      </c>
      <c r="H1812">
        <v>22</v>
      </c>
      <c r="I1812">
        <v>2</v>
      </c>
      <c r="J1812">
        <v>2018</v>
      </c>
      <c r="K1812">
        <v>12</v>
      </c>
      <c r="L1812">
        <v>276</v>
      </c>
      <c r="M1812" t="s">
        <v>16</v>
      </c>
      <c r="N1812">
        <f t="shared" si="84"/>
        <v>97.35</v>
      </c>
      <c r="O1812" t="str">
        <f t="shared" si="85"/>
        <v>December</v>
      </c>
      <c r="P1812" t="str">
        <f t="shared" si="86"/>
        <v>Weekday</v>
      </c>
    </row>
    <row r="1813" spans="1:16" x14ac:dyDescent="0.3">
      <c r="A1813" s="1">
        <v>43452</v>
      </c>
      <c r="B1813">
        <v>0.33</v>
      </c>
      <c r="C1813">
        <v>2.4729999999999999</v>
      </c>
      <c r="D1813">
        <v>1</v>
      </c>
      <c r="E1813">
        <v>34.5</v>
      </c>
      <c r="F1813">
        <v>12</v>
      </c>
      <c r="G1813">
        <v>3</v>
      </c>
      <c r="H1813">
        <v>9</v>
      </c>
      <c r="I1813">
        <v>2</v>
      </c>
      <c r="J1813">
        <v>2018</v>
      </c>
      <c r="K1813">
        <v>12</v>
      </c>
      <c r="L1813">
        <v>276</v>
      </c>
      <c r="M1813" t="s">
        <v>17</v>
      </c>
      <c r="N1813">
        <f t="shared" si="84"/>
        <v>64.302999999999997</v>
      </c>
      <c r="O1813" t="str">
        <f t="shared" si="85"/>
        <v>December</v>
      </c>
      <c r="P1813" t="str">
        <f t="shared" si="86"/>
        <v>Weekday</v>
      </c>
    </row>
    <row r="1814" spans="1:16" x14ac:dyDescent="0.3">
      <c r="A1814" s="1">
        <v>43453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2018</v>
      </c>
      <c r="K1814">
        <v>12</v>
      </c>
      <c r="L1814">
        <v>276</v>
      </c>
      <c r="M1814" t="s">
        <v>18</v>
      </c>
      <c r="N1814">
        <f t="shared" si="84"/>
        <v>0</v>
      </c>
      <c r="O1814" t="str">
        <f t="shared" si="85"/>
        <v>December</v>
      </c>
      <c r="P1814" t="str">
        <f t="shared" si="86"/>
        <v>Weekday</v>
      </c>
    </row>
    <row r="1815" spans="1:16" x14ac:dyDescent="0.3">
      <c r="A1815" s="1">
        <v>43454</v>
      </c>
      <c r="B1815">
        <v>8.34</v>
      </c>
      <c r="C1815">
        <v>1.66</v>
      </c>
      <c r="D1815">
        <v>1</v>
      </c>
      <c r="E1815">
        <v>27</v>
      </c>
      <c r="F1815">
        <v>12</v>
      </c>
      <c r="G1815">
        <v>3</v>
      </c>
      <c r="H1815">
        <v>1</v>
      </c>
      <c r="I1815">
        <v>0</v>
      </c>
      <c r="J1815">
        <v>2018</v>
      </c>
      <c r="K1815">
        <v>12</v>
      </c>
      <c r="L1815">
        <v>276</v>
      </c>
      <c r="M1815" t="s">
        <v>12</v>
      </c>
      <c r="N1815">
        <f t="shared" si="84"/>
        <v>54</v>
      </c>
      <c r="O1815" t="str">
        <f t="shared" si="85"/>
        <v>December</v>
      </c>
      <c r="P1815" t="str">
        <f t="shared" si="86"/>
        <v>Weekday</v>
      </c>
    </row>
    <row r="1816" spans="1:16" x14ac:dyDescent="0.3">
      <c r="A1816" s="1">
        <v>43455</v>
      </c>
      <c r="B1816">
        <v>2</v>
      </c>
      <c r="C1816">
        <v>1.35</v>
      </c>
      <c r="D1816">
        <v>0</v>
      </c>
      <c r="E1816">
        <v>35</v>
      </c>
      <c r="F1816">
        <v>12</v>
      </c>
      <c r="G1816">
        <v>1</v>
      </c>
      <c r="H1816">
        <v>13</v>
      </c>
      <c r="I1816">
        <v>1</v>
      </c>
      <c r="J1816">
        <v>2018</v>
      </c>
      <c r="K1816">
        <v>12</v>
      </c>
      <c r="L1816">
        <v>276</v>
      </c>
      <c r="M1816" t="s">
        <v>13</v>
      </c>
      <c r="N1816">
        <f t="shared" si="84"/>
        <v>65.349999999999994</v>
      </c>
      <c r="O1816" t="str">
        <f t="shared" si="85"/>
        <v>December</v>
      </c>
      <c r="P1816" t="str">
        <f t="shared" si="86"/>
        <v>Weekday</v>
      </c>
    </row>
    <row r="1817" spans="1:16" x14ac:dyDescent="0.3">
      <c r="A1817" s="1">
        <v>43456</v>
      </c>
      <c r="B1817">
        <v>8.34</v>
      </c>
      <c r="C1817">
        <v>3.34</v>
      </c>
      <c r="D1817">
        <v>4.5</v>
      </c>
      <c r="E1817">
        <v>43.4</v>
      </c>
      <c r="F1817">
        <v>3</v>
      </c>
      <c r="G1817">
        <v>1</v>
      </c>
      <c r="H1817">
        <v>0</v>
      </c>
      <c r="I1817">
        <v>0</v>
      </c>
      <c r="J1817">
        <v>2018</v>
      </c>
      <c r="K1817">
        <v>12</v>
      </c>
      <c r="L1817">
        <v>276</v>
      </c>
      <c r="M1817" t="s">
        <v>14</v>
      </c>
      <c r="N1817">
        <f t="shared" si="84"/>
        <v>63.58</v>
      </c>
      <c r="O1817" t="str">
        <f t="shared" si="85"/>
        <v>December</v>
      </c>
      <c r="P1817" t="str">
        <f t="shared" si="86"/>
        <v>Weekend</v>
      </c>
    </row>
    <row r="1818" spans="1:16" x14ac:dyDescent="0.3">
      <c r="A1818" s="1">
        <v>43457</v>
      </c>
      <c r="B1818">
        <v>12.33</v>
      </c>
      <c r="C1818">
        <v>6.4059999999999997</v>
      </c>
      <c r="D1818">
        <v>2.2999999999999998</v>
      </c>
      <c r="E1818">
        <v>47.7</v>
      </c>
      <c r="F1818">
        <v>8</v>
      </c>
      <c r="G1818">
        <v>0</v>
      </c>
      <c r="H1818">
        <v>13</v>
      </c>
      <c r="I1818">
        <v>4</v>
      </c>
      <c r="J1818">
        <v>2018</v>
      </c>
      <c r="K1818">
        <v>12</v>
      </c>
      <c r="L1818">
        <v>276</v>
      </c>
      <c r="M1818" t="s">
        <v>15</v>
      </c>
      <c r="N1818">
        <f t="shared" si="84"/>
        <v>93.736000000000004</v>
      </c>
      <c r="O1818" t="str">
        <f t="shared" si="85"/>
        <v>December</v>
      </c>
      <c r="P1818" t="str">
        <f t="shared" si="86"/>
        <v>Weekend</v>
      </c>
    </row>
    <row r="1819" spans="1:16" x14ac:dyDescent="0.3">
      <c r="A1819" s="1">
        <v>43458</v>
      </c>
      <c r="B1819">
        <v>8.67</v>
      </c>
      <c r="C1819">
        <v>4.3499999999999996</v>
      </c>
      <c r="D1819">
        <v>1</v>
      </c>
      <c r="E1819">
        <v>32</v>
      </c>
      <c r="F1819">
        <v>20</v>
      </c>
      <c r="G1819">
        <v>0</v>
      </c>
      <c r="H1819">
        <v>8</v>
      </c>
      <c r="I1819">
        <v>1</v>
      </c>
      <c r="J1819">
        <v>2018</v>
      </c>
      <c r="K1819">
        <v>12</v>
      </c>
      <c r="L1819">
        <v>276</v>
      </c>
      <c r="M1819" t="s">
        <v>16</v>
      </c>
      <c r="N1819">
        <f t="shared" si="84"/>
        <v>75.02</v>
      </c>
      <c r="O1819" t="str">
        <f t="shared" si="85"/>
        <v>December</v>
      </c>
      <c r="P1819" t="str">
        <f t="shared" si="86"/>
        <v>Weekday</v>
      </c>
    </row>
    <row r="1820" spans="1:16" x14ac:dyDescent="0.3">
      <c r="A1820" s="1">
        <v>43459</v>
      </c>
      <c r="B1820">
        <v>8</v>
      </c>
      <c r="C1820">
        <v>6.0759999999999996</v>
      </c>
      <c r="D1820">
        <v>5.0999999999999996</v>
      </c>
      <c r="E1820">
        <v>42.6</v>
      </c>
      <c r="F1820">
        <v>9</v>
      </c>
      <c r="G1820">
        <v>3</v>
      </c>
      <c r="H1820">
        <v>21</v>
      </c>
      <c r="I1820">
        <v>2</v>
      </c>
      <c r="J1820">
        <v>2018</v>
      </c>
      <c r="K1820">
        <v>12</v>
      </c>
      <c r="L1820">
        <v>276</v>
      </c>
      <c r="M1820" t="s">
        <v>17</v>
      </c>
      <c r="N1820">
        <f t="shared" si="84"/>
        <v>96.77600000000001</v>
      </c>
      <c r="O1820" t="str">
        <f t="shared" si="85"/>
        <v>December</v>
      </c>
      <c r="P1820" t="str">
        <f t="shared" si="86"/>
        <v>Weekday</v>
      </c>
    </row>
    <row r="1821" spans="1:16" x14ac:dyDescent="0.3">
      <c r="A1821" s="1">
        <v>43460</v>
      </c>
      <c r="B1821">
        <v>1</v>
      </c>
      <c r="C1821">
        <v>0.66</v>
      </c>
      <c r="D1821">
        <v>2.15</v>
      </c>
      <c r="E1821">
        <v>50</v>
      </c>
      <c r="F1821">
        <v>8</v>
      </c>
      <c r="G1821">
        <v>1</v>
      </c>
      <c r="H1821">
        <v>13</v>
      </c>
      <c r="I1821">
        <v>2</v>
      </c>
      <c r="J1821">
        <v>2018</v>
      </c>
      <c r="K1821">
        <v>12</v>
      </c>
      <c r="L1821">
        <v>276</v>
      </c>
      <c r="M1821" t="s">
        <v>18</v>
      </c>
      <c r="N1821">
        <f t="shared" si="84"/>
        <v>77.81</v>
      </c>
      <c r="O1821" t="str">
        <f t="shared" si="85"/>
        <v>December</v>
      </c>
      <c r="P1821" t="str">
        <f t="shared" si="86"/>
        <v>Weekday</v>
      </c>
    </row>
    <row r="1822" spans="1:16" x14ac:dyDescent="0.3">
      <c r="A1822" s="1">
        <v>43461</v>
      </c>
      <c r="B1822">
        <v>3.68</v>
      </c>
      <c r="C1822">
        <v>3.01</v>
      </c>
      <c r="D1822">
        <v>3.05</v>
      </c>
      <c r="E1822">
        <v>40.6</v>
      </c>
      <c r="F1822">
        <v>8</v>
      </c>
      <c r="G1822">
        <v>0</v>
      </c>
      <c r="H1822">
        <v>7</v>
      </c>
      <c r="I1822">
        <v>0</v>
      </c>
      <c r="J1822">
        <v>2018</v>
      </c>
      <c r="K1822">
        <v>12</v>
      </c>
      <c r="L1822">
        <v>276</v>
      </c>
      <c r="M1822" t="s">
        <v>12</v>
      </c>
      <c r="N1822">
        <f t="shared" si="84"/>
        <v>65.34</v>
      </c>
      <c r="O1822" t="str">
        <f t="shared" si="85"/>
        <v>December</v>
      </c>
      <c r="P1822" t="str">
        <f t="shared" si="86"/>
        <v>Weekday</v>
      </c>
    </row>
    <row r="1823" spans="1:16" x14ac:dyDescent="0.3">
      <c r="A1823" s="1">
        <v>43462</v>
      </c>
      <c r="B1823">
        <v>11.67</v>
      </c>
      <c r="C1823">
        <v>5.8449999999999998</v>
      </c>
      <c r="D1823">
        <v>1</v>
      </c>
      <c r="E1823">
        <v>56.4</v>
      </c>
      <c r="F1823">
        <v>11</v>
      </c>
      <c r="G1823">
        <v>6</v>
      </c>
      <c r="H1823">
        <v>9</v>
      </c>
      <c r="I1823">
        <v>0</v>
      </c>
      <c r="J1823">
        <v>2018</v>
      </c>
      <c r="K1823">
        <v>12</v>
      </c>
      <c r="L1823">
        <v>276</v>
      </c>
      <c r="M1823" t="s">
        <v>13</v>
      </c>
      <c r="N1823">
        <f t="shared" si="84"/>
        <v>100.91499999999999</v>
      </c>
      <c r="O1823" t="str">
        <f t="shared" si="85"/>
        <v>December</v>
      </c>
      <c r="P1823" t="str">
        <f t="shared" si="86"/>
        <v>Weekday</v>
      </c>
    </row>
    <row r="1824" spans="1:16" x14ac:dyDescent="0.3">
      <c r="A1824" s="1">
        <v>43463</v>
      </c>
      <c r="B1824">
        <v>6.68</v>
      </c>
      <c r="C1824">
        <v>5.6109999999999998</v>
      </c>
      <c r="D1824">
        <v>1</v>
      </c>
      <c r="E1824">
        <v>68.349999999999994</v>
      </c>
      <c r="F1824">
        <v>5</v>
      </c>
      <c r="G1824">
        <v>0</v>
      </c>
      <c r="H1824">
        <v>7</v>
      </c>
      <c r="I1824">
        <v>2</v>
      </c>
      <c r="J1824">
        <v>2018</v>
      </c>
      <c r="K1824">
        <v>12</v>
      </c>
      <c r="L1824">
        <v>276</v>
      </c>
      <c r="M1824" t="s">
        <v>14</v>
      </c>
      <c r="N1824">
        <f t="shared" si="84"/>
        <v>95.640999999999991</v>
      </c>
      <c r="O1824" t="str">
        <f t="shared" si="85"/>
        <v>December</v>
      </c>
      <c r="P1824" t="str">
        <f t="shared" si="86"/>
        <v>Weekend</v>
      </c>
    </row>
    <row r="1825" spans="1:16" x14ac:dyDescent="0.3">
      <c r="A1825" s="1">
        <v>43464</v>
      </c>
      <c r="B1825">
        <v>5.33</v>
      </c>
      <c r="C1825">
        <v>7.593</v>
      </c>
      <c r="D1825">
        <v>5</v>
      </c>
      <c r="E1825">
        <v>59.9</v>
      </c>
      <c r="F1825">
        <v>6</v>
      </c>
      <c r="G1825">
        <v>0</v>
      </c>
      <c r="H1825">
        <v>31</v>
      </c>
      <c r="I1825">
        <v>3.3</v>
      </c>
      <c r="J1825">
        <v>2018</v>
      </c>
      <c r="K1825">
        <v>12</v>
      </c>
      <c r="L1825">
        <v>276</v>
      </c>
      <c r="M1825" t="s">
        <v>15</v>
      </c>
      <c r="N1825">
        <f t="shared" si="84"/>
        <v>118.123</v>
      </c>
      <c r="O1825" t="str">
        <f t="shared" si="85"/>
        <v>December</v>
      </c>
      <c r="P1825" t="str">
        <f t="shared" si="86"/>
        <v>Weekend</v>
      </c>
    </row>
    <row r="1826" spans="1:16" x14ac:dyDescent="0.3">
      <c r="A1826" s="1">
        <v>43465</v>
      </c>
      <c r="B1826">
        <v>8</v>
      </c>
      <c r="C1826">
        <v>4.66</v>
      </c>
      <c r="D1826">
        <v>5.2</v>
      </c>
      <c r="E1826">
        <v>44.5</v>
      </c>
      <c r="F1826">
        <v>10</v>
      </c>
      <c r="G1826">
        <v>0</v>
      </c>
      <c r="H1826">
        <v>6</v>
      </c>
      <c r="I1826">
        <v>4</v>
      </c>
      <c r="J1826">
        <v>2018</v>
      </c>
      <c r="K1826">
        <v>12</v>
      </c>
      <c r="L1826">
        <v>276</v>
      </c>
      <c r="M1826" t="s">
        <v>16</v>
      </c>
      <c r="N1826">
        <f t="shared" si="84"/>
        <v>82.36</v>
      </c>
      <c r="O1826" t="str">
        <f t="shared" si="85"/>
        <v>December</v>
      </c>
      <c r="P1826" t="str">
        <f t="shared" si="86"/>
        <v>Weekday</v>
      </c>
    </row>
    <row r="1827" spans="1:16" x14ac:dyDescent="0.3">
      <c r="A1827" s="1">
        <v>43466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2019</v>
      </c>
      <c r="K1827">
        <v>1</v>
      </c>
      <c r="L1827">
        <v>276</v>
      </c>
      <c r="M1827" t="s">
        <v>17</v>
      </c>
      <c r="N1827">
        <f t="shared" si="84"/>
        <v>0</v>
      </c>
      <c r="O1827" t="str">
        <f t="shared" si="85"/>
        <v>January</v>
      </c>
      <c r="P1827" t="str">
        <f t="shared" si="86"/>
        <v>Weekday</v>
      </c>
    </row>
    <row r="1828" spans="1:16" x14ac:dyDescent="0.3">
      <c r="A1828" s="1">
        <v>43467</v>
      </c>
      <c r="B1828">
        <v>5.33</v>
      </c>
      <c r="C1828">
        <v>4.3970000000000002</v>
      </c>
      <c r="D1828">
        <v>4.1500000000000004</v>
      </c>
      <c r="E1828">
        <v>36.799999999999997</v>
      </c>
      <c r="F1828">
        <v>4</v>
      </c>
      <c r="G1828">
        <v>0</v>
      </c>
      <c r="H1828">
        <v>9</v>
      </c>
      <c r="I1828">
        <v>2</v>
      </c>
      <c r="J1828">
        <v>2019</v>
      </c>
      <c r="K1828">
        <v>1</v>
      </c>
      <c r="L1828">
        <v>276</v>
      </c>
      <c r="M1828" t="s">
        <v>18</v>
      </c>
      <c r="N1828">
        <f t="shared" si="84"/>
        <v>65.676999999999992</v>
      </c>
      <c r="O1828" t="str">
        <f t="shared" si="85"/>
        <v>January</v>
      </c>
      <c r="P1828" t="str">
        <f t="shared" si="86"/>
        <v>Weekday</v>
      </c>
    </row>
    <row r="1829" spans="1:16" x14ac:dyDescent="0.3">
      <c r="A1829" s="1">
        <v>43468</v>
      </c>
      <c r="B1829">
        <v>4.33</v>
      </c>
      <c r="C1829">
        <v>4.8360000000000003</v>
      </c>
      <c r="D1829">
        <v>6.25</v>
      </c>
      <c r="E1829">
        <v>42.4</v>
      </c>
      <c r="F1829">
        <v>6</v>
      </c>
      <c r="G1829">
        <v>0</v>
      </c>
      <c r="H1829">
        <v>9</v>
      </c>
      <c r="I1829">
        <v>0</v>
      </c>
      <c r="J1829">
        <v>2019</v>
      </c>
      <c r="K1829">
        <v>1</v>
      </c>
      <c r="L1829">
        <v>276</v>
      </c>
      <c r="M1829" t="s">
        <v>12</v>
      </c>
      <c r="N1829">
        <f t="shared" si="84"/>
        <v>72.816000000000003</v>
      </c>
      <c r="O1829" t="str">
        <f t="shared" si="85"/>
        <v>January</v>
      </c>
      <c r="P1829" t="str">
        <f t="shared" si="86"/>
        <v>Weekday</v>
      </c>
    </row>
    <row r="1830" spans="1:16" x14ac:dyDescent="0.3">
      <c r="A1830" s="1">
        <v>43469</v>
      </c>
      <c r="B1830">
        <v>7</v>
      </c>
      <c r="C1830">
        <v>3.67</v>
      </c>
      <c r="D1830">
        <v>2.6</v>
      </c>
      <c r="E1830">
        <v>55.8</v>
      </c>
      <c r="F1830">
        <v>10</v>
      </c>
      <c r="G1830">
        <v>0</v>
      </c>
      <c r="H1830">
        <v>0</v>
      </c>
      <c r="I1830">
        <v>1</v>
      </c>
      <c r="J1830">
        <v>2019</v>
      </c>
      <c r="K1830">
        <v>1</v>
      </c>
      <c r="L1830">
        <v>276</v>
      </c>
      <c r="M1830" t="s">
        <v>13</v>
      </c>
      <c r="N1830">
        <f t="shared" si="84"/>
        <v>80.069999999999993</v>
      </c>
      <c r="O1830" t="str">
        <f t="shared" si="85"/>
        <v>January</v>
      </c>
      <c r="P1830" t="str">
        <f t="shared" si="86"/>
        <v>Weekday</v>
      </c>
    </row>
    <row r="1831" spans="1:16" x14ac:dyDescent="0.3">
      <c r="A1831" s="1">
        <v>43470</v>
      </c>
      <c r="B1831">
        <v>8.01</v>
      </c>
      <c r="C1831">
        <v>3.69</v>
      </c>
      <c r="D1831">
        <v>3.1</v>
      </c>
      <c r="E1831">
        <v>62.75</v>
      </c>
      <c r="F1831">
        <v>10</v>
      </c>
      <c r="G1831">
        <v>0</v>
      </c>
      <c r="H1831">
        <v>30</v>
      </c>
      <c r="I1831">
        <v>1</v>
      </c>
      <c r="J1831">
        <v>2019</v>
      </c>
      <c r="K1831">
        <v>1</v>
      </c>
      <c r="L1831">
        <v>276</v>
      </c>
      <c r="M1831" t="s">
        <v>14</v>
      </c>
      <c r="N1831">
        <f t="shared" si="84"/>
        <v>118.55</v>
      </c>
      <c r="O1831" t="str">
        <f t="shared" si="85"/>
        <v>January</v>
      </c>
      <c r="P1831" t="str">
        <f t="shared" si="86"/>
        <v>Weekend</v>
      </c>
    </row>
    <row r="1832" spans="1:16" x14ac:dyDescent="0.3">
      <c r="A1832" s="1">
        <v>43471</v>
      </c>
      <c r="B1832">
        <v>8.33</v>
      </c>
      <c r="C1832">
        <v>10.01</v>
      </c>
      <c r="D1832">
        <v>2.25</v>
      </c>
      <c r="E1832">
        <v>47.4</v>
      </c>
      <c r="F1832">
        <v>11</v>
      </c>
      <c r="G1832">
        <v>2</v>
      </c>
      <c r="H1832">
        <v>0</v>
      </c>
      <c r="I1832">
        <v>3</v>
      </c>
      <c r="J1832">
        <v>2019</v>
      </c>
      <c r="K1832">
        <v>1</v>
      </c>
      <c r="L1832">
        <v>276</v>
      </c>
      <c r="M1832" t="s">
        <v>15</v>
      </c>
      <c r="N1832">
        <f t="shared" si="84"/>
        <v>83.99</v>
      </c>
      <c r="O1832" t="str">
        <f t="shared" si="85"/>
        <v>January</v>
      </c>
      <c r="P1832" t="str">
        <f t="shared" si="86"/>
        <v>Weekend</v>
      </c>
    </row>
    <row r="1833" spans="1:16" x14ac:dyDescent="0.3">
      <c r="A1833" s="1">
        <v>43472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2019</v>
      </c>
      <c r="K1833">
        <v>1</v>
      </c>
      <c r="L1833">
        <v>276</v>
      </c>
      <c r="M1833" t="s">
        <v>16</v>
      </c>
      <c r="N1833">
        <f t="shared" si="84"/>
        <v>0</v>
      </c>
      <c r="O1833" t="str">
        <f t="shared" si="85"/>
        <v>January</v>
      </c>
      <c r="P1833" t="str">
        <f t="shared" si="86"/>
        <v>Weekday</v>
      </c>
    </row>
    <row r="1834" spans="1:16" x14ac:dyDescent="0.3">
      <c r="A1834" s="1">
        <v>43473</v>
      </c>
      <c r="B1834">
        <v>4.34</v>
      </c>
      <c r="C1834">
        <v>3.32</v>
      </c>
      <c r="D1834">
        <v>0</v>
      </c>
      <c r="E1834">
        <v>41.8</v>
      </c>
      <c r="F1834">
        <v>6</v>
      </c>
      <c r="G1834">
        <v>0</v>
      </c>
      <c r="H1834">
        <v>10</v>
      </c>
      <c r="I1834">
        <v>2</v>
      </c>
      <c r="J1834">
        <v>2019</v>
      </c>
      <c r="K1834">
        <v>1</v>
      </c>
      <c r="L1834">
        <v>276</v>
      </c>
      <c r="M1834" t="s">
        <v>17</v>
      </c>
      <c r="N1834">
        <f t="shared" si="84"/>
        <v>67.459999999999994</v>
      </c>
      <c r="O1834" t="str">
        <f t="shared" si="85"/>
        <v>January</v>
      </c>
      <c r="P1834" t="str">
        <f t="shared" si="86"/>
        <v>Weekday</v>
      </c>
    </row>
    <row r="1835" spans="1:16" x14ac:dyDescent="0.3">
      <c r="A1835" s="1">
        <v>43474</v>
      </c>
      <c r="B1835">
        <v>3</v>
      </c>
      <c r="C1835">
        <v>1.33</v>
      </c>
      <c r="D1835">
        <v>2</v>
      </c>
      <c r="E1835">
        <v>64.8</v>
      </c>
      <c r="F1835">
        <v>24</v>
      </c>
      <c r="G1835">
        <v>3</v>
      </c>
      <c r="H1835">
        <v>10</v>
      </c>
      <c r="I1835">
        <v>1</v>
      </c>
      <c r="J1835">
        <v>2019</v>
      </c>
      <c r="K1835">
        <v>1</v>
      </c>
      <c r="L1835">
        <v>276</v>
      </c>
      <c r="M1835" t="s">
        <v>18</v>
      </c>
      <c r="N1835">
        <f t="shared" si="84"/>
        <v>109.13</v>
      </c>
      <c r="O1835" t="str">
        <f t="shared" si="85"/>
        <v>January</v>
      </c>
      <c r="P1835" t="str">
        <f t="shared" si="86"/>
        <v>Weekday</v>
      </c>
    </row>
    <row r="1836" spans="1:16" x14ac:dyDescent="0.3">
      <c r="A1836" s="1">
        <v>43475</v>
      </c>
      <c r="B1836">
        <v>8</v>
      </c>
      <c r="C1836">
        <v>3.58</v>
      </c>
      <c r="D1836">
        <v>5.6</v>
      </c>
      <c r="E1836">
        <v>39.1</v>
      </c>
      <c r="F1836">
        <v>12</v>
      </c>
      <c r="G1836">
        <v>2</v>
      </c>
      <c r="H1836">
        <v>13</v>
      </c>
      <c r="I1836">
        <v>1</v>
      </c>
      <c r="J1836">
        <v>2019</v>
      </c>
      <c r="K1836">
        <v>1</v>
      </c>
      <c r="L1836">
        <v>276</v>
      </c>
      <c r="M1836" t="s">
        <v>12</v>
      </c>
      <c r="N1836">
        <f t="shared" si="84"/>
        <v>84.28</v>
      </c>
      <c r="O1836" t="str">
        <f t="shared" si="85"/>
        <v>January</v>
      </c>
      <c r="P1836" t="str">
        <f t="shared" si="86"/>
        <v>Weekday</v>
      </c>
    </row>
    <row r="1837" spans="1:16" x14ac:dyDescent="0.3">
      <c r="A1837" s="1">
        <v>43476</v>
      </c>
      <c r="B1837">
        <v>5.33</v>
      </c>
      <c r="C1837">
        <v>7.34</v>
      </c>
      <c r="D1837">
        <v>3</v>
      </c>
      <c r="E1837">
        <v>61.6</v>
      </c>
      <c r="F1837">
        <v>12</v>
      </c>
      <c r="G1837">
        <v>0</v>
      </c>
      <c r="H1837">
        <v>6</v>
      </c>
      <c r="I1837">
        <v>0</v>
      </c>
      <c r="J1837">
        <v>2019</v>
      </c>
      <c r="K1837">
        <v>1</v>
      </c>
      <c r="L1837">
        <v>276</v>
      </c>
      <c r="M1837" t="s">
        <v>13</v>
      </c>
      <c r="N1837">
        <f t="shared" si="84"/>
        <v>95.27</v>
      </c>
      <c r="O1837" t="str">
        <f t="shared" si="85"/>
        <v>January</v>
      </c>
      <c r="P1837" t="str">
        <f t="shared" si="86"/>
        <v>Weekday</v>
      </c>
    </row>
    <row r="1838" spans="1:16" x14ac:dyDescent="0.3">
      <c r="A1838" s="1">
        <v>43477</v>
      </c>
      <c r="B1838">
        <v>6.66</v>
      </c>
      <c r="C1838">
        <v>7.02</v>
      </c>
      <c r="D1838">
        <v>5</v>
      </c>
      <c r="E1838">
        <v>74.5</v>
      </c>
      <c r="F1838">
        <v>21.2</v>
      </c>
      <c r="G1838">
        <v>0</v>
      </c>
      <c r="H1838">
        <v>10</v>
      </c>
      <c r="I1838">
        <v>0</v>
      </c>
      <c r="J1838">
        <v>2019</v>
      </c>
      <c r="K1838">
        <v>1</v>
      </c>
      <c r="L1838">
        <v>276</v>
      </c>
      <c r="M1838" t="s">
        <v>14</v>
      </c>
      <c r="N1838">
        <f t="shared" si="84"/>
        <v>124.38000000000001</v>
      </c>
      <c r="O1838" t="str">
        <f t="shared" si="85"/>
        <v>January</v>
      </c>
      <c r="P1838" t="str">
        <f t="shared" si="86"/>
        <v>Weekend</v>
      </c>
    </row>
    <row r="1839" spans="1:16" x14ac:dyDescent="0.3">
      <c r="A1839" s="1">
        <v>43478</v>
      </c>
      <c r="B1839">
        <v>8.33</v>
      </c>
      <c r="C1839">
        <v>5.8140000000000001</v>
      </c>
      <c r="D1839">
        <v>4.5999999999999996</v>
      </c>
      <c r="E1839">
        <v>73</v>
      </c>
      <c r="F1839">
        <v>4</v>
      </c>
      <c r="G1839">
        <v>1</v>
      </c>
      <c r="H1839">
        <v>1</v>
      </c>
      <c r="I1839">
        <v>2</v>
      </c>
      <c r="J1839">
        <v>2019</v>
      </c>
      <c r="K1839">
        <v>1</v>
      </c>
      <c r="L1839">
        <v>276</v>
      </c>
      <c r="M1839" t="s">
        <v>15</v>
      </c>
      <c r="N1839">
        <f t="shared" si="84"/>
        <v>99.744</v>
      </c>
      <c r="O1839" t="str">
        <f t="shared" si="85"/>
        <v>January</v>
      </c>
      <c r="P1839" t="str">
        <f t="shared" si="86"/>
        <v>Weekend</v>
      </c>
    </row>
    <row r="1840" spans="1:16" x14ac:dyDescent="0.3">
      <c r="A1840" s="1">
        <v>43479</v>
      </c>
      <c r="B1840">
        <v>9</v>
      </c>
      <c r="C1840">
        <v>9.6999999999999993</v>
      </c>
      <c r="D1840">
        <v>3</v>
      </c>
      <c r="E1840">
        <v>51</v>
      </c>
      <c r="F1840">
        <v>10</v>
      </c>
      <c r="G1840">
        <v>0</v>
      </c>
      <c r="H1840">
        <v>18</v>
      </c>
      <c r="I1840">
        <v>0</v>
      </c>
      <c r="J1840">
        <v>2019</v>
      </c>
      <c r="K1840">
        <v>1</v>
      </c>
      <c r="L1840">
        <v>276</v>
      </c>
      <c r="M1840" t="s">
        <v>16</v>
      </c>
      <c r="N1840">
        <f t="shared" si="84"/>
        <v>100.7</v>
      </c>
      <c r="O1840" t="str">
        <f t="shared" si="85"/>
        <v>January</v>
      </c>
      <c r="P1840" t="str">
        <f t="shared" si="86"/>
        <v>Weekday</v>
      </c>
    </row>
    <row r="1841" spans="1:16" x14ac:dyDescent="0.3">
      <c r="A1841" s="1">
        <v>43480</v>
      </c>
      <c r="B1841">
        <v>4.33</v>
      </c>
      <c r="C1841">
        <v>4.33</v>
      </c>
      <c r="D1841">
        <v>3.65</v>
      </c>
      <c r="E1841">
        <v>30.4</v>
      </c>
      <c r="F1841">
        <v>9</v>
      </c>
      <c r="G1841">
        <v>0</v>
      </c>
      <c r="H1841">
        <v>19</v>
      </c>
      <c r="I1841">
        <v>1</v>
      </c>
      <c r="J1841">
        <v>2019</v>
      </c>
      <c r="K1841">
        <v>1</v>
      </c>
      <c r="L1841">
        <v>276</v>
      </c>
      <c r="M1841" t="s">
        <v>17</v>
      </c>
      <c r="N1841">
        <f t="shared" si="84"/>
        <v>71.710000000000008</v>
      </c>
      <c r="O1841" t="str">
        <f t="shared" si="85"/>
        <v>January</v>
      </c>
      <c r="P1841" t="str">
        <f t="shared" si="86"/>
        <v>Weekday</v>
      </c>
    </row>
    <row r="1842" spans="1:16" x14ac:dyDescent="0.3">
      <c r="A1842" s="1">
        <v>43481</v>
      </c>
      <c r="B1842">
        <v>7.5</v>
      </c>
      <c r="C1842">
        <v>5.0659999999999998</v>
      </c>
      <c r="D1842">
        <v>6</v>
      </c>
      <c r="E1842">
        <v>48.8</v>
      </c>
      <c r="F1842">
        <v>12</v>
      </c>
      <c r="G1842">
        <v>0</v>
      </c>
      <c r="H1842">
        <v>17</v>
      </c>
      <c r="I1842">
        <v>5</v>
      </c>
      <c r="J1842">
        <v>2019</v>
      </c>
      <c r="K1842">
        <v>1</v>
      </c>
      <c r="L1842">
        <v>276</v>
      </c>
      <c r="M1842" t="s">
        <v>18</v>
      </c>
      <c r="N1842">
        <f t="shared" si="84"/>
        <v>101.366</v>
      </c>
      <c r="O1842" t="str">
        <f t="shared" si="85"/>
        <v>January</v>
      </c>
      <c r="P1842" t="str">
        <f t="shared" si="86"/>
        <v>Weekday</v>
      </c>
    </row>
    <row r="1843" spans="1:16" x14ac:dyDescent="0.3">
      <c r="A1843" s="1">
        <v>43482</v>
      </c>
      <c r="B1843">
        <v>5.34</v>
      </c>
      <c r="C1843">
        <v>3.68</v>
      </c>
      <c r="D1843">
        <v>3.7</v>
      </c>
      <c r="E1843">
        <v>55.6</v>
      </c>
      <c r="F1843">
        <v>10</v>
      </c>
      <c r="G1843">
        <v>3</v>
      </c>
      <c r="H1843">
        <v>8</v>
      </c>
      <c r="I1843">
        <v>1</v>
      </c>
      <c r="J1843">
        <v>2019</v>
      </c>
      <c r="K1843">
        <v>1</v>
      </c>
      <c r="L1843">
        <v>276</v>
      </c>
      <c r="M1843" t="s">
        <v>12</v>
      </c>
      <c r="N1843">
        <f t="shared" si="84"/>
        <v>90.32</v>
      </c>
      <c r="O1843" t="str">
        <f t="shared" si="85"/>
        <v>January</v>
      </c>
      <c r="P1843" t="str">
        <f t="shared" si="86"/>
        <v>Weekday</v>
      </c>
    </row>
    <row r="1844" spans="1:16" x14ac:dyDescent="0.3">
      <c r="A1844" s="1">
        <v>43483</v>
      </c>
      <c r="B1844">
        <v>6.33</v>
      </c>
      <c r="C1844">
        <v>6.4390000000000001</v>
      </c>
      <c r="D1844">
        <v>4</v>
      </c>
      <c r="E1844">
        <v>27.8</v>
      </c>
      <c r="F1844">
        <v>13</v>
      </c>
      <c r="G1844">
        <v>0</v>
      </c>
      <c r="H1844">
        <v>24</v>
      </c>
      <c r="I1844">
        <v>2</v>
      </c>
      <c r="J1844">
        <v>2019</v>
      </c>
      <c r="K1844">
        <v>1</v>
      </c>
      <c r="L1844">
        <v>276</v>
      </c>
      <c r="M1844" t="s">
        <v>13</v>
      </c>
      <c r="N1844">
        <f t="shared" si="84"/>
        <v>83.569000000000003</v>
      </c>
      <c r="O1844" t="str">
        <f t="shared" si="85"/>
        <v>January</v>
      </c>
      <c r="P1844" t="str">
        <f t="shared" si="86"/>
        <v>Weekday</v>
      </c>
    </row>
    <row r="1845" spans="1:16" x14ac:dyDescent="0.3">
      <c r="A1845" s="1">
        <v>43484</v>
      </c>
      <c r="B1845">
        <v>7.02</v>
      </c>
      <c r="C1845">
        <v>8.391</v>
      </c>
      <c r="D1845">
        <v>5.5</v>
      </c>
      <c r="E1845">
        <v>77.400000000000006</v>
      </c>
      <c r="F1845">
        <v>9</v>
      </c>
      <c r="G1845">
        <v>0</v>
      </c>
      <c r="H1845">
        <v>1</v>
      </c>
      <c r="I1845">
        <v>3</v>
      </c>
      <c r="J1845">
        <v>2019</v>
      </c>
      <c r="K1845">
        <v>1</v>
      </c>
      <c r="L1845">
        <v>276</v>
      </c>
      <c r="M1845" t="s">
        <v>14</v>
      </c>
      <c r="N1845">
        <f t="shared" si="84"/>
        <v>111.31100000000001</v>
      </c>
      <c r="O1845" t="str">
        <f t="shared" si="85"/>
        <v>January</v>
      </c>
      <c r="P1845" t="str">
        <f t="shared" si="86"/>
        <v>Weekend</v>
      </c>
    </row>
    <row r="1846" spans="1:16" x14ac:dyDescent="0.3">
      <c r="A1846" s="1">
        <v>43485</v>
      </c>
      <c r="B1846">
        <v>11.67</v>
      </c>
      <c r="C1846">
        <v>14.462999999999999</v>
      </c>
      <c r="D1846">
        <v>2.1</v>
      </c>
      <c r="E1846">
        <v>93.05</v>
      </c>
      <c r="F1846">
        <v>6</v>
      </c>
      <c r="G1846">
        <v>0</v>
      </c>
      <c r="H1846">
        <v>34</v>
      </c>
      <c r="I1846">
        <v>1</v>
      </c>
      <c r="J1846">
        <v>2019</v>
      </c>
      <c r="K1846">
        <v>1</v>
      </c>
      <c r="L1846">
        <v>276</v>
      </c>
      <c r="M1846" t="s">
        <v>15</v>
      </c>
      <c r="N1846">
        <f t="shared" si="84"/>
        <v>162.28300000000002</v>
      </c>
      <c r="O1846" t="str">
        <f t="shared" si="85"/>
        <v>January</v>
      </c>
      <c r="P1846" t="str">
        <f t="shared" si="86"/>
        <v>Weekend</v>
      </c>
    </row>
    <row r="1847" spans="1:16" x14ac:dyDescent="0.3">
      <c r="A1847" s="1">
        <v>43486</v>
      </c>
      <c r="B1847">
        <v>4.34</v>
      </c>
      <c r="C1847">
        <v>5.8250000000000002</v>
      </c>
      <c r="D1847">
        <v>0</v>
      </c>
      <c r="E1847">
        <v>67.150000000000006</v>
      </c>
      <c r="F1847">
        <v>11</v>
      </c>
      <c r="G1847">
        <v>0</v>
      </c>
      <c r="H1847">
        <v>31</v>
      </c>
      <c r="I1847">
        <v>0</v>
      </c>
      <c r="J1847">
        <v>2019</v>
      </c>
      <c r="K1847">
        <v>1</v>
      </c>
      <c r="L1847">
        <v>276</v>
      </c>
      <c r="M1847" t="s">
        <v>16</v>
      </c>
      <c r="N1847">
        <f t="shared" si="84"/>
        <v>119.315</v>
      </c>
      <c r="O1847" t="str">
        <f t="shared" si="85"/>
        <v>January</v>
      </c>
      <c r="P1847" t="str">
        <f t="shared" si="86"/>
        <v>Weekday</v>
      </c>
    </row>
    <row r="1848" spans="1:16" x14ac:dyDescent="0.3">
      <c r="A1848" s="1">
        <v>43487</v>
      </c>
      <c r="B1848">
        <v>6.83</v>
      </c>
      <c r="C1848">
        <v>7.0759999999999996</v>
      </c>
      <c r="D1848">
        <v>1</v>
      </c>
      <c r="E1848">
        <v>74.900000000000006</v>
      </c>
      <c r="F1848">
        <v>13</v>
      </c>
      <c r="G1848">
        <v>1</v>
      </c>
      <c r="H1848">
        <v>7</v>
      </c>
      <c r="I1848">
        <v>0</v>
      </c>
      <c r="J1848">
        <v>2019</v>
      </c>
      <c r="K1848">
        <v>1</v>
      </c>
      <c r="L1848">
        <v>276</v>
      </c>
      <c r="M1848" t="s">
        <v>17</v>
      </c>
      <c r="N1848">
        <f t="shared" si="84"/>
        <v>110.80600000000001</v>
      </c>
      <c r="O1848" t="str">
        <f t="shared" si="85"/>
        <v>January</v>
      </c>
      <c r="P1848" t="str">
        <f t="shared" si="86"/>
        <v>Weekday</v>
      </c>
    </row>
    <row r="1849" spans="1:16" x14ac:dyDescent="0.3">
      <c r="A1849" s="1">
        <v>43488</v>
      </c>
      <c r="B1849">
        <v>3.33</v>
      </c>
      <c r="C1849">
        <v>8.4629999999999992</v>
      </c>
      <c r="D1849">
        <v>7.1</v>
      </c>
      <c r="E1849">
        <v>58.4</v>
      </c>
      <c r="F1849">
        <v>4</v>
      </c>
      <c r="G1849">
        <v>0</v>
      </c>
      <c r="H1849">
        <v>23</v>
      </c>
      <c r="I1849">
        <v>2</v>
      </c>
      <c r="J1849">
        <v>2019</v>
      </c>
      <c r="K1849">
        <v>1</v>
      </c>
      <c r="L1849">
        <v>276</v>
      </c>
      <c r="M1849" t="s">
        <v>18</v>
      </c>
      <c r="N1849">
        <f t="shared" si="84"/>
        <v>106.29300000000001</v>
      </c>
      <c r="O1849" t="str">
        <f t="shared" si="85"/>
        <v>January</v>
      </c>
      <c r="P1849" t="str">
        <f t="shared" si="86"/>
        <v>Weekday</v>
      </c>
    </row>
    <row r="1850" spans="1:16" x14ac:dyDescent="0.3">
      <c r="A1850" s="1">
        <v>43489</v>
      </c>
      <c r="B1850">
        <v>4</v>
      </c>
      <c r="C1850">
        <v>4.4950000000000001</v>
      </c>
      <c r="D1850">
        <v>6</v>
      </c>
      <c r="E1850">
        <v>47.3</v>
      </c>
      <c r="F1850">
        <v>7</v>
      </c>
      <c r="G1850">
        <v>4</v>
      </c>
      <c r="H1850">
        <v>2</v>
      </c>
      <c r="I1850">
        <v>3</v>
      </c>
      <c r="J1850">
        <v>2019</v>
      </c>
      <c r="K1850">
        <v>1</v>
      </c>
      <c r="L1850">
        <v>276</v>
      </c>
      <c r="M1850" t="s">
        <v>12</v>
      </c>
      <c r="N1850">
        <f t="shared" si="84"/>
        <v>77.795000000000002</v>
      </c>
      <c r="O1850" t="str">
        <f t="shared" si="85"/>
        <v>January</v>
      </c>
      <c r="P1850" t="str">
        <f t="shared" si="86"/>
        <v>Weekday</v>
      </c>
    </row>
    <row r="1851" spans="1:16" x14ac:dyDescent="0.3">
      <c r="A1851" s="1">
        <v>43490</v>
      </c>
      <c r="B1851">
        <v>2.33</v>
      </c>
      <c r="C1851">
        <v>7.18</v>
      </c>
      <c r="D1851">
        <v>4</v>
      </c>
      <c r="E1851">
        <v>32.65</v>
      </c>
      <c r="F1851">
        <v>11</v>
      </c>
      <c r="G1851">
        <v>2</v>
      </c>
      <c r="H1851">
        <v>11</v>
      </c>
      <c r="I1851">
        <v>1</v>
      </c>
      <c r="J1851">
        <v>2019</v>
      </c>
      <c r="K1851">
        <v>1</v>
      </c>
      <c r="L1851">
        <v>276</v>
      </c>
      <c r="M1851" t="s">
        <v>13</v>
      </c>
      <c r="N1851">
        <f t="shared" si="84"/>
        <v>71.16</v>
      </c>
      <c r="O1851" t="str">
        <f t="shared" si="85"/>
        <v>January</v>
      </c>
      <c r="P1851" t="str">
        <f t="shared" si="86"/>
        <v>Weekday</v>
      </c>
    </row>
    <row r="1852" spans="1:16" x14ac:dyDescent="0.3">
      <c r="A1852" s="1">
        <v>43491</v>
      </c>
      <c r="B1852">
        <v>7</v>
      </c>
      <c r="C1852">
        <v>8.4589999999999996</v>
      </c>
      <c r="D1852">
        <v>2.4</v>
      </c>
      <c r="E1852">
        <v>97.8</v>
      </c>
      <c r="F1852">
        <v>11</v>
      </c>
      <c r="G1852">
        <v>1</v>
      </c>
      <c r="H1852">
        <v>13</v>
      </c>
      <c r="I1852">
        <v>1</v>
      </c>
      <c r="J1852">
        <v>2019</v>
      </c>
      <c r="K1852">
        <v>1</v>
      </c>
      <c r="L1852">
        <v>276</v>
      </c>
      <c r="M1852" t="s">
        <v>14</v>
      </c>
      <c r="N1852">
        <f t="shared" si="84"/>
        <v>141.65899999999999</v>
      </c>
      <c r="O1852" t="str">
        <f t="shared" si="85"/>
        <v>January</v>
      </c>
      <c r="P1852" t="str">
        <f t="shared" si="86"/>
        <v>Weekend</v>
      </c>
    </row>
    <row r="1853" spans="1:16" x14ac:dyDescent="0.3">
      <c r="A1853" s="1">
        <v>43492</v>
      </c>
      <c r="B1853">
        <v>10.52</v>
      </c>
      <c r="C1853">
        <v>11.744999999999999</v>
      </c>
      <c r="D1853">
        <v>2</v>
      </c>
      <c r="E1853">
        <v>100.1</v>
      </c>
      <c r="F1853">
        <v>12</v>
      </c>
      <c r="G1853">
        <v>1</v>
      </c>
      <c r="H1853">
        <v>6</v>
      </c>
      <c r="I1853">
        <v>2</v>
      </c>
      <c r="J1853">
        <v>2019</v>
      </c>
      <c r="K1853">
        <v>1</v>
      </c>
      <c r="L1853">
        <v>276</v>
      </c>
      <c r="M1853" t="s">
        <v>15</v>
      </c>
      <c r="N1853">
        <f t="shared" si="84"/>
        <v>145.36500000000001</v>
      </c>
      <c r="O1853" t="str">
        <f t="shared" si="85"/>
        <v>January</v>
      </c>
      <c r="P1853" t="str">
        <f t="shared" si="86"/>
        <v>Weekend</v>
      </c>
    </row>
    <row r="1854" spans="1:16" x14ac:dyDescent="0.3">
      <c r="A1854" s="1">
        <v>43493</v>
      </c>
      <c r="B1854">
        <v>8.5</v>
      </c>
      <c r="C1854">
        <v>7.109</v>
      </c>
      <c r="D1854">
        <v>3</v>
      </c>
      <c r="E1854">
        <v>45</v>
      </c>
      <c r="F1854">
        <v>11</v>
      </c>
      <c r="G1854">
        <v>0</v>
      </c>
      <c r="H1854">
        <v>28</v>
      </c>
      <c r="I1854">
        <v>3</v>
      </c>
      <c r="J1854">
        <v>2019</v>
      </c>
      <c r="K1854">
        <v>1</v>
      </c>
      <c r="L1854">
        <v>276</v>
      </c>
      <c r="M1854" t="s">
        <v>16</v>
      </c>
      <c r="N1854">
        <f t="shared" si="84"/>
        <v>105.60900000000001</v>
      </c>
      <c r="O1854" t="str">
        <f t="shared" si="85"/>
        <v>January</v>
      </c>
      <c r="P1854" t="str">
        <f t="shared" si="86"/>
        <v>Weekday</v>
      </c>
    </row>
    <row r="1855" spans="1:16" x14ac:dyDescent="0.3">
      <c r="A1855" s="1">
        <v>43494</v>
      </c>
      <c r="B1855">
        <v>5</v>
      </c>
      <c r="C1855">
        <v>5</v>
      </c>
      <c r="D1855">
        <v>3.45</v>
      </c>
      <c r="E1855">
        <v>38.799999999999997</v>
      </c>
      <c r="F1855">
        <v>10</v>
      </c>
      <c r="G1855">
        <v>2</v>
      </c>
      <c r="H1855">
        <v>15</v>
      </c>
      <c r="I1855">
        <v>0</v>
      </c>
      <c r="J1855">
        <v>2019</v>
      </c>
      <c r="K1855">
        <v>1</v>
      </c>
      <c r="L1855">
        <v>276</v>
      </c>
      <c r="M1855" t="s">
        <v>17</v>
      </c>
      <c r="N1855">
        <f t="shared" si="84"/>
        <v>79.25</v>
      </c>
      <c r="O1855" t="str">
        <f t="shared" si="85"/>
        <v>January</v>
      </c>
      <c r="P1855" t="str">
        <f t="shared" si="86"/>
        <v>Weekday</v>
      </c>
    </row>
    <row r="1856" spans="1:16" x14ac:dyDescent="0.3">
      <c r="A1856" s="1">
        <v>43495</v>
      </c>
      <c r="B1856">
        <v>6.33</v>
      </c>
      <c r="C1856">
        <v>5.7130000000000001</v>
      </c>
      <c r="D1856">
        <v>2.25</v>
      </c>
      <c r="E1856">
        <v>52.311999999999998</v>
      </c>
      <c r="F1856">
        <v>8</v>
      </c>
      <c r="G1856">
        <v>0</v>
      </c>
      <c r="H1856">
        <v>11</v>
      </c>
      <c r="I1856">
        <v>1.3</v>
      </c>
      <c r="J1856">
        <v>2019</v>
      </c>
      <c r="K1856">
        <v>1</v>
      </c>
      <c r="L1856">
        <v>276</v>
      </c>
      <c r="M1856" t="s">
        <v>18</v>
      </c>
      <c r="N1856">
        <f t="shared" si="84"/>
        <v>86.904999999999987</v>
      </c>
      <c r="O1856" t="str">
        <f t="shared" si="85"/>
        <v>January</v>
      </c>
      <c r="P1856" t="str">
        <f t="shared" si="86"/>
        <v>Weekday</v>
      </c>
    </row>
    <row r="1857" spans="1:16" x14ac:dyDescent="0.3">
      <c r="A1857" s="1">
        <v>43496</v>
      </c>
      <c r="B1857">
        <v>1.67</v>
      </c>
      <c r="C1857">
        <v>11.505000000000001</v>
      </c>
      <c r="D1857">
        <v>2</v>
      </c>
      <c r="E1857">
        <v>62.2</v>
      </c>
      <c r="F1857">
        <v>8</v>
      </c>
      <c r="G1857">
        <v>1</v>
      </c>
      <c r="H1857">
        <v>20</v>
      </c>
      <c r="I1857">
        <v>2</v>
      </c>
      <c r="J1857">
        <v>2019</v>
      </c>
      <c r="K1857">
        <v>1</v>
      </c>
      <c r="L1857">
        <v>276</v>
      </c>
      <c r="M1857" t="s">
        <v>12</v>
      </c>
      <c r="N1857">
        <f t="shared" si="84"/>
        <v>108.375</v>
      </c>
      <c r="O1857" t="str">
        <f t="shared" si="85"/>
        <v>January</v>
      </c>
      <c r="P1857" t="str">
        <f t="shared" si="86"/>
        <v>Weekday</v>
      </c>
    </row>
    <row r="1858" spans="1:16" x14ac:dyDescent="0.3">
      <c r="A1858" s="1">
        <v>43497</v>
      </c>
      <c r="B1858">
        <v>11.34</v>
      </c>
      <c r="C1858">
        <v>1.726</v>
      </c>
      <c r="D1858">
        <v>8</v>
      </c>
      <c r="E1858">
        <v>38.9</v>
      </c>
      <c r="F1858">
        <v>9</v>
      </c>
      <c r="G1858">
        <v>0</v>
      </c>
      <c r="H1858">
        <v>7</v>
      </c>
      <c r="I1858">
        <v>3</v>
      </c>
      <c r="J1858">
        <v>2019</v>
      </c>
      <c r="K1858">
        <v>2</v>
      </c>
      <c r="L1858">
        <v>276</v>
      </c>
      <c r="M1858" t="s">
        <v>13</v>
      </c>
      <c r="N1858">
        <f t="shared" si="84"/>
        <v>78.965999999999994</v>
      </c>
      <c r="O1858" t="str">
        <f t="shared" si="85"/>
        <v>February</v>
      </c>
      <c r="P1858" t="str">
        <f t="shared" si="86"/>
        <v>Weekday</v>
      </c>
    </row>
    <row r="1859" spans="1:16" x14ac:dyDescent="0.3">
      <c r="A1859" s="1">
        <v>43498</v>
      </c>
      <c r="B1859">
        <v>13.34</v>
      </c>
      <c r="C1859">
        <v>12.706</v>
      </c>
      <c r="D1859">
        <v>6.2</v>
      </c>
      <c r="E1859">
        <v>64.262</v>
      </c>
      <c r="F1859">
        <v>8</v>
      </c>
      <c r="G1859">
        <v>1</v>
      </c>
      <c r="H1859">
        <v>45</v>
      </c>
      <c r="I1859">
        <v>0</v>
      </c>
      <c r="J1859">
        <v>2019</v>
      </c>
      <c r="K1859">
        <v>2</v>
      </c>
      <c r="L1859">
        <v>276</v>
      </c>
      <c r="M1859" t="s">
        <v>14</v>
      </c>
      <c r="N1859">
        <f t="shared" ref="N1859:N1922" si="87">SUM(B1859:I1859)</f>
        <v>150.50800000000001</v>
      </c>
      <c r="O1859" t="str">
        <f t="shared" ref="O1859:O1922" si="88">TEXT(A1859,"mmmm")</f>
        <v>February</v>
      </c>
      <c r="P1859" t="str">
        <f t="shared" ref="P1859:P1922" si="89">IF(OR(M1859="Saturday",M1859="Sunday"),"Weekend","Weekday")</f>
        <v>Weekend</v>
      </c>
    </row>
    <row r="1860" spans="1:16" x14ac:dyDescent="0.3">
      <c r="A1860" s="1">
        <v>43499</v>
      </c>
      <c r="B1860">
        <v>6</v>
      </c>
      <c r="C1860">
        <v>9.8119999999999994</v>
      </c>
      <c r="D1860">
        <v>5.75</v>
      </c>
      <c r="E1860">
        <v>47.088000000000001</v>
      </c>
      <c r="F1860">
        <v>10</v>
      </c>
      <c r="G1860">
        <v>1</v>
      </c>
      <c r="H1860">
        <v>5</v>
      </c>
      <c r="I1860">
        <v>4.4000000000000004</v>
      </c>
      <c r="J1860">
        <v>2019</v>
      </c>
      <c r="K1860">
        <v>2</v>
      </c>
      <c r="L1860">
        <v>276</v>
      </c>
      <c r="M1860" t="s">
        <v>15</v>
      </c>
      <c r="N1860">
        <f t="shared" si="87"/>
        <v>89.050000000000011</v>
      </c>
      <c r="O1860" t="str">
        <f t="shared" si="88"/>
        <v>February</v>
      </c>
      <c r="P1860" t="str">
        <f t="shared" si="89"/>
        <v>Weekend</v>
      </c>
    </row>
    <row r="1861" spans="1:16" x14ac:dyDescent="0.3">
      <c r="A1861" s="1">
        <v>43500</v>
      </c>
      <c r="B1861">
        <v>6.33</v>
      </c>
      <c r="C1861">
        <v>6.68</v>
      </c>
      <c r="D1861">
        <v>3</v>
      </c>
      <c r="E1861">
        <v>47</v>
      </c>
      <c r="F1861">
        <v>5</v>
      </c>
      <c r="G1861">
        <v>1</v>
      </c>
      <c r="H1861">
        <v>12</v>
      </c>
      <c r="I1861">
        <v>2</v>
      </c>
      <c r="J1861">
        <v>2019</v>
      </c>
      <c r="K1861">
        <v>2</v>
      </c>
      <c r="L1861">
        <v>276</v>
      </c>
      <c r="M1861" t="s">
        <v>16</v>
      </c>
      <c r="N1861">
        <f t="shared" si="87"/>
        <v>83.009999999999991</v>
      </c>
      <c r="O1861" t="str">
        <f t="shared" si="88"/>
        <v>February</v>
      </c>
      <c r="P1861" t="str">
        <f t="shared" si="89"/>
        <v>Weekday</v>
      </c>
    </row>
    <row r="1862" spans="1:16" x14ac:dyDescent="0.3">
      <c r="A1862" s="1">
        <v>43501</v>
      </c>
      <c r="B1862">
        <v>5.33</v>
      </c>
      <c r="C1862">
        <v>10.385999999999999</v>
      </c>
      <c r="D1862">
        <v>3.65</v>
      </c>
      <c r="E1862">
        <v>33.799999999999997</v>
      </c>
      <c r="F1862">
        <v>2</v>
      </c>
      <c r="G1862">
        <v>0</v>
      </c>
      <c r="H1862">
        <v>1</v>
      </c>
      <c r="I1862">
        <v>4</v>
      </c>
      <c r="J1862">
        <v>2019</v>
      </c>
      <c r="K1862">
        <v>2</v>
      </c>
      <c r="L1862">
        <v>276</v>
      </c>
      <c r="M1862" t="s">
        <v>17</v>
      </c>
      <c r="N1862">
        <f t="shared" si="87"/>
        <v>60.165999999999997</v>
      </c>
      <c r="O1862" t="str">
        <f t="shared" si="88"/>
        <v>February</v>
      </c>
      <c r="P1862" t="str">
        <f t="shared" si="89"/>
        <v>Weekday</v>
      </c>
    </row>
    <row r="1863" spans="1:16" x14ac:dyDescent="0.3">
      <c r="A1863" s="1">
        <v>43502</v>
      </c>
      <c r="B1863">
        <v>6.34</v>
      </c>
      <c r="C1863">
        <v>4.1779999999999999</v>
      </c>
      <c r="D1863">
        <v>2.2000000000000002</v>
      </c>
      <c r="E1863">
        <v>29</v>
      </c>
      <c r="F1863">
        <v>4</v>
      </c>
      <c r="G1863">
        <v>0</v>
      </c>
      <c r="H1863">
        <v>4</v>
      </c>
      <c r="I1863">
        <v>1.5</v>
      </c>
      <c r="J1863">
        <v>2019</v>
      </c>
      <c r="K1863">
        <v>2</v>
      </c>
      <c r="L1863">
        <v>276</v>
      </c>
      <c r="M1863" t="s">
        <v>18</v>
      </c>
      <c r="N1863">
        <f t="shared" si="87"/>
        <v>51.218000000000004</v>
      </c>
      <c r="O1863" t="str">
        <f t="shared" si="88"/>
        <v>February</v>
      </c>
      <c r="P1863" t="str">
        <f t="shared" si="89"/>
        <v>Weekday</v>
      </c>
    </row>
    <row r="1864" spans="1:16" x14ac:dyDescent="0.3">
      <c r="A1864" s="1">
        <v>43503</v>
      </c>
      <c r="B1864">
        <v>2.33</v>
      </c>
      <c r="C1864">
        <v>5.1319999999999997</v>
      </c>
      <c r="D1864">
        <v>4.5</v>
      </c>
      <c r="E1864">
        <v>42.6</v>
      </c>
      <c r="F1864">
        <v>11</v>
      </c>
      <c r="G1864">
        <v>0</v>
      </c>
      <c r="H1864">
        <v>22</v>
      </c>
      <c r="I1864">
        <v>1</v>
      </c>
      <c r="J1864">
        <v>2019</v>
      </c>
      <c r="K1864">
        <v>2</v>
      </c>
      <c r="L1864">
        <v>276</v>
      </c>
      <c r="M1864" t="s">
        <v>12</v>
      </c>
      <c r="N1864">
        <f t="shared" si="87"/>
        <v>88.561999999999998</v>
      </c>
      <c r="O1864" t="str">
        <f t="shared" si="88"/>
        <v>February</v>
      </c>
      <c r="P1864" t="str">
        <f t="shared" si="89"/>
        <v>Weekday</v>
      </c>
    </row>
    <row r="1865" spans="1:16" x14ac:dyDescent="0.3">
      <c r="A1865" s="1">
        <v>43504</v>
      </c>
      <c r="B1865">
        <v>2</v>
      </c>
      <c r="C1865">
        <v>6.3730000000000002</v>
      </c>
      <c r="D1865">
        <v>7</v>
      </c>
      <c r="E1865">
        <v>50.2</v>
      </c>
      <c r="F1865">
        <v>9</v>
      </c>
      <c r="G1865">
        <v>3</v>
      </c>
      <c r="H1865">
        <v>12</v>
      </c>
      <c r="I1865">
        <v>5</v>
      </c>
      <c r="J1865">
        <v>2019</v>
      </c>
      <c r="K1865">
        <v>2</v>
      </c>
      <c r="L1865">
        <v>276</v>
      </c>
      <c r="M1865" t="s">
        <v>13</v>
      </c>
      <c r="N1865">
        <f t="shared" si="87"/>
        <v>94.573000000000008</v>
      </c>
      <c r="O1865" t="str">
        <f t="shared" si="88"/>
        <v>February</v>
      </c>
      <c r="P1865" t="str">
        <f t="shared" si="89"/>
        <v>Weekday</v>
      </c>
    </row>
    <row r="1866" spans="1:16" x14ac:dyDescent="0.3">
      <c r="A1866" s="1">
        <v>43505</v>
      </c>
      <c r="B1866">
        <v>6.68</v>
      </c>
      <c r="C1866">
        <v>7.383</v>
      </c>
      <c r="D1866">
        <v>5</v>
      </c>
      <c r="E1866">
        <v>51.65</v>
      </c>
      <c r="F1866">
        <v>10</v>
      </c>
      <c r="G1866">
        <v>0</v>
      </c>
      <c r="H1866">
        <v>11</v>
      </c>
      <c r="I1866">
        <v>1</v>
      </c>
      <c r="J1866">
        <v>2019</v>
      </c>
      <c r="K1866">
        <v>2</v>
      </c>
      <c r="L1866">
        <v>276</v>
      </c>
      <c r="M1866" t="s">
        <v>14</v>
      </c>
      <c r="N1866">
        <f t="shared" si="87"/>
        <v>92.712999999999994</v>
      </c>
      <c r="O1866" t="str">
        <f t="shared" si="88"/>
        <v>February</v>
      </c>
      <c r="P1866" t="str">
        <f t="shared" si="89"/>
        <v>Weekend</v>
      </c>
    </row>
    <row r="1867" spans="1:16" x14ac:dyDescent="0.3">
      <c r="A1867" s="1">
        <v>43506</v>
      </c>
      <c r="B1867">
        <v>3.34</v>
      </c>
      <c r="C1867">
        <v>7.1189999999999998</v>
      </c>
      <c r="D1867">
        <v>3.35</v>
      </c>
      <c r="E1867">
        <v>43.2</v>
      </c>
      <c r="F1867">
        <v>9</v>
      </c>
      <c r="G1867">
        <v>0</v>
      </c>
      <c r="H1867">
        <v>0</v>
      </c>
      <c r="I1867">
        <v>1.2</v>
      </c>
      <c r="J1867">
        <v>2019</v>
      </c>
      <c r="K1867">
        <v>2</v>
      </c>
      <c r="L1867">
        <v>276</v>
      </c>
      <c r="M1867" t="s">
        <v>15</v>
      </c>
      <c r="N1867">
        <f t="shared" si="87"/>
        <v>67.209000000000003</v>
      </c>
      <c r="O1867" t="str">
        <f t="shared" si="88"/>
        <v>February</v>
      </c>
      <c r="P1867" t="str">
        <f t="shared" si="89"/>
        <v>Weekend</v>
      </c>
    </row>
    <row r="1868" spans="1:16" x14ac:dyDescent="0.3">
      <c r="A1868" s="1">
        <v>43507</v>
      </c>
      <c r="B1868">
        <v>8</v>
      </c>
      <c r="C1868">
        <v>7.4690000000000003</v>
      </c>
      <c r="D1868">
        <v>6.15</v>
      </c>
      <c r="E1868">
        <v>30</v>
      </c>
      <c r="F1868">
        <v>10</v>
      </c>
      <c r="G1868">
        <v>0</v>
      </c>
      <c r="H1868">
        <v>5</v>
      </c>
      <c r="I1868">
        <v>3</v>
      </c>
      <c r="J1868">
        <v>2019</v>
      </c>
      <c r="K1868">
        <v>2</v>
      </c>
      <c r="L1868">
        <v>276</v>
      </c>
      <c r="M1868" t="s">
        <v>16</v>
      </c>
      <c r="N1868">
        <f t="shared" si="87"/>
        <v>69.619</v>
      </c>
      <c r="O1868" t="str">
        <f t="shared" si="88"/>
        <v>February</v>
      </c>
      <c r="P1868" t="str">
        <f t="shared" si="89"/>
        <v>Weekday</v>
      </c>
    </row>
    <row r="1869" spans="1:16" x14ac:dyDescent="0.3">
      <c r="A1869" s="1">
        <v>43508</v>
      </c>
      <c r="B1869">
        <v>6.66</v>
      </c>
      <c r="C1869">
        <v>3.34</v>
      </c>
      <c r="D1869">
        <v>0</v>
      </c>
      <c r="E1869">
        <v>34.6</v>
      </c>
      <c r="F1869">
        <v>8.1999999999999993</v>
      </c>
      <c r="G1869">
        <v>0</v>
      </c>
      <c r="H1869">
        <v>6</v>
      </c>
      <c r="I1869">
        <v>0.5</v>
      </c>
      <c r="J1869">
        <v>2019</v>
      </c>
      <c r="K1869">
        <v>2</v>
      </c>
      <c r="L1869">
        <v>276</v>
      </c>
      <c r="M1869" t="s">
        <v>17</v>
      </c>
      <c r="N1869">
        <f t="shared" si="87"/>
        <v>59.3</v>
      </c>
      <c r="O1869" t="str">
        <f t="shared" si="88"/>
        <v>February</v>
      </c>
      <c r="P1869" t="str">
        <f t="shared" si="89"/>
        <v>Weekday</v>
      </c>
    </row>
    <row r="1870" spans="1:16" x14ac:dyDescent="0.3">
      <c r="A1870" s="1">
        <v>43509</v>
      </c>
      <c r="B1870">
        <v>4</v>
      </c>
      <c r="C1870">
        <v>4.01</v>
      </c>
      <c r="D1870">
        <v>1</v>
      </c>
      <c r="E1870">
        <v>27.2</v>
      </c>
      <c r="F1870">
        <v>16</v>
      </c>
      <c r="G1870">
        <v>0</v>
      </c>
      <c r="H1870">
        <v>8</v>
      </c>
      <c r="I1870">
        <v>2</v>
      </c>
      <c r="J1870">
        <v>2019</v>
      </c>
      <c r="K1870">
        <v>2</v>
      </c>
      <c r="L1870">
        <v>276</v>
      </c>
      <c r="M1870" t="s">
        <v>18</v>
      </c>
      <c r="N1870">
        <f t="shared" si="87"/>
        <v>62.21</v>
      </c>
      <c r="O1870" t="str">
        <f t="shared" si="88"/>
        <v>February</v>
      </c>
      <c r="P1870" t="str">
        <f t="shared" si="89"/>
        <v>Weekday</v>
      </c>
    </row>
    <row r="1871" spans="1:16" x14ac:dyDescent="0.3">
      <c r="A1871" s="1">
        <v>43510</v>
      </c>
      <c r="B1871">
        <v>2.33</v>
      </c>
      <c r="C1871">
        <v>6.5170000000000003</v>
      </c>
      <c r="D1871">
        <v>3.15</v>
      </c>
      <c r="E1871">
        <v>54.5</v>
      </c>
      <c r="F1871">
        <v>9</v>
      </c>
      <c r="G1871">
        <v>0</v>
      </c>
      <c r="H1871">
        <v>7</v>
      </c>
      <c r="I1871">
        <v>3</v>
      </c>
      <c r="J1871">
        <v>2019</v>
      </c>
      <c r="K1871">
        <v>2</v>
      </c>
      <c r="L1871">
        <v>276</v>
      </c>
      <c r="M1871" t="s">
        <v>12</v>
      </c>
      <c r="N1871">
        <f t="shared" si="87"/>
        <v>85.497</v>
      </c>
      <c r="O1871" t="str">
        <f t="shared" si="88"/>
        <v>February</v>
      </c>
      <c r="P1871" t="str">
        <f t="shared" si="89"/>
        <v>Weekday</v>
      </c>
    </row>
    <row r="1872" spans="1:16" x14ac:dyDescent="0.3">
      <c r="A1872" s="1">
        <v>43511</v>
      </c>
      <c r="B1872">
        <v>5.34</v>
      </c>
      <c r="C1872">
        <v>5</v>
      </c>
      <c r="D1872">
        <v>12.5</v>
      </c>
      <c r="E1872">
        <v>52.05</v>
      </c>
      <c r="F1872">
        <v>16</v>
      </c>
      <c r="G1872">
        <v>0</v>
      </c>
      <c r="H1872">
        <v>3</v>
      </c>
      <c r="I1872">
        <v>2</v>
      </c>
      <c r="J1872">
        <v>2019</v>
      </c>
      <c r="K1872">
        <v>2</v>
      </c>
      <c r="L1872">
        <v>276</v>
      </c>
      <c r="M1872" t="s">
        <v>13</v>
      </c>
      <c r="N1872">
        <f t="shared" si="87"/>
        <v>95.89</v>
      </c>
      <c r="O1872" t="str">
        <f t="shared" si="88"/>
        <v>February</v>
      </c>
      <c r="P1872" t="str">
        <f t="shared" si="89"/>
        <v>Weekday</v>
      </c>
    </row>
    <row r="1873" spans="1:16" x14ac:dyDescent="0.3">
      <c r="A1873" s="1">
        <v>43512</v>
      </c>
      <c r="B1873">
        <v>6.34</v>
      </c>
      <c r="C1873">
        <v>6.02</v>
      </c>
      <c r="D1873">
        <v>5</v>
      </c>
      <c r="E1873">
        <v>36.4</v>
      </c>
      <c r="F1873">
        <v>8</v>
      </c>
      <c r="G1873">
        <v>0</v>
      </c>
      <c r="H1873">
        <v>6</v>
      </c>
      <c r="I1873">
        <v>3</v>
      </c>
      <c r="J1873">
        <v>2019</v>
      </c>
      <c r="K1873">
        <v>2</v>
      </c>
      <c r="L1873">
        <v>276</v>
      </c>
      <c r="M1873" t="s">
        <v>14</v>
      </c>
      <c r="N1873">
        <f t="shared" si="87"/>
        <v>70.759999999999991</v>
      </c>
      <c r="O1873" t="str">
        <f t="shared" si="88"/>
        <v>February</v>
      </c>
      <c r="P1873" t="str">
        <f t="shared" si="89"/>
        <v>Weekend</v>
      </c>
    </row>
    <row r="1874" spans="1:16" x14ac:dyDescent="0.3">
      <c r="A1874" s="1">
        <v>43513</v>
      </c>
      <c r="B1874">
        <v>2.34</v>
      </c>
      <c r="C1874">
        <v>4.4160000000000004</v>
      </c>
      <c r="D1874">
        <v>4</v>
      </c>
      <c r="E1874">
        <v>15.162000000000001</v>
      </c>
      <c r="F1874">
        <v>11.2</v>
      </c>
      <c r="G1874">
        <v>0</v>
      </c>
      <c r="H1874">
        <v>0</v>
      </c>
      <c r="I1874">
        <v>3.1</v>
      </c>
      <c r="J1874">
        <v>2019</v>
      </c>
      <c r="K1874">
        <v>2</v>
      </c>
      <c r="L1874">
        <v>276</v>
      </c>
      <c r="M1874" t="s">
        <v>15</v>
      </c>
      <c r="N1874">
        <f t="shared" si="87"/>
        <v>40.217999999999996</v>
      </c>
      <c r="O1874" t="str">
        <f t="shared" si="88"/>
        <v>February</v>
      </c>
      <c r="P1874" t="str">
        <f t="shared" si="89"/>
        <v>Weekend</v>
      </c>
    </row>
    <row r="1875" spans="1:16" x14ac:dyDescent="0.3">
      <c r="A1875" s="1">
        <v>43514</v>
      </c>
      <c r="B1875">
        <v>3.34</v>
      </c>
      <c r="C1875">
        <v>2.0760000000000001</v>
      </c>
      <c r="D1875">
        <v>3.6</v>
      </c>
      <c r="E1875">
        <v>27.4</v>
      </c>
      <c r="F1875">
        <v>7</v>
      </c>
      <c r="G1875">
        <v>0</v>
      </c>
      <c r="H1875">
        <v>10</v>
      </c>
      <c r="I1875">
        <v>0</v>
      </c>
      <c r="J1875">
        <v>2019</v>
      </c>
      <c r="K1875">
        <v>2</v>
      </c>
      <c r="L1875">
        <v>276</v>
      </c>
      <c r="M1875" t="s">
        <v>16</v>
      </c>
      <c r="N1875">
        <f t="shared" si="87"/>
        <v>53.415999999999997</v>
      </c>
      <c r="O1875" t="str">
        <f t="shared" si="88"/>
        <v>February</v>
      </c>
      <c r="P1875" t="str">
        <f t="shared" si="89"/>
        <v>Weekday</v>
      </c>
    </row>
    <row r="1876" spans="1:16" x14ac:dyDescent="0.3">
      <c r="A1876" s="1">
        <v>43515</v>
      </c>
      <c r="B1876">
        <v>3.33</v>
      </c>
      <c r="C1876">
        <v>4.33</v>
      </c>
      <c r="D1876">
        <v>1.5</v>
      </c>
      <c r="E1876">
        <v>27.4</v>
      </c>
      <c r="F1876">
        <v>15</v>
      </c>
      <c r="G1876">
        <v>2</v>
      </c>
      <c r="H1876">
        <v>6</v>
      </c>
      <c r="I1876">
        <v>3</v>
      </c>
      <c r="J1876">
        <v>2019</v>
      </c>
      <c r="K1876">
        <v>2</v>
      </c>
      <c r="L1876">
        <v>276</v>
      </c>
      <c r="M1876" t="s">
        <v>17</v>
      </c>
      <c r="N1876">
        <f t="shared" si="87"/>
        <v>62.56</v>
      </c>
      <c r="O1876" t="str">
        <f t="shared" si="88"/>
        <v>February</v>
      </c>
      <c r="P1876" t="str">
        <f t="shared" si="89"/>
        <v>Weekday</v>
      </c>
    </row>
    <row r="1877" spans="1:16" x14ac:dyDescent="0.3">
      <c r="A1877" s="1">
        <v>43516</v>
      </c>
      <c r="B1877">
        <v>2.34</v>
      </c>
      <c r="C1877">
        <v>4.7789999999999999</v>
      </c>
      <c r="D1877">
        <v>3.3</v>
      </c>
      <c r="E1877">
        <v>30.6</v>
      </c>
      <c r="F1877">
        <v>14</v>
      </c>
      <c r="G1877">
        <v>0</v>
      </c>
      <c r="H1877">
        <v>7</v>
      </c>
      <c r="I1877">
        <v>3</v>
      </c>
      <c r="J1877">
        <v>2019</v>
      </c>
      <c r="K1877">
        <v>2</v>
      </c>
      <c r="L1877">
        <v>276</v>
      </c>
      <c r="M1877" t="s">
        <v>18</v>
      </c>
      <c r="N1877">
        <f t="shared" si="87"/>
        <v>65.019000000000005</v>
      </c>
      <c r="O1877" t="str">
        <f t="shared" si="88"/>
        <v>February</v>
      </c>
      <c r="P1877" t="str">
        <f t="shared" si="89"/>
        <v>Weekday</v>
      </c>
    </row>
    <row r="1878" spans="1:16" x14ac:dyDescent="0.3">
      <c r="A1878" s="1">
        <v>43517</v>
      </c>
      <c r="B1878">
        <v>1.66</v>
      </c>
      <c r="C1878">
        <v>5</v>
      </c>
      <c r="D1878">
        <v>2.1</v>
      </c>
      <c r="E1878">
        <v>45.4</v>
      </c>
      <c r="F1878">
        <v>15</v>
      </c>
      <c r="G1878">
        <v>1</v>
      </c>
      <c r="H1878">
        <v>5</v>
      </c>
      <c r="I1878">
        <v>2</v>
      </c>
      <c r="J1878">
        <v>2019</v>
      </c>
      <c r="K1878">
        <v>2</v>
      </c>
      <c r="L1878">
        <v>276</v>
      </c>
      <c r="M1878" t="s">
        <v>12</v>
      </c>
      <c r="N1878">
        <f t="shared" si="87"/>
        <v>77.16</v>
      </c>
      <c r="O1878" t="str">
        <f t="shared" si="88"/>
        <v>February</v>
      </c>
      <c r="P1878" t="str">
        <f t="shared" si="89"/>
        <v>Weekday</v>
      </c>
    </row>
    <row r="1879" spans="1:16" x14ac:dyDescent="0.3">
      <c r="A1879" s="1">
        <v>43518</v>
      </c>
      <c r="B1879">
        <v>2.33</v>
      </c>
      <c r="C1879">
        <v>2</v>
      </c>
      <c r="D1879">
        <v>1.2</v>
      </c>
      <c r="E1879">
        <v>16</v>
      </c>
      <c r="F1879">
        <v>5</v>
      </c>
      <c r="G1879">
        <v>0</v>
      </c>
      <c r="H1879">
        <v>1</v>
      </c>
      <c r="I1879">
        <v>2</v>
      </c>
      <c r="J1879">
        <v>2019</v>
      </c>
      <c r="K1879">
        <v>2</v>
      </c>
      <c r="L1879">
        <v>276</v>
      </c>
      <c r="M1879" t="s">
        <v>13</v>
      </c>
      <c r="N1879">
        <f t="shared" si="87"/>
        <v>29.53</v>
      </c>
      <c r="O1879" t="str">
        <f t="shared" si="88"/>
        <v>February</v>
      </c>
      <c r="P1879" t="str">
        <f t="shared" si="89"/>
        <v>Weekday</v>
      </c>
    </row>
    <row r="1880" spans="1:16" x14ac:dyDescent="0.3">
      <c r="A1880" s="1">
        <v>43519</v>
      </c>
      <c r="B1880">
        <v>5.01</v>
      </c>
      <c r="C1880">
        <v>2.44</v>
      </c>
      <c r="D1880">
        <v>3.2</v>
      </c>
      <c r="E1880">
        <v>38.200000000000003</v>
      </c>
      <c r="F1880">
        <v>13</v>
      </c>
      <c r="G1880">
        <v>0</v>
      </c>
      <c r="H1880">
        <v>0</v>
      </c>
      <c r="I1880">
        <v>1.3</v>
      </c>
      <c r="J1880">
        <v>2019</v>
      </c>
      <c r="K1880">
        <v>2</v>
      </c>
      <c r="L1880">
        <v>276</v>
      </c>
      <c r="M1880" t="s">
        <v>14</v>
      </c>
      <c r="N1880">
        <f t="shared" si="87"/>
        <v>63.15</v>
      </c>
      <c r="O1880" t="str">
        <f t="shared" si="88"/>
        <v>February</v>
      </c>
      <c r="P1880" t="str">
        <f t="shared" si="89"/>
        <v>Weekend</v>
      </c>
    </row>
    <row r="1881" spans="1:16" x14ac:dyDescent="0.3">
      <c r="A1881" s="1">
        <v>43520</v>
      </c>
      <c r="B1881">
        <v>4.34</v>
      </c>
      <c r="C1881">
        <v>4.01</v>
      </c>
      <c r="D1881">
        <v>1.5</v>
      </c>
      <c r="E1881">
        <v>19</v>
      </c>
      <c r="F1881">
        <v>2</v>
      </c>
      <c r="G1881">
        <v>0</v>
      </c>
      <c r="H1881">
        <v>2</v>
      </c>
      <c r="I1881">
        <v>2</v>
      </c>
      <c r="J1881">
        <v>2019</v>
      </c>
      <c r="K1881">
        <v>2</v>
      </c>
      <c r="L1881">
        <v>276</v>
      </c>
      <c r="M1881" t="s">
        <v>15</v>
      </c>
      <c r="N1881">
        <f t="shared" si="87"/>
        <v>34.85</v>
      </c>
      <c r="O1881" t="str">
        <f t="shared" si="88"/>
        <v>February</v>
      </c>
      <c r="P1881" t="str">
        <f t="shared" si="89"/>
        <v>Weekend</v>
      </c>
    </row>
    <row r="1882" spans="1:16" x14ac:dyDescent="0.3">
      <c r="A1882" s="1">
        <v>43521</v>
      </c>
      <c r="B1882">
        <v>5.34</v>
      </c>
      <c r="C1882">
        <v>1.423</v>
      </c>
      <c r="D1882">
        <v>3</v>
      </c>
      <c r="E1882">
        <v>25.2</v>
      </c>
      <c r="F1882">
        <v>4</v>
      </c>
      <c r="G1882">
        <v>2</v>
      </c>
      <c r="H1882">
        <v>2</v>
      </c>
      <c r="I1882">
        <v>3</v>
      </c>
      <c r="J1882">
        <v>2019</v>
      </c>
      <c r="K1882">
        <v>2</v>
      </c>
      <c r="L1882">
        <v>276</v>
      </c>
      <c r="M1882" t="s">
        <v>16</v>
      </c>
      <c r="N1882">
        <f t="shared" si="87"/>
        <v>45.963000000000001</v>
      </c>
      <c r="O1882" t="str">
        <f t="shared" si="88"/>
        <v>February</v>
      </c>
      <c r="P1882" t="str">
        <f t="shared" si="89"/>
        <v>Weekday</v>
      </c>
    </row>
    <row r="1883" spans="1:16" x14ac:dyDescent="0.3">
      <c r="A1883" s="1">
        <v>43522</v>
      </c>
      <c r="B1883">
        <v>2.33</v>
      </c>
      <c r="C1883">
        <v>3.83</v>
      </c>
      <c r="D1883">
        <v>5.15</v>
      </c>
      <c r="E1883">
        <v>27</v>
      </c>
      <c r="F1883">
        <v>8</v>
      </c>
      <c r="G1883">
        <v>0</v>
      </c>
      <c r="H1883">
        <v>3</v>
      </c>
      <c r="I1883">
        <v>3</v>
      </c>
      <c r="J1883">
        <v>2019</v>
      </c>
      <c r="K1883">
        <v>2</v>
      </c>
      <c r="L1883">
        <v>276</v>
      </c>
      <c r="M1883" t="s">
        <v>17</v>
      </c>
      <c r="N1883">
        <f t="shared" si="87"/>
        <v>52.31</v>
      </c>
      <c r="O1883" t="str">
        <f t="shared" si="88"/>
        <v>February</v>
      </c>
      <c r="P1883" t="str">
        <f t="shared" si="89"/>
        <v>Weekday</v>
      </c>
    </row>
    <row r="1884" spans="1:16" x14ac:dyDescent="0.3">
      <c r="A1884" s="1">
        <v>43523</v>
      </c>
      <c r="B1884">
        <v>5</v>
      </c>
      <c r="C1884">
        <v>0.67</v>
      </c>
      <c r="D1884">
        <v>1.2</v>
      </c>
      <c r="E1884">
        <v>13.4</v>
      </c>
      <c r="F1884">
        <v>9</v>
      </c>
      <c r="G1884">
        <v>0</v>
      </c>
      <c r="H1884">
        <v>1</v>
      </c>
      <c r="I1884">
        <v>7.5</v>
      </c>
      <c r="J1884">
        <v>2019</v>
      </c>
      <c r="K1884">
        <v>2</v>
      </c>
      <c r="L1884">
        <v>276</v>
      </c>
      <c r="M1884" t="s">
        <v>18</v>
      </c>
      <c r="N1884">
        <f t="shared" si="87"/>
        <v>37.769999999999996</v>
      </c>
      <c r="O1884" t="str">
        <f t="shared" si="88"/>
        <v>February</v>
      </c>
      <c r="P1884" t="str">
        <f t="shared" si="89"/>
        <v>Weekday</v>
      </c>
    </row>
    <row r="1885" spans="1:16" x14ac:dyDescent="0.3">
      <c r="A1885" s="1">
        <v>43524</v>
      </c>
      <c r="B1885">
        <v>0.67</v>
      </c>
      <c r="C1885">
        <v>3.33</v>
      </c>
      <c r="D1885">
        <v>4</v>
      </c>
      <c r="E1885">
        <v>34</v>
      </c>
      <c r="F1885">
        <v>2</v>
      </c>
      <c r="G1885">
        <v>1</v>
      </c>
      <c r="H1885">
        <v>35</v>
      </c>
      <c r="I1885">
        <v>3</v>
      </c>
      <c r="J1885">
        <v>2019</v>
      </c>
      <c r="K1885">
        <v>2</v>
      </c>
      <c r="L1885">
        <v>276</v>
      </c>
      <c r="M1885" t="s">
        <v>12</v>
      </c>
      <c r="N1885">
        <f t="shared" si="87"/>
        <v>83</v>
      </c>
      <c r="O1885" t="str">
        <f t="shared" si="88"/>
        <v>February</v>
      </c>
      <c r="P1885" t="str">
        <f t="shared" si="89"/>
        <v>Weekday</v>
      </c>
    </row>
    <row r="1886" spans="1:16" x14ac:dyDescent="0.3">
      <c r="A1886" s="1">
        <v>43525</v>
      </c>
      <c r="B1886">
        <v>1.33</v>
      </c>
      <c r="C1886">
        <v>3.8210000000000002</v>
      </c>
      <c r="D1886">
        <v>2.5</v>
      </c>
      <c r="E1886">
        <v>22.2</v>
      </c>
      <c r="F1886">
        <v>12</v>
      </c>
      <c r="G1886">
        <v>0</v>
      </c>
      <c r="H1886">
        <v>6</v>
      </c>
      <c r="I1886">
        <v>2</v>
      </c>
      <c r="J1886">
        <v>2019</v>
      </c>
      <c r="K1886">
        <v>3</v>
      </c>
      <c r="L1886">
        <v>276</v>
      </c>
      <c r="M1886" t="s">
        <v>13</v>
      </c>
      <c r="N1886">
        <f t="shared" si="87"/>
        <v>49.850999999999999</v>
      </c>
      <c r="O1886" t="str">
        <f t="shared" si="88"/>
        <v>March</v>
      </c>
      <c r="P1886" t="str">
        <f t="shared" si="89"/>
        <v>Weekday</v>
      </c>
    </row>
    <row r="1887" spans="1:16" x14ac:dyDescent="0.3">
      <c r="A1887" s="1">
        <v>43526</v>
      </c>
      <c r="B1887">
        <v>4.01</v>
      </c>
      <c r="C1887">
        <v>1.33</v>
      </c>
      <c r="D1887">
        <v>4</v>
      </c>
      <c r="E1887">
        <v>46</v>
      </c>
      <c r="F1887">
        <v>9</v>
      </c>
      <c r="G1887">
        <v>3</v>
      </c>
      <c r="H1887">
        <v>0</v>
      </c>
      <c r="I1887">
        <v>5</v>
      </c>
      <c r="J1887">
        <v>2019</v>
      </c>
      <c r="K1887">
        <v>3</v>
      </c>
      <c r="L1887">
        <v>276</v>
      </c>
      <c r="M1887" t="s">
        <v>14</v>
      </c>
      <c r="N1887">
        <f t="shared" si="87"/>
        <v>72.34</v>
      </c>
      <c r="O1887" t="str">
        <f t="shared" si="88"/>
        <v>March</v>
      </c>
      <c r="P1887" t="str">
        <f t="shared" si="89"/>
        <v>Weekend</v>
      </c>
    </row>
    <row r="1888" spans="1:16" x14ac:dyDescent="0.3">
      <c r="A1888" s="1">
        <v>43527</v>
      </c>
      <c r="B1888">
        <v>8</v>
      </c>
      <c r="C1888">
        <v>4.01</v>
      </c>
      <c r="D1888">
        <v>1</v>
      </c>
      <c r="E1888">
        <v>20</v>
      </c>
      <c r="F1888">
        <v>5</v>
      </c>
      <c r="G1888">
        <v>0</v>
      </c>
      <c r="H1888">
        <v>10</v>
      </c>
      <c r="I1888">
        <v>0.4</v>
      </c>
      <c r="J1888">
        <v>2019</v>
      </c>
      <c r="K1888">
        <v>3</v>
      </c>
      <c r="L1888">
        <v>276</v>
      </c>
      <c r="M1888" t="s">
        <v>15</v>
      </c>
      <c r="N1888">
        <f t="shared" si="87"/>
        <v>48.41</v>
      </c>
      <c r="O1888" t="str">
        <f t="shared" si="88"/>
        <v>March</v>
      </c>
      <c r="P1888" t="str">
        <f t="shared" si="89"/>
        <v>Weekend</v>
      </c>
    </row>
    <row r="1889" spans="1:16" x14ac:dyDescent="0.3">
      <c r="A1889" s="1">
        <v>43528</v>
      </c>
      <c r="B1889">
        <v>5.33</v>
      </c>
      <c r="C1889">
        <v>2.67</v>
      </c>
      <c r="D1889">
        <v>7</v>
      </c>
      <c r="E1889">
        <v>41</v>
      </c>
      <c r="F1889">
        <v>3</v>
      </c>
      <c r="G1889">
        <v>0</v>
      </c>
      <c r="H1889">
        <v>5</v>
      </c>
      <c r="I1889">
        <v>2</v>
      </c>
      <c r="J1889">
        <v>2019</v>
      </c>
      <c r="K1889">
        <v>3</v>
      </c>
      <c r="L1889">
        <v>276</v>
      </c>
      <c r="M1889" t="s">
        <v>16</v>
      </c>
      <c r="N1889">
        <f t="shared" si="87"/>
        <v>66</v>
      </c>
      <c r="O1889" t="str">
        <f t="shared" si="88"/>
        <v>March</v>
      </c>
      <c r="P1889" t="str">
        <f t="shared" si="89"/>
        <v>Weekday</v>
      </c>
    </row>
    <row r="1890" spans="1:16" x14ac:dyDescent="0.3">
      <c r="A1890" s="1">
        <v>43529</v>
      </c>
      <c r="B1890">
        <v>3.01</v>
      </c>
      <c r="C1890">
        <v>2.33</v>
      </c>
      <c r="D1890">
        <v>0.2</v>
      </c>
      <c r="E1890">
        <v>20</v>
      </c>
      <c r="F1890">
        <v>8</v>
      </c>
      <c r="G1890">
        <v>3</v>
      </c>
      <c r="H1890">
        <v>6</v>
      </c>
      <c r="I1890">
        <v>5.3</v>
      </c>
      <c r="J1890">
        <v>2019</v>
      </c>
      <c r="K1890">
        <v>3</v>
      </c>
      <c r="L1890">
        <v>276</v>
      </c>
      <c r="M1890" t="s">
        <v>17</v>
      </c>
      <c r="N1890">
        <f t="shared" si="87"/>
        <v>47.839999999999996</v>
      </c>
      <c r="O1890" t="str">
        <f t="shared" si="88"/>
        <v>March</v>
      </c>
      <c r="P1890" t="str">
        <f t="shared" si="89"/>
        <v>Weekday</v>
      </c>
    </row>
    <row r="1891" spans="1:16" x14ac:dyDescent="0.3">
      <c r="A1891" s="1">
        <v>43530</v>
      </c>
      <c r="B1891">
        <v>0.34</v>
      </c>
      <c r="C1891">
        <v>1.3959999999999999</v>
      </c>
      <c r="D1891">
        <v>0.7</v>
      </c>
      <c r="E1891">
        <v>31</v>
      </c>
      <c r="F1891">
        <v>17</v>
      </c>
      <c r="G1891">
        <v>1</v>
      </c>
      <c r="H1891">
        <v>5</v>
      </c>
      <c r="I1891">
        <v>3</v>
      </c>
      <c r="J1891">
        <v>2019</v>
      </c>
      <c r="K1891">
        <v>3</v>
      </c>
      <c r="L1891">
        <v>276</v>
      </c>
      <c r="M1891" t="s">
        <v>18</v>
      </c>
      <c r="N1891">
        <f t="shared" si="87"/>
        <v>59.436</v>
      </c>
      <c r="O1891" t="str">
        <f t="shared" si="88"/>
        <v>March</v>
      </c>
      <c r="P1891" t="str">
        <f t="shared" si="89"/>
        <v>Weekday</v>
      </c>
    </row>
    <row r="1892" spans="1:16" x14ac:dyDescent="0.3">
      <c r="A1892" s="1">
        <v>43531</v>
      </c>
      <c r="B1892">
        <v>7.33</v>
      </c>
      <c r="C1892">
        <v>2.0760000000000001</v>
      </c>
      <c r="D1892">
        <v>4.25</v>
      </c>
      <c r="E1892">
        <v>10</v>
      </c>
      <c r="F1892">
        <v>24</v>
      </c>
      <c r="G1892">
        <v>0</v>
      </c>
      <c r="H1892">
        <v>0</v>
      </c>
      <c r="I1892">
        <v>4</v>
      </c>
      <c r="J1892">
        <v>2019</v>
      </c>
      <c r="K1892">
        <v>3</v>
      </c>
      <c r="L1892">
        <v>276</v>
      </c>
      <c r="M1892" t="s">
        <v>12</v>
      </c>
      <c r="N1892">
        <f t="shared" si="87"/>
        <v>51.655999999999999</v>
      </c>
      <c r="O1892" t="str">
        <f t="shared" si="88"/>
        <v>March</v>
      </c>
      <c r="P1892" t="str">
        <f t="shared" si="89"/>
        <v>Weekday</v>
      </c>
    </row>
    <row r="1893" spans="1:16" x14ac:dyDescent="0.3">
      <c r="A1893" s="1">
        <v>43532</v>
      </c>
      <c r="B1893">
        <v>2.33</v>
      </c>
      <c r="C1893">
        <v>3.34</v>
      </c>
      <c r="D1893">
        <v>0.2</v>
      </c>
      <c r="E1893">
        <v>33.700000000000003</v>
      </c>
      <c r="F1893">
        <v>4</v>
      </c>
      <c r="G1893">
        <v>1</v>
      </c>
      <c r="H1893">
        <v>0</v>
      </c>
      <c r="I1893">
        <v>4.3</v>
      </c>
      <c r="J1893">
        <v>2019</v>
      </c>
      <c r="K1893">
        <v>3</v>
      </c>
      <c r="L1893">
        <v>276</v>
      </c>
      <c r="M1893" t="s">
        <v>13</v>
      </c>
      <c r="N1893">
        <f t="shared" si="87"/>
        <v>48.87</v>
      </c>
      <c r="O1893" t="str">
        <f t="shared" si="88"/>
        <v>March</v>
      </c>
      <c r="P1893" t="str">
        <f t="shared" si="89"/>
        <v>Weekday</v>
      </c>
    </row>
    <row r="1894" spans="1:16" x14ac:dyDescent="0.3">
      <c r="A1894" s="1">
        <v>43533</v>
      </c>
      <c r="B1894">
        <v>6.34</v>
      </c>
      <c r="C1894">
        <v>1.67</v>
      </c>
      <c r="D1894">
        <v>4</v>
      </c>
      <c r="E1894">
        <v>45.2</v>
      </c>
      <c r="F1894">
        <v>11</v>
      </c>
      <c r="G1894">
        <v>0</v>
      </c>
      <c r="H1894">
        <v>7</v>
      </c>
      <c r="I1894">
        <v>5</v>
      </c>
      <c r="J1894">
        <v>2019</v>
      </c>
      <c r="K1894">
        <v>3</v>
      </c>
      <c r="L1894">
        <v>276</v>
      </c>
      <c r="M1894" t="s">
        <v>14</v>
      </c>
      <c r="N1894">
        <f t="shared" si="87"/>
        <v>80.210000000000008</v>
      </c>
      <c r="O1894" t="str">
        <f t="shared" si="88"/>
        <v>March</v>
      </c>
      <c r="P1894" t="str">
        <f t="shared" si="89"/>
        <v>Weekend</v>
      </c>
    </row>
    <row r="1895" spans="1:16" x14ac:dyDescent="0.3">
      <c r="A1895" s="1">
        <v>43534</v>
      </c>
      <c r="B1895">
        <v>5.83</v>
      </c>
      <c r="C1895">
        <v>3.0870000000000002</v>
      </c>
      <c r="D1895">
        <v>5.35</v>
      </c>
      <c r="E1895">
        <v>51</v>
      </c>
      <c r="F1895">
        <v>5</v>
      </c>
      <c r="G1895">
        <v>0</v>
      </c>
      <c r="H1895">
        <v>3</v>
      </c>
      <c r="I1895">
        <v>9</v>
      </c>
      <c r="J1895">
        <v>2019</v>
      </c>
      <c r="K1895">
        <v>3</v>
      </c>
      <c r="L1895">
        <v>276</v>
      </c>
      <c r="M1895" t="s">
        <v>15</v>
      </c>
      <c r="N1895">
        <f t="shared" si="87"/>
        <v>82.266999999999996</v>
      </c>
      <c r="O1895" t="str">
        <f t="shared" si="88"/>
        <v>March</v>
      </c>
      <c r="P1895" t="str">
        <f t="shared" si="89"/>
        <v>Weekend</v>
      </c>
    </row>
    <row r="1896" spans="1:16" x14ac:dyDescent="0.3">
      <c r="A1896" s="1">
        <v>43535</v>
      </c>
      <c r="B1896">
        <v>14.66</v>
      </c>
      <c r="C1896">
        <v>3.67</v>
      </c>
      <c r="D1896">
        <v>2.5</v>
      </c>
      <c r="E1896">
        <v>26.4</v>
      </c>
      <c r="F1896">
        <v>10</v>
      </c>
      <c r="G1896">
        <v>3</v>
      </c>
      <c r="H1896">
        <v>11</v>
      </c>
      <c r="I1896">
        <v>3</v>
      </c>
      <c r="J1896">
        <v>2019</v>
      </c>
      <c r="K1896">
        <v>3</v>
      </c>
      <c r="L1896">
        <v>276</v>
      </c>
      <c r="M1896" t="s">
        <v>16</v>
      </c>
      <c r="N1896">
        <f t="shared" si="87"/>
        <v>74.22999999999999</v>
      </c>
      <c r="O1896" t="str">
        <f t="shared" si="88"/>
        <v>March</v>
      </c>
      <c r="P1896" t="str">
        <f t="shared" si="89"/>
        <v>Weekday</v>
      </c>
    </row>
    <row r="1897" spans="1:16" x14ac:dyDescent="0.3">
      <c r="A1897" s="1">
        <v>43536</v>
      </c>
      <c r="B1897">
        <v>4.33</v>
      </c>
      <c r="C1897">
        <v>3.3730000000000002</v>
      </c>
      <c r="D1897">
        <v>1.5</v>
      </c>
      <c r="E1897">
        <v>31.85</v>
      </c>
      <c r="F1897">
        <v>12</v>
      </c>
      <c r="G1897">
        <v>0</v>
      </c>
      <c r="H1897">
        <v>7</v>
      </c>
      <c r="I1897">
        <v>2</v>
      </c>
      <c r="J1897">
        <v>2019</v>
      </c>
      <c r="K1897">
        <v>3</v>
      </c>
      <c r="L1897">
        <v>276</v>
      </c>
      <c r="M1897" t="s">
        <v>17</v>
      </c>
      <c r="N1897">
        <f t="shared" si="87"/>
        <v>62.052999999999997</v>
      </c>
      <c r="O1897" t="str">
        <f t="shared" si="88"/>
        <v>March</v>
      </c>
      <c r="P1897" t="str">
        <f t="shared" si="89"/>
        <v>Weekday</v>
      </c>
    </row>
    <row r="1898" spans="1:16" x14ac:dyDescent="0.3">
      <c r="A1898" s="1">
        <v>43537</v>
      </c>
      <c r="B1898">
        <v>2.67</v>
      </c>
      <c r="C1898">
        <v>4.34</v>
      </c>
      <c r="D1898">
        <v>6</v>
      </c>
      <c r="E1898">
        <v>22</v>
      </c>
      <c r="F1898">
        <v>10</v>
      </c>
      <c r="G1898">
        <v>0</v>
      </c>
      <c r="H1898">
        <v>8</v>
      </c>
      <c r="I1898">
        <v>4</v>
      </c>
      <c r="J1898">
        <v>2019</v>
      </c>
      <c r="K1898">
        <v>3</v>
      </c>
      <c r="L1898">
        <v>276</v>
      </c>
      <c r="M1898" t="s">
        <v>18</v>
      </c>
      <c r="N1898">
        <f t="shared" si="87"/>
        <v>57.01</v>
      </c>
      <c r="O1898" t="str">
        <f t="shared" si="88"/>
        <v>March</v>
      </c>
      <c r="P1898" t="str">
        <f t="shared" si="89"/>
        <v>Weekday</v>
      </c>
    </row>
    <row r="1899" spans="1:16" x14ac:dyDescent="0.3">
      <c r="A1899" s="1">
        <v>43538</v>
      </c>
      <c r="B1899">
        <v>4</v>
      </c>
      <c r="C1899">
        <v>5.67</v>
      </c>
      <c r="D1899">
        <v>0.2</v>
      </c>
      <c r="E1899">
        <v>47.2</v>
      </c>
      <c r="F1899">
        <v>12</v>
      </c>
      <c r="G1899">
        <v>1</v>
      </c>
      <c r="H1899">
        <v>27</v>
      </c>
      <c r="I1899">
        <v>6</v>
      </c>
      <c r="J1899">
        <v>2019</v>
      </c>
      <c r="K1899">
        <v>3</v>
      </c>
      <c r="L1899">
        <v>276</v>
      </c>
      <c r="M1899" t="s">
        <v>12</v>
      </c>
      <c r="N1899">
        <f t="shared" si="87"/>
        <v>103.07</v>
      </c>
      <c r="O1899" t="str">
        <f t="shared" si="88"/>
        <v>March</v>
      </c>
      <c r="P1899" t="str">
        <f t="shared" si="89"/>
        <v>Weekday</v>
      </c>
    </row>
    <row r="1900" spans="1:16" x14ac:dyDescent="0.3">
      <c r="A1900" s="1">
        <v>43539</v>
      </c>
      <c r="B1900">
        <v>2.83</v>
      </c>
      <c r="C1900">
        <v>1.34</v>
      </c>
      <c r="D1900">
        <v>3</v>
      </c>
      <c r="E1900">
        <v>40</v>
      </c>
      <c r="F1900">
        <v>7</v>
      </c>
      <c r="G1900">
        <v>1</v>
      </c>
      <c r="H1900">
        <v>20</v>
      </c>
      <c r="I1900">
        <v>5</v>
      </c>
      <c r="J1900">
        <v>2019</v>
      </c>
      <c r="K1900">
        <v>3</v>
      </c>
      <c r="L1900">
        <v>276</v>
      </c>
      <c r="M1900" t="s">
        <v>13</v>
      </c>
      <c r="N1900">
        <f t="shared" si="87"/>
        <v>80.17</v>
      </c>
      <c r="O1900" t="str">
        <f t="shared" si="88"/>
        <v>March</v>
      </c>
      <c r="P1900" t="str">
        <f t="shared" si="89"/>
        <v>Weekday</v>
      </c>
    </row>
    <row r="1901" spans="1:16" x14ac:dyDescent="0.3">
      <c r="A1901" s="1">
        <v>43540</v>
      </c>
      <c r="B1901">
        <v>8.34</v>
      </c>
      <c r="C1901">
        <v>0.83699999999999997</v>
      </c>
      <c r="D1901">
        <v>5</v>
      </c>
      <c r="E1901">
        <v>29</v>
      </c>
      <c r="F1901">
        <v>9</v>
      </c>
      <c r="G1901">
        <v>0</v>
      </c>
      <c r="H1901">
        <v>5</v>
      </c>
      <c r="I1901">
        <v>7</v>
      </c>
      <c r="J1901">
        <v>2019</v>
      </c>
      <c r="K1901">
        <v>3</v>
      </c>
      <c r="L1901">
        <v>276</v>
      </c>
      <c r="M1901" t="s">
        <v>14</v>
      </c>
      <c r="N1901">
        <f t="shared" si="87"/>
        <v>64.176999999999992</v>
      </c>
      <c r="O1901" t="str">
        <f t="shared" si="88"/>
        <v>March</v>
      </c>
      <c r="P1901" t="str">
        <f t="shared" si="89"/>
        <v>Weekend</v>
      </c>
    </row>
    <row r="1902" spans="1:16" x14ac:dyDescent="0.3">
      <c r="A1902" s="1">
        <v>43541</v>
      </c>
      <c r="B1902">
        <v>6.68</v>
      </c>
      <c r="C1902">
        <v>3.7229999999999999</v>
      </c>
      <c r="D1902">
        <v>2</v>
      </c>
      <c r="E1902">
        <v>55</v>
      </c>
      <c r="F1902">
        <v>6</v>
      </c>
      <c r="G1902">
        <v>0</v>
      </c>
      <c r="H1902">
        <v>10</v>
      </c>
      <c r="I1902">
        <v>5</v>
      </c>
      <c r="J1902">
        <v>2019</v>
      </c>
      <c r="K1902">
        <v>3</v>
      </c>
      <c r="L1902">
        <v>276</v>
      </c>
      <c r="M1902" t="s">
        <v>15</v>
      </c>
      <c r="N1902">
        <f t="shared" si="87"/>
        <v>88.402999999999992</v>
      </c>
      <c r="O1902" t="str">
        <f t="shared" si="88"/>
        <v>March</v>
      </c>
      <c r="P1902" t="str">
        <f t="shared" si="89"/>
        <v>Weekend</v>
      </c>
    </row>
    <row r="1903" spans="1:16" x14ac:dyDescent="0.3">
      <c r="A1903" s="1">
        <v>43542</v>
      </c>
      <c r="B1903">
        <v>2.33</v>
      </c>
      <c r="C1903">
        <v>0.83499999999999996</v>
      </c>
      <c r="D1903">
        <v>2.1</v>
      </c>
      <c r="E1903">
        <v>23</v>
      </c>
      <c r="F1903">
        <v>11</v>
      </c>
      <c r="G1903">
        <v>0</v>
      </c>
      <c r="H1903">
        <v>1</v>
      </c>
      <c r="I1903">
        <v>9</v>
      </c>
      <c r="J1903">
        <v>2019</v>
      </c>
      <c r="K1903">
        <v>3</v>
      </c>
      <c r="L1903">
        <v>276</v>
      </c>
      <c r="M1903" t="s">
        <v>16</v>
      </c>
      <c r="N1903">
        <f t="shared" si="87"/>
        <v>49.265000000000001</v>
      </c>
      <c r="O1903" t="str">
        <f t="shared" si="88"/>
        <v>March</v>
      </c>
      <c r="P1903" t="str">
        <f t="shared" si="89"/>
        <v>Weekday</v>
      </c>
    </row>
    <row r="1904" spans="1:16" x14ac:dyDescent="0.3">
      <c r="A1904" s="1">
        <v>43543</v>
      </c>
      <c r="B1904">
        <v>9</v>
      </c>
      <c r="C1904">
        <v>3.33</v>
      </c>
      <c r="D1904">
        <v>1.5</v>
      </c>
      <c r="E1904">
        <v>26.2</v>
      </c>
      <c r="F1904">
        <v>10</v>
      </c>
      <c r="G1904">
        <v>1</v>
      </c>
      <c r="H1904">
        <v>2</v>
      </c>
      <c r="I1904">
        <v>8</v>
      </c>
      <c r="J1904">
        <v>2019</v>
      </c>
      <c r="K1904">
        <v>3</v>
      </c>
      <c r="L1904">
        <v>276</v>
      </c>
      <c r="M1904" t="s">
        <v>17</v>
      </c>
      <c r="N1904">
        <f t="shared" si="87"/>
        <v>61.03</v>
      </c>
      <c r="O1904" t="str">
        <f t="shared" si="88"/>
        <v>March</v>
      </c>
      <c r="P1904" t="str">
        <f t="shared" si="89"/>
        <v>Weekday</v>
      </c>
    </row>
    <row r="1905" spans="1:16" x14ac:dyDescent="0.3">
      <c r="A1905" s="1">
        <v>43544</v>
      </c>
      <c r="B1905">
        <v>5.67</v>
      </c>
      <c r="C1905">
        <v>2</v>
      </c>
      <c r="D1905">
        <v>2</v>
      </c>
      <c r="E1905">
        <v>28.9</v>
      </c>
      <c r="F1905">
        <v>8.1999999999999993</v>
      </c>
      <c r="G1905">
        <v>0</v>
      </c>
      <c r="H1905">
        <v>19</v>
      </c>
      <c r="I1905">
        <v>5</v>
      </c>
      <c r="J1905">
        <v>2019</v>
      </c>
      <c r="K1905">
        <v>3</v>
      </c>
      <c r="L1905">
        <v>276</v>
      </c>
      <c r="M1905" t="s">
        <v>18</v>
      </c>
      <c r="N1905">
        <f t="shared" si="87"/>
        <v>70.77</v>
      </c>
      <c r="O1905" t="str">
        <f t="shared" si="88"/>
        <v>March</v>
      </c>
      <c r="P1905" t="str">
        <f t="shared" si="89"/>
        <v>Weekday</v>
      </c>
    </row>
    <row r="1906" spans="1:16" x14ac:dyDescent="0.3">
      <c r="A1906" s="1">
        <v>43545</v>
      </c>
      <c r="B1906">
        <v>2.33</v>
      </c>
      <c r="C1906">
        <v>1.423</v>
      </c>
      <c r="D1906">
        <v>0</v>
      </c>
      <c r="E1906">
        <v>18.8</v>
      </c>
      <c r="F1906">
        <v>13</v>
      </c>
      <c r="G1906">
        <v>0</v>
      </c>
      <c r="H1906">
        <v>6</v>
      </c>
      <c r="I1906">
        <v>5</v>
      </c>
      <c r="J1906">
        <v>2019</v>
      </c>
      <c r="K1906">
        <v>3</v>
      </c>
      <c r="L1906">
        <v>276</v>
      </c>
      <c r="M1906" t="s">
        <v>12</v>
      </c>
      <c r="N1906">
        <f t="shared" si="87"/>
        <v>46.552999999999997</v>
      </c>
      <c r="O1906" t="str">
        <f t="shared" si="88"/>
        <v>March</v>
      </c>
      <c r="P1906" t="str">
        <f t="shared" si="89"/>
        <v>Weekday</v>
      </c>
    </row>
    <row r="1907" spans="1:16" x14ac:dyDescent="0.3">
      <c r="A1907" s="1">
        <v>43546</v>
      </c>
      <c r="B1907">
        <v>4.66</v>
      </c>
      <c r="C1907">
        <v>7.0430000000000001</v>
      </c>
      <c r="D1907">
        <v>1.1000000000000001</v>
      </c>
      <c r="E1907">
        <v>41</v>
      </c>
      <c r="F1907">
        <v>13</v>
      </c>
      <c r="G1907">
        <v>0</v>
      </c>
      <c r="H1907">
        <v>29</v>
      </c>
      <c r="I1907">
        <v>6</v>
      </c>
      <c r="J1907">
        <v>2019</v>
      </c>
      <c r="K1907">
        <v>3</v>
      </c>
      <c r="L1907">
        <v>276</v>
      </c>
      <c r="M1907" t="s">
        <v>13</v>
      </c>
      <c r="N1907">
        <f t="shared" si="87"/>
        <v>101.803</v>
      </c>
      <c r="O1907" t="str">
        <f t="shared" si="88"/>
        <v>March</v>
      </c>
      <c r="P1907" t="str">
        <f t="shared" si="89"/>
        <v>Weekday</v>
      </c>
    </row>
    <row r="1908" spans="1:16" x14ac:dyDescent="0.3">
      <c r="A1908" s="1">
        <v>43547</v>
      </c>
      <c r="B1908">
        <v>6</v>
      </c>
      <c r="C1908">
        <v>3.36</v>
      </c>
      <c r="D1908">
        <v>4.25</v>
      </c>
      <c r="E1908">
        <v>15.5</v>
      </c>
      <c r="F1908">
        <v>7</v>
      </c>
      <c r="G1908">
        <v>0</v>
      </c>
      <c r="H1908">
        <v>1</v>
      </c>
      <c r="I1908">
        <v>5</v>
      </c>
      <c r="J1908">
        <v>2019</v>
      </c>
      <c r="K1908">
        <v>3</v>
      </c>
      <c r="L1908">
        <v>276</v>
      </c>
      <c r="M1908" t="s">
        <v>14</v>
      </c>
      <c r="N1908">
        <f t="shared" si="87"/>
        <v>42.11</v>
      </c>
      <c r="O1908" t="str">
        <f t="shared" si="88"/>
        <v>March</v>
      </c>
      <c r="P1908" t="str">
        <f t="shared" si="89"/>
        <v>Weekend</v>
      </c>
    </row>
    <row r="1909" spans="1:16" x14ac:dyDescent="0.3">
      <c r="A1909" s="1">
        <v>43548</v>
      </c>
      <c r="B1909">
        <v>6</v>
      </c>
      <c r="C1909">
        <v>2.67</v>
      </c>
      <c r="D1909">
        <v>3</v>
      </c>
      <c r="E1909">
        <v>43.2</v>
      </c>
      <c r="F1909">
        <v>6.2</v>
      </c>
      <c r="G1909">
        <v>1</v>
      </c>
      <c r="H1909">
        <v>16</v>
      </c>
      <c r="I1909">
        <v>10</v>
      </c>
      <c r="J1909">
        <v>2019</v>
      </c>
      <c r="K1909">
        <v>3</v>
      </c>
      <c r="L1909">
        <v>276</v>
      </c>
      <c r="M1909" t="s">
        <v>15</v>
      </c>
      <c r="N1909">
        <f t="shared" si="87"/>
        <v>88.070000000000007</v>
      </c>
      <c r="O1909" t="str">
        <f t="shared" si="88"/>
        <v>March</v>
      </c>
      <c r="P1909" t="str">
        <f t="shared" si="89"/>
        <v>Weekend</v>
      </c>
    </row>
    <row r="1910" spans="1:16" x14ac:dyDescent="0.3">
      <c r="A1910" s="1">
        <v>43549</v>
      </c>
      <c r="B1910">
        <v>4.84</v>
      </c>
      <c r="C1910">
        <v>4.5229999999999997</v>
      </c>
      <c r="D1910">
        <v>6</v>
      </c>
      <c r="E1910">
        <v>27</v>
      </c>
      <c r="F1910">
        <v>11</v>
      </c>
      <c r="G1910">
        <v>1</v>
      </c>
      <c r="H1910">
        <v>6</v>
      </c>
      <c r="I1910">
        <v>6</v>
      </c>
      <c r="J1910">
        <v>2019</v>
      </c>
      <c r="K1910">
        <v>3</v>
      </c>
      <c r="L1910">
        <v>276</v>
      </c>
      <c r="M1910" t="s">
        <v>16</v>
      </c>
      <c r="N1910">
        <f t="shared" si="87"/>
        <v>66.363</v>
      </c>
      <c r="O1910" t="str">
        <f t="shared" si="88"/>
        <v>March</v>
      </c>
      <c r="P1910" t="str">
        <f t="shared" si="89"/>
        <v>Weekday</v>
      </c>
    </row>
    <row r="1911" spans="1:16" x14ac:dyDescent="0.3">
      <c r="A1911" s="1">
        <v>43550</v>
      </c>
      <c r="B1911">
        <v>4</v>
      </c>
      <c r="C1911">
        <v>5.51</v>
      </c>
      <c r="D1911">
        <v>3</v>
      </c>
      <c r="E1911">
        <v>36</v>
      </c>
      <c r="F1911">
        <v>11</v>
      </c>
      <c r="G1911">
        <v>0</v>
      </c>
      <c r="H1911">
        <v>19</v>
      </c>
      <c r="I1911">
        <v>9</v>
      </c>
      <c r="J1911">
        <v>2019</v>
      </c>
      <c r="K1911">
        <v>3</v>
      </c>
      <c r="L1911">
        <v>276</v>
      </c>
      <c r="M1911" t="s">
        <v>17</v>
      </c>
      <c r="N1911">
        <f t="shared" si="87"/>
        <v>87.509999999999991</v>
      </c>
      <c r="O1911" t="str">
        <f t="shared" si="88"/>
        <v>March</v>
      </c>
      <c r="P1911" t="str">
        <f t="shared" si="89"/>
        <v>Weekday</v>
      </c>
    </row>
    <row r="1912" spans="1:16" x14ac:dyDescent="0.3">
      <c r="A1912" s="1">
        <v>43551</v>
      </c>
      <c r="B1912">
        <v>6.34</v>
      </c>
      <c r="C1912">
        <v>7.7690000000000001</v>
      </c>
      <c r="D1912">
        <v>3</v>
      </c>
      <c r="E1912">
        <v>25.6</v>
      </c>
      <c r="F1912">
        <v>12</v>
      </c>
      <c r="G1912">
        <v>1</v>
      </c>
      <c r="H1912">
        <v>0</v>
      </c>
      <c r="I1912">
        <v>9</v>
      </c>
      <c r="J1912">
        <v>2019</v>
      </c>
      <c r="K1912">
        <v>3</v>
      </c>
      <c r="L1912">
        <v>276</v>
      </c>
      <c r="M1912" t="s">
        <v>18</v>
      </c>
      <c r="N1912">
        <f t="shared" si="87"/>
        <v>64.709000000000003</v>
      </c>
      <c r="O1912" t="str">
        <f t="shared" si="88"/>
        <v>March</v>
      </c>
      <c r="P1912" t="str">
        <f t="shared" si="89"/>
        <v>Weekday</v>
      </c>
    </row>
    <row r="1913" spans="1:16" x14ac:dyDescent="0.3">
      <c r="A1913" s="1">
        <v>43552</v>
      </c>
      <c r="B1913">
        <v>1.33</v>
      </c>
      <c r="C1913">
        <v>6.43</v>
      </c>
      <c r="D1913">
        <v>1.4</v>
      </c>
      <c r="E1913">
        <v>14</v>
      </c>
      <c r="F1913">
        <v>6</v>
      </c>
      <c r="G1913">
        <v>0</v>
      </c>
      <c r="H1913">
        <v>7</v>
      </c>
      <c r="I1913">
        <v>1</v>
      </c>
      <c r="J1913">
        <v>2019</v>
      </c>
      <c r="K1913">
        <v>3</v>
      </c>
      <c r="L1913">
        <v>276</v>
      </c>
      <c r="M1913" t="s">
        <v>12</v>
      </c>
      <c r="N1913">
        <f t="shared" si="87"/>
        <v>37.159999999999997</v>
      </c>
      <c r="O1913" t="str">
        <f t="shared" si="88"/>
        <v>March</v>
      </c>
      <c r="P1913" t="str">
        <f t="shared" si="89"/>
        <v>Weekday</v>
      </c>
    </row>
    <row r="1914" spans="1:16" x14ac:dyDescent="0.3">
      <c r="A1914" s="1">
        <v>43553</v>
      </c>
      <c r="B1914">
        <v>3</v>
      </c>
      <c r="C1914">
        <v>4.298</v>
      </c>
      <c r="D1914">
        <v>4</v>
      </c>
      <c r="E1914">
        <v>25.3</v>
      </c>
      <c r="F1914">
        <v>10</v>
      </c>
      <c r="G1914">
        <v>0</v>
      </c>
      <c r="H1914">
        <v>16</v>
      </c>
      <c r="I1914">
        <v>9.1999999999999993</v>
      </c>
      <c r="J1914">
        <v>2019</v>
      </c>
      <c r="K1914">
        <v>3</v>
      </c>
      <c r="L1914">
        <v>276</v>
      </c>
      <c r="M1914" t="s">
        <v>13</v>
      </c>
      <c r="N1914">
        <f t="shared" si="87"/>
        <v>71.798000000000002</v>
      </c>
      <c r="O1914" t="str">
        <f t="shared" si="88"/>
        <v>March</v>
      </c>
      <c r="P1914" t="str">
        <f t="shared" si="89"/>
        <v>Weekday</v>
      </c>
    </row>
    <row r="1915" spans="1:16" x14ac:dyDescent="0.3">
      <c r="A1915" s="1">
        <v>43554</v>
      </c>
      <c r="B1915">
        <v>4.66</v>
      </c>
      <c r="C1915">
        <v>10.68</v>
      </c>
      <c r="D1915">
        <v>1.1000000000000001</v>
      </c>
      <c r="E1915">
        <v>18</v>
      </c>
      <c r="F1915">
        <v>11</v>
      </c>
      <c r="G1915">
        <v>1</v>
      </c>
      <c r="H1915">
        <v>0</v>
      </c>
      <c r="I1915">
        <v>6.1</v>
      </c>
      <c r="J1915">
        <v>2019</v>
      </c>
      <c r="K1915">
        <v>3</v>
      </c>
      <c r="L1915">
        <v>276</v>
      </c>
      <c r="M1915" t="s">
        <v>14</v>
      </c>
      <c r="N1915">
        <f t="shared" si="87"/>
        <v>52.54</v>
      </c>
      <c r="O1915" t="str">
        <f t="shared" si="88"/>
        <v>March</v>
      </c>
      <c r="P1915" t="str">
        <f t="shared" si="89"/>
        <v>Weekend</v>
      </c>
    </row>
    <row r="1916" spans="1:16" x14ac:dyDescent="0.3">
      <c r="A1916" s="1">
        <v>43555</v>
      </c>
      <c r="B1916">
        <v>7</v>
      </c>
      <c r="C1916">
        <v>4.5640000000000001</v>
      </c>
      <c r="D1916">
        <v>1.5</v>
      </c>
      <c r="E1916">
        <v>27</v>
      </c>
      <c r="F1916">
        <v>8</v>
      </c>
      <c r="G1916">
        <v>1</v>
      </c>
      <c r="H1916">
        <v>5</v>
      </c>
      <c r="I1916">
        <v>9.1999999999999993</v>
      </c>
      <c r="J1916">
        <v>2019</v>
      </c>
      <c r="K1916">
        <v>3</v>
      </c>
      <c r="L1916">
        <v>276</v>
      </c>
      <c r="M1916" t="s">
        <v>15</v>
      </c>
      <c r="N1916">
        <f t="shared" si="87"/>
        <v>63.263999999999996</v>
      </c>
      <c r="O1916" t="str">
        <f t="shared" si="88"/>
        <v>March</v>
      </c>
      <c r="P1916" t="str">
        <f t="shared" si="89"/>
        <v>Weekend</v>
      </c>
    </row>
    <row r="1917" spans="1:16" x14ac:dyDescent="0.3">
      <c r="A1917" s="1">
        <v>43556</v>
      </c>
      <c r="B1917">
        <v>3.01</v>
      </c>
      <c r="C1917">
        <v>1.7030000000000001</v>
      </c>
      <c r="D1917">
        <v>3</v>
      </c>
      <c r="E1917">
        <v>34.65</v>
      </c>
      <c r="F1917">
        <v>12</v>
      </c>
      <c r="G1917">
        <v>0</v>
      </c>
      <c r="H1917">
        <v>5</v>
      </c>
      <c r="I1917">
        <v>5</v>
      </c>
      <c r="J1917">
        <v>2019</v>
      </c>
      <c r="K1917">
        <v>4</v>
      </c>
      <c r="L1917">
        <v>276</v>
      </c>
      <c r="M1917" t="s">
        <v>16</v>
      </c>
      <c r="N1917">
        <f t="shared" si="87"/>
        <v>64.363</v>
      </c>
      <c r="O1917" t="str">
        <f t="shared" si="88"/>
        <v>April</v>
      </c>
      <c r="P1917" t="str">
        <f t="shared" si="89"/>
        <v>Weekday</v>
      </c>
    </row>
    <row r="1918" spans="1:16" x14ac:dyDescent="0.3">
      <c r="A1918" s="1">
        <v>43557</v>
      </c>
      <c r="B1918">
        <v>7.67</v>
      </c>
      <c r="C1918">
        <v>1.33</v>
      </c>
      <c r="D1918">
        <v>3</v>
      </c>
      <c r="E1918">
        <v>24</v>
      </c>
      <c r="F1918">
        <v>7</v>
      </c>
      <c r="G1918">
        <v>0</v>
      </c>
      <c r="H1918">
        <v>10</v>
      </c>
      <c r="I1918">
        <v>8</v>
      </c>
      <c r="J1918">
        <v>2019</v>
      </c>
      <c r="K1918">
        <v>4</v>
      </c>
      <c r="L1918">
        <v>276</v>
      </c>
      <c r="M1918" t="s">
        <v>17</v>
      </c>
      <c r="N1918">
        <f t="shared" si="87"/>
        <v>61</v>
      </c>
      <c r="O1918" t="str">
        <f t="shared" si="88"/>
        <v>April</v>
      </c>
      <c r="P1918" t="str">
        <f t="shared" si="89"/>
        <v>Weekday</v>
      </c>
    </row>
    <row r="1919" spans="1:16" x14ac:dyDescent="0.3">
      <c r="A1919" s="1">
        <v>43558</v>
      </c>
      <c r="B1919">
        <v>5.33</v>
      </c>
      <c r="C1919">
        <v>5.0990000000000002</v>
      </c>
      <c r="D1919">
        <v>1.5</v>
      </c>
      <c r="E1919">
        <v>18.3</v>
      </c>
      <c r="F1919">
        <v>12</v>
      </c>
      <c r="G1919">
        <v>0</v>
      </c>
      <c r="H1919">
        <v>4</v>
      </c>
      <c r="I1919">
        <v>9.3000000000000007</v>
      </c>
      <c r="J1919">
        <v>2019</v>
      </c>
      <c r="K1919">
        <v>4</v>
      </c>
      <c r="L1919">
        <v>276</v>
      </c>
      <c r="M1919" t="s">
        <v>18</v>
      </c>
      <c r="N1919">
        <f t="shared" si="87"/>
        <v>55.528999999999996</v>
      </c>
      <c r="O1919" t="str">
        <f t="shared" si="88"/>
        <v>April</v>
      </c>
      <c r="P1919" t="str">
        <f t="shared" si="89"/>
        <v>Weekday</v>
      </c>
    </row>
    <row r="1920" spans="1:16" x14ac:dyDescent="0.3">
      <c r="A1920" s="1">
        <v>43559</v>
      </c>
      <c r="B1920">
        <v>4.5</v>
      </c>
      <c r="C1920">
        <v>2.226</v>
      </c>
      <c r="D1920">
        <v>8</v>
      </c>
      <c r="E1920">
        <v>39</v>
      </c>
      <c r="F1920">
        <v>8</v>
      </c>
      <c r="G1920">
        <v>1</v>
      </c>
      <c r="H1920">
        <v>13</v>
      </c>
      <c r="I1920">
        <v>15</v>
      </c>
      <c r="J1920">
        <v>2019</v>
      </c>
      <c r="K1920">
        <v>4</v>
      </c>
      <c r="L1920">
        <v>276</v>
      </c>
      <c r="M1920" t="s">
        <v>12</v>
      </c>
      <c r="N1920">
        <f t="shared" si="87"/>
        <v>90.725999999999999</v>
      </c>
      <c r="O1920" t="str">
        <f t="shared" si="88"/>
        <v>April</v>
      </c>
      <c r="P1920" t="str">
        <f t="shared" si="89"/>
        <v>Weekday</v>
      </c>
    </row>
    <row r="1921" spans="1:16" x14ac:dyDescent="0.3">
      <c r="A1921" s="1">
        <v>43560</v>
      </c>
      <c r="B1921">
        <v>6.34</v>
      </c>
      <c r="C1921">
        <v>4.1980000000000004</v>
      </c>
      <c r="D1921">
        <v>4</v>
      </c>
      <c r="E1921">
        <v>25.2</v>
      </c>
      <c r="F1921">
        <v>7</v>
      </c>
      <c r="G1921">
        <v>0</v>
      </c>
      <c r="H1921">
        <v>3</v>
      </c>
      <c r="I1921">
        <v>4</v>
      </c>
      <c r="J1921">
        <v>2019</v>
      </c>
      <c r="K1921">
        <v>4</v>
      </c>
      <c r="L1921">
        <v>276</v>
      </c>
      <c r="M1921" t="s">
        <v>13</v>
      </c>
      <c r="N1921">
        <f t="shared" si="87"/>
        <v>53.738</v>
      </c>
      <c r="O1921" t="str">
        <f t="shared" si="88"/>
        <v>April</v>
      </c>
      <c r="P1921" t="str">
        <f t="shared" si="89"/>
        <v>Weekday</v>
      </c>
    </row>
    <row r="1922" spans="1:16" x14ac:dyDescent="0.3">
      <c r="A1922" s="1">
        <v>43561</v>
      </c>
      <c r="B1922">
        <v>3.34</v>
      </c>
      <c r="C1922">
        <v>6.01</v>
      </c>
      <c r="D1922">
        <v>3</v>
      </c>
      <c r="E1922">
        <v>13.2</v>
      </c>
      <c r="F1922">
        <v>13</v>
      </c>
      <c r="G1922">
        <v>0</v>
      </c>
      <c r="H1922">
        <v>16</v>
      </c>
      <c r="I1922">
        <v>9.3000000000000007</v>
      </c>
      <c r="J1922">
        <v>2019</v>
      </c>
      <c r="K1922">
        <v>4</v>
      </c>
      <c r="L1922">
        <v>276</v>
      </c>
      <c r="M1922" t="s">
        <v>14</v>
      </c>
      <c r="N1922">
        <f t="shared" si="87"/>
        <v>63.849999999999994</v>
      </c>
      <c r="O1922" t="str">
        <f t="shared" si="88"/>
        <v>April</v>
      </c>
      <c r="P1922" t="str">
        <f t="shared" si="89"/>
        <v>Weekend</v>
      </c>
    </row>
    <row r="1923" spans="1:16" x14ac:dyDescent="0.3">
      <c r="A1923" s="1">
        <v>43562</v>
      </c>
      <c r="B1923">
        <v>6</v>
      </c>
      <c r="C1923">
        <v>5.1189999999999998</v>
      </c>
      <c r="D1923">
        <v>4</v>
      </c>
      <c r="E1923">
        <v>19</v>
      </c>
      <c r="F1923">
        <v>3</v>
      </c>
      <c r="G1923">
        <v>0</v>
      </c>
      <c r="H1923">
        <v>0</v>
      </c>
      <c r="I1923">
        <v>7</v>
      </c>
      <c r="J1923">
        <v>2019</v>
      </c>
      <c r="K1923">
        <v>4</v>
      </c>
      <c r="L1923">
        <v>276</v>
      </c>
      <c r="M1923" t="s">
        <v>15</v>
      </c>
      <c r="N1923">
        <f t="shared" ref="N1923:N1986" si="90">SUM(B1923:I1923)</f>
        <v>44.119</v>
      </c>
      <c r="O1923" t="str">
        <f t="shared" ref="O1923:O1986" si="91">TEXT(A1923,"mmmm")</f>
        <v>April</v>
      </c>
      <c r="P1923" t="str">
        <f t="shared" ref="P1923:P1986" si="92">IF(OR(M1923="Saturday",M1923="Sunday"),"Weekend","Weekday")</f>
        <v>Weekend</v>
      </c>
    </row>
    <row r="1924" spans="1:16" x14ac:dyDescent="0.3">
      <c r="A1924" s="1">
        <v>43563</v>
      </c>
      <c r="B1924">
        <v>5</v>
      </c>
      <c r="C1924">
        <v>4.3499999999999996</v>
      </c>
      <c r="D1924">
        <v>3.3</v>
      </c>
      <c r="E1924">
        <v>10</v>
      </c>
      <c r="F1924">
        <v>8.1999999999999993</v>
      </c>
      <c r="G1924">
        <v>0</v>
      </c>
      <c r="H1924">
        <v>4</v>
      </c>
      <c r="I1924">
        <v>3</v>
      </c>
      <c r="J1924">
        <v>2019</v>
      </c>
      <c r="K1924">
        <v>4</v>
      </c>
      <c r="L1924">
        <v>276</v>
      </c>
      <c r="M1924" t="s">
        <v>16</v>
      </c>
      <c r="N1924">
        <f t="shared" si="90"/>
        <v>37.849999999999994</v>
      </c>
      <c r="O1924" t="str">
        <f t="shared" si="91"/>
        <v>April</v>
      </c>
      <c r="P1924" t="str">
        <f t="shared" si="92"/>
        <v>Weekday</v>
      </c>
    </row>
    <row r="1925" spans="1:16" x14ac:dyDescent="0.3">
      <c r="A1925" s="1">
        <v>43564</v>
      </c>
      <c r="B1925">
        <v>2.83</v>
      </c>
      <c r="C1925">
        <v>2</v>
      </c>
      <c r="D1925">
        <v>1</v>
      </c>
      <c r="E1925">
        <v>12</v>
      </c>
      <c r="F1925">
        <v>10</v>
      </c>
      <c r="G1925">
        <v>0</v>
      </c>
      <c r="H1925">
        <v>3</v>
      </c>
      <c r="I1925">
        <v>5</v>
      </c>
      <c r="J1925">
        <v>2019</v>
      </c>
      <c r="K1925">
        <v>4</v>
      </c>
      <c r="L1925">
        <v>276</v>
      </c>
      <c r="M1925" t="s">
        <v>17</v>
      </c>
      <c r="N1925">
        <f t="shared" si="90"/>
        <v>35.83</v>
      </c>
      <c r="O1925" t="str">
        <f t="shared" si="91"/>
        <v>April</v>
      </c>
      <c r="P1925" t="str">
        <f t="shared" si="92"/>
        <v>Weekday</v>
      </c>
    </row>
    <row r="1926" spans="1:16" x14ac:dyDescent="0.3">
      <c r="A1926" s="1">
        <v>43565</v>
      </c>
      <c r="B1926">
        <v>2.34</v>
      </c>
      <c r="C1926">
        <v>2.746</v>
      </c>
      <c r="D1926">
        <v>2</v>
      </c>
      <c r="E1926">
        <v>34</v>
      </c>
      <c r="F1926">
        <v>16.2</v>
      </c>
      <c r="G1926">
        <v>3</v>
      </c>
      <c r="H1926">
        <v>9</v>
      </c>
      <c r="I1926">
        <v>8</v>
      </c>
      <c r="J1926">
        <v>2019</v>
      </c>
      <c r="K1926">
        <v>4</v>
      </c>
      <c r="L1926">
        <v>276</v>
      </c>
      <c r="M1926" t="s">
        <v>18</v>
      </c>
      <c r="N1926">
        <f t="shared" si="90"/>
        <v>77.286000000000001</v>
      </c>
      <c r="O1926" t="str">
        <f t="shared" si="91"/>
        <v>April</v>
      </c>
      <c r="P1926" t="str">
        <f t="shared" si="92"/>
        <v>Weekday</v>
      </c>
    </row>
    <row r="1927" spans="1:16" x14ac:dyDescent="0.3">
      <c r="A1927" s="1">
        <v>43566</v>
      </c>
      <c r="B1927">
        <v>7.33</v>
      </c>
      <c r="C1927">
        <v>6.1559999999999997</v>
      </c>
      <c r="D1927">
        <v>2</v>
      </c>
      <c r="E1927">
        <v>15.9</v>
      </c>
      <c r="F1927">
        <v>15</v>
      </c>
      <c r="G1927">
        <v>0</v>
      </c>
      <c r="H1927">
        <v>7</v>
      </c>
      <c r="I1927">
        <v>8</v>
      </c>
      <c r="J1927">
        <v>2019</v>
      </c>
      <c r="K1927">
        <v>4</v>
      </c>
      <c r="L1927">
        <v>276</v>
      </c>
      <c r="M1927" t="s">
        <v>12</v>
      </c>
      <c r="N1927">
        <f t="shared" si="90"/>
        <v>61.386000000000003</v>
      </c>
      <c r="O1927" t="str">
        <f t="shared" si="91"/>
        <v>April</v>
      </c>
      <c r="P1927" t="str">
        <f t="shared" si="92"/>
        <v>Weekday</v>
      </c>
    </row>
    <row r="1928" spans="1:16" x14ac:dyDescent="0.3">
      <c r="A1928" s="1">
        <v>43567</v>
      </c>
      <c r="B1928">
        <v>4.33</v>
      </c>
      <c r="C1928">
        <v>4.3730000000000002</v>
      </c>
      <c r="D1928">
        <v>4.0999999999999996</v>
      </c>
      <c r="E1928">
        <v>16.600000000000001</v>
      </c>
      <c r="F1928">
        <v>16</v>
      </c>
      <c r="G1928">
        <v>0</v>
      </c>
      <c r="H1928">
        <v>6</v>
      </c>
      <c r="I1928">
        <v>7</v>
      </c>
      <c r="J1928">
        <v>2019</v>
      </c>
      <c r="K1928">
        <v>4</v>
      </c>
      <c r="L1928">
        <v>276</v>
      </c>
      <c r="M1928" t="s">
        <v>13</v>
      </c>
      <c r="N1928">
        <f t="shared" si="90"/>
        <v>58.402999999999999</v>
      </c>
      <c r="O1928" t="str">
        <f t="shared" si="91"/>
        <v>April</v>
      </c>
      <c r="P1928" t="str">
        <f t="shared" si="92"/>
        <v>Weekday</v>
      </c>
    </row>
    <row r="1929" spans="1:16" x14ac:dyDescent="0.3">
      <c r="A1929" s="1">
        <v>43568</v>
      </c>
      <c r="B1929">
        <v>4.5</v>
      </c>
      <c r="C1929">
        <v>4.1340000000000003</v>
      </c>
      <c r="D1929">
        <v>1.1000000000000001</v>
      </c>
      <c r="E1929">
        <v>14</v>
      </c>
      <c r="F1929">
        <v>4</v>
      </c>
      <c r="G1929">
        <v>0</v>
      </c>
      <c r="H1929">
        <v>6</v>
      </c>
      <c r="I1929">
        <v>4</v>
      </c>
      <c r="J1929">
        <v>2019</v>
      </c>
      <c r="K1929">
        <v>4</v>
      </c>
      <c r="L1929">
        <v>276</v>
      </c>
      <c r="M1929" t="s">
        <v>14</v>
      </c>
      <c r="N1929">
        <f t="shared" si="90"/>
        <v>37.734000000000002</v>
      </c>
      <c r="O1929" t="str">
        <f t="shared" si="91"/>
        <v>April</v>
      </c>
      <c r="P1929" t="str">
        <f t="shared" si="92"/>
        <v>Weekend</v>
      </c>
    </row>
    <row r="1930" spans="1:16" x14ac:dyDescent="0.3">
      <c r="A1930" s="1">
        <v>43569</v>
      </c>
      <c r="B1930">
        <v>4</v>
      </c>
      <c r="C1930">
        <v>4.4059999999999997</v>
      </c>
      <c r="D1930">
        <v>1</v>
      </c>
      <c r="E1930">
        <v>23</v>
      </c>
      <c r="F1930">
        <v>3</v>
      </c>
      <c r="G1930">
        <v>1</v>
      </c>
      <c r="H1930">
        <v>7</v>
      </c>
      <c r="I1930">
        <v>5.5</v>
      </c>
      <c r="J1930">
        <v>2019</v>
      </c>
      <c r="K1930">
        <v>4</v>
      </c>
      <c r="L1930">
        <v>276</v>
      </c>
      <c r="M1930" t="s">
        <v>15</v>
      </c>
      <c r="N1930">
        <f t="shared" si="90"/>
        <v>48.905999999999999</v>
      </c>
      <c r="O1930" t="str">
        <f t="shared" si="91"/>
        <v>April</v>
      </c>
      <c r="P1930" t="str">
        <f t="shared" si="92"/>
        <v>Weekend</v>
      </c>
    </row>
    <row r="1931" spans="1:16" x14ac:dyDescent="0.3">
      <c r="A1931" s="1">
        <v>43570</v>
      </c>
      <c r="B1931">
        <v>4.66</v>
      </c>
      <c r="C1931">
        <v>6</v>
      </c>
      <c r="D1931">
        <v>5.3</v>
      </c>
      <c r="E1931">
        <v>8.8000000000000007</v>
      </c>
      <c r="F1931">
        <v>17</v>
      </c>
      <c r="G1931">
        <v>2</v>
      </c>
      <c r="H1931">
        <v>3</v>
      </c>
      <c r="I1931">
        <v>5</v>
      </c>
      <c r="J1931">
        <v>2019</v>
      </c>
      <c r="K1931">
        <v>4</v>
      </c>
      <c r="L1931">
        <v>276</v>
      </c>
      <c r="M1931" t="s">
        <v>16</v>
      </c>
      <c r="N1931">
        <f t="shared" si="90"/>
        <v>51.760000000000005</v>
      </c>
      <c r="O1931" t="str">
        <f t="shared" si="91"/>
        <v>April</v>
      </c>
      <c r="P1931" t="str">
        <f t="shared" si="92"/>
        <v>Weekday</v>
      </c>
    </row>
    <row r="1932" spans="1:16" x14ac:dyDescent="0.3">
      <c r="A1932" s="1">
        <v>43571</v>
      </c>
      <c r="B1932">
        <v>2</v>
      </c>
      <c r="C1932">
        <v>2.67</v>
      </c>
      <c r="D1932">
        <v>2</v>
      </c>
      <c r="E1932">
        <v>27.2</v>
      </c>
      <c r="F1932">
        <v>12</v>
      </c>
      <c r="G1932">
        <v>3</v>
      </c>
      <c r="H1932">
        <v>1</v>
      </c>
      <c r="I1932">
        <v>3</v>
      </c>
      <c r="J1932">
        <v>2019</v>
      </c>
      <c r="K1932">
        <v>4</v>
      </c>
      <c r="L1932">
        <v>276</v>
      </c>
      <c r="M1932" t="s">
        <v>17</v>
      </c>
      <c r="N1932">
        <f t="shared" si="90"/>
        <v>52.87</v>
      </c>
      <c r="O1932" t="str">
        <f t="shared" si="91"/>
        <v>April</v>
      </c>
      <c r="P1932" t="str">
        <f t="shared" si="92"/>
        <v>Weekday</v>
      </c>
    </row>
    <row r="1933" spans="1:16" x14ac:dyDescent="0.3">
      <c r="A1933" s="1">
        <v>43572</v>
      </c>
      <c r="B1933">
        <v>7</v>
      </c>
      <c r="C1933">
        <v>4</v>
      </c>
      <c r="D1933">
        <v>1.25</v>
      </c>
      <c r="E1933">
        <v>13.5</v>
      </c>
      <c r="F1933">
        <v>11</v>
      </c>
      <c r="G1933">
        <v>1</v>
      </c>
      <c r="H1933">
        <v>24</v>
      </c>
      <c r="I1933">
        <v>5</v>
      </c>
      <c r="J1933">
        <v>2019</v>
      </c>
      <c r="K1933">
        <v>4</v>
      </c>
      <c r="L1933">
        <v>276</v>
      </c>
      <c r="M1933" t="s">
        <v>18</v>
      </c>
      <c r="N1933">
        <f t="shared" si="90"/>
        <v>66.75</v>
      </c>
      <c r="O1933" t="str">
        <f t="shared" si="91"/>
        <v>April</v>
      </c>
      <c r="P1933" t="str">
        <f t="shared" si="92"/>
        <v>Weekday</v>
      </c>
    </row>
    <row r="1934" spans="1:16" x14ac:dyDescent="0.3">
      <c r="A1934" s="1">
        <v>43573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2019</v>
      </c>
      <c r="K1934">
        <v>4</v>
      </c>
      <c r="L1934">
        <v>276</v>
      </c>
      <c r="M1934" t="s">
        <v>12</v>
      </c>
      <c r="N1934">
        <f t="shared" si="90"/>
        <v>0</v>
      </c>
      <c r="O1934" t="str">
        <f t="shared" si="91"/>
        <v>April</v>
      </c>
      <c r="P1934" t="str">
        <f t="shared" si="92"/>
        <v>Weekday</v>
      </c>
    </row>
    <row r="1935" spans="1:16" x14ac:dyDescent="0.3">
      <c r="A1935" s="1">
        <v>43574</v>
      </c>
      <c r="B1935">
        <v>3.34</v>
      </c>
      <c r="C1935">
        <v>2.7429999999999999</v>
      </c>
      <c r="D1935">
        <v>1.5</v>
      </c>
      <c r="E1935">
        <v>25</v>
      </c>
      <c r="F1935">
        <v>17</v>
      </c>
      <c r="G1935">
        <v>0</v>
      </c>
      <c r="H1935">
        <v>6</v>
      </c>
      <c r="I1935">
        <v>2</v>
      </c>
      <c r="J1935">
        <v>2019</v>
      </c>
      <c r="K1935">
        <v>4</v>
      </c>
      <c r="L1935">
        <v>276</v>
      </c>
      <c r="M1935" t="s">
        <v>13</v>
      </c>
      <c r="N1935">
        <f t="shared" si="90"/>
        <v>57.582999999999998</v>
      </c>
      <c r="O1935" t="str">
        <f t="shared" si="91"/>
        <v>April</v>
      </c>
      <c r="P1935" t="str">
        <f t="shared" si="92"/>
        <v>Weekday</v>
      </c>
    </row>
    <row r="1936" spans="1:16" x14ac:dyDescent="0.3">
      <c r="A1936" s="1">
        <v>43575</v>
      </c>
      <c r="B1936">
        <v>9</v>
      </c>
      <c r="C1936">
        <v>3.7690000000000001</v>
      </c>
      <c r="D1936">
        <v>1.5</v>
      </c>
      <c r="E1936">
        <v>22.4</v>
      </c>
      <c r="F1936">
        <v>12</v>
      </c>
      <c r="G1936">
        <v>3</v>
      </c>
      <c r="H1936">
        <v>0</v>
      </c>
      <c r="I1936">
        <v>6</v>
      </c>
      <c r="J1936">
        <v>2019</v>
      </c>
      <c r="K1936">
        <v>4</v>
      </c>
      <c r="L1936">
        <v>276</v>
      </c>
      <c r="M1936" t="s">
        <v>14</v>
      </c>
      <c r="N1936">
        <f t="shared" si="90"/>
        <v>57.668999999999997</v>
      </c>
      <c r="O1936" t="str">
        <f t="shared" si="91"/>
        <v>April</v>
      </c>
      <c r="P1936" t="str">
        <f t="shared" si="92"/>
        <v>Weekend</v>
      </c>
    </row>
    <row r="1937" spans="1:16" x14ac:dyDescent="0.3">
      <c r="A1937" s="1">
        <v>43576</v>
      </c>
      <c r="B1937">
        <v>3.84</v>
      </c>
      <c r="C1937">
        <v>4.8449999999999998</v>
      </c>
      <c r="D1937">
        <v>3</v>
      </c>
      <c r="E1937">
        <v>21</v>
      </c>
      <c r="F1937">
        <v>11</v>
      </c>
      <c r="G1937">
        <v>0</v>
      </c>
      <c r="H1937">
        <v>2</v>
      </c>
      <c r="I1937">
        <v>12.2</v>
      </c>
      <c r="J1937">
        <v>2019</v>
      </c>
      <c r="K1937">
        <v>4</v>
      </c>
      <c r="L1937">
        <v>276</v>
      </c>
      <c r="M1937" t="s">
        <v>15</v>
      </c>
      <c r="N1937">
        <f t="shared" si="90"/>
        <v>57.885000000000005</v>
      </c>
      <c r="O1937" t="str">
        <f t="shared" si="91"/>
        <v>April</v>
      </c>
      <c r="P1937" t="str">
        <f t="shared" si="92"/>
        <v>Weekend</v>
      </c>
    </row>
    <row r="1938" spans="1:16" x14ac:dyDescent="0.3">
      <c r="A1938" s="1">
        <v>43577</v>
      </c>
      <c r="B1938">
        <v>8.67</v>
      </c>
      <c r="C1938">
        <v>1.66</v>
      </c>
      <c r="D1938">
        <v>4.5</v>
      </c>
      <c r="E1938">
        <v>51</v>
      </c>
      <c r="F1938">
        <v>12</v>
      </c>
      <c r="G1938">
        <v>0</v>
      </c>
      <c r="H1938">
        <v>31</v>
      </c>
      <c r="I1938">
        <v>9</v>
      </c>
      <c r="J1938">
        <v>2019</v>
      </c>
      <c r="K1938">
        <v>4</v>
      </c>
      <c r="L1938">
        <v>276</v>
      </c>
      <c r="M1938" t="s">
        <v>16</v>
      </c>
      <c r="N1938">
        <f t="shared" si="90"/>
        <v>117.83</v>
      </c>
      <c r="O1938" t="str">
        <f t="shared" si="91"/>
        <v>April</v>
      </c>
      <c r="P1938" t="str">
        <f t="shared" si="92"/>
        <v>Weekday</v>
      </c>
    </row>
    <row r="1939" spans="1:16" x14ac:dyDescent="0.3">
      <c r="A1939" s="1">
        <v>43578</v>
      </c>
      <c r="B1939">
        <v>9</v>
      </c>
      <c r="C1939">
        <v>0.34</v>
      </c>
      <c r="D1939">
        <v>6.1</v>
      </c>
      <c r="E1939">
        <v>18.399999999999999</v>
      </c>
      <c r="F1939">
        <v>6</v>
      </c>
      <c r="G1939">
        <v>1</v>
      </c>
      <c r="H1939">
        <v>4</v>
      </c>
      <c r="I1939">
        <v>2</v>
      </c>
      <c r="J1939">
        <v>2019</v>
      </c>
      <c r="K1939">
        <v>4</v>
      </c>
      <c r="L1939">
        <v>276</v>
      </c>
      <c r="M1939" t="s">
        <v>17</v>
      </c>
      <c r="N1939">
        <f t="shared" si="90"/>
        <v>46.839999999999996</v>
      </c>
      <c r="O1939" t="str">
        <f t="shared" si="91"/>
        <v>April</v>
      </c>
      <c r="P1939" t="str">
        <f t="shared" si="92"/>
        <v>Weekday</v>
      </c>
    </row>
    <row r="1940" spans="1:16" x14ac:dyDescent="0.3">
      <c r="A1940" s="1">
        <v>43579</v>
      </c>
      <c r="B1940">
        <v>2.34</v>
      </c>
      <c r="C1940">
        <v>4.7469999999999999</v>
      </c>
      <c r="D1940">
        <v>3</v>
      </c>
      <c r="E1940">
        <v>39.1</v>
      </c>
      <c r="F1940">
        <v>13</v>
      </c>
      <c r="G1940">
        <v>3</v>
      </c>
      <c r="H1940">
        <v>12</v>
      </c>
      <c r="I1940">
        <v>2</v>
      </c>
      <c r="J1940">
        <v>2019</v>
      </c>
      <c r="K1940">
        <v>4</v>
      </c>
      <c r="L1940">
        <v>276</v>
      </c>
      <c r="M1940" t="s">
        <v>18</v>
      </c>
      <c r="N1940">
        <f t="shared" si="90"/>
        <v>79.186999999999998</v>
      </c>
      <c r="O1940" t="str">
        <f t="shared" si="91"/>
        <v>April</v>
      </c>
      <c r="P1940" t="str">
        <f t="shared" si="92"/>
        <v>Weekday</v>
      </c>
    </row>
    <row r="1941" spans="1:16" x14ac:dyDescent="0.3">
      <c r="A1941" s="1">
        <v>43580</v>
      </c>
      <c r="B1941">
        <v>14.01</v>
      </c>
      <c r="C1941">
        <v>3.59</v>
      </c>
      <c r="D1941">
        <v>2</v>
      </c>
      <c r="E1941">
        <v>15</v>
      </c>
      <c r="F1941">
        <v>17</v>
      </c>
      <c r="G1941">
        <v>1</v>
      </c>
      <c r="H1941">
        <v>7</v>
      </c>
      <c r="I1941">
        <v>5.4</v>
      </c>
      <c r="J1941">
        <v>2019</v>
      </c>
      <c r="K1941">
        <v>4</v>
      </c>
      <c r="L1941">
        <v>276</v>
      </c>
      <c r="M1941" t="s">
        <v>12</v>
      </c>
      <c r="N1941">
        <f t="shared" si="90"/>
        <v>65</v>
      </c>
      <c r="O1941" t="str">
        <f t="shared" si="91"/>
        <v>April</v>
      </c>
      <c r="P1941" t="str">
        <f t="shared" si="92"/>
        <v>Weekday</v>
      </c>
    </row>
    <row r="1942" spans="1:16" x14ac:dyDescent="0.3">
      <c r="A1942" s="1">
        <v>43581</v>
      </c>
      <c r="B1942">
        <v>6.34</v>
      </c>
      <c r="C1942">
        <v>1.68</v>
      </c>
      <c r="D1942">
        <v>3.25</v>
      </c>
      <c r="E1942">
        <v>32.6</v>
      </c>
      <c r="F1942">
        <v>6</v>
      </c>
      <c r="G1942">
        <v>0</v>
      </c>
      <c r="H1942">
        <v>1</v>
      </c>
      <c r="I1942">
        <v>11</v>
      </c>
      <c r="J1942">
        <v>2019</v>
      </c>
      <c r="K1942">
        <v>4</v>
      </c>
      <c r="L1942">
        <v>276</v>
      </c>
      <c r="M1942" t="s">
        <v>13</v>
      </c>
      <c r="N1942">
        <f t="shared" si="90"/>
        <v>61.870000000000005</v>
      </c>
      <c r="O1942" t="str">
        <f t="shared" si="91"/>
        <v>April</v>
      </c>
      <c r="P1942" t="str">
        <f t="shared" si="92"/>
        <v>Weekday</v>
      </c>
    </row>
    <row r="1943" spans="1:16" x14ac:dyDescent="0.3">
      <c r="A1943" s="1">
        <v>43582</v>
      </c>
      <c r="B1943">
        <v>17.34</v>
      </c>
      <c r="C1943">
        <v>2.4969999999999999</v>
      </c>
      <c r="D1943">
        <v>3.1</v>
      </c>
      <c r="E1943">
        <v>25.2</v>
      </c>
      <c r="F1943">
        <v>13</v>
      </c>
      <c r="G1943">
        <v>1</v>
      </c>
      <c r="H1943">
        <v>7</v>
      </c>
      <c r="I1943">
        <v>7</v>
      </c>
      <c r="J1943">
        <v>2019</v>
      </c>
      <c r="K1943">
        <v>4</v>
      </c>
      <c r="L1943">
        <v>276</v>
      </c>
      <c r="M1943" t="s">
        <v>14</v>
      </c>
      <c r="N1943">
        <f t="shared" si="90"/>
        <v>76.137</v>
      </c>
      <c r="O1943" t="str">
        <f t="shared" si="91"/>
        <v>April</v>
      </c>
      <c r="P1943" t="str">
        <f t="shared" si="92"/>
        <v>Weekend</v>
      </c>
    </row>
    <row r="1944" spans="1:16" x14ac:dyDescent="0.3">
      <c r="A1944" s="1">
        <v>43583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2019</v>
      </c>
      <c r="K1944">
        <v>4</v>
      </c>
      <c r="L1944">
        <v>276</v>
      </c>
      <c r="M1944" t="s">
        <v>15</v>
      </c>
      <c r="N1944">
        <f t="shared" si="90"/>
        <v>0</v>
      </c>
      <c r="O1944" t="str">
        <f t="shared" si="91"/>
        <v>April</v>
      </c>
      <c r="P1944" t="str">
        <f t="shared" si="92"/>
        <v>Weekend</v>
      </c>
    </row>
    <row r="1945" spans="1:16" x14ac:dyDescent="0.3">
      <c r="A1945" s="1">
        <v>43584</v>
      </c>
      <c r="B1945">
        <v>5.33</v>
      </c>
      <c r="C1945">
        <v>6.367</v>
      </c>
      <c r="D1945">
        <v>2.6</v>
      </c>
      <c r="E1945">
        <v>27.6</v>
      </c>
      <c r="F1945">
        <v>5</v>
      </c>
      <c r="G1945">
        <v>0</v>
      </c>
      <c r="H1945">
        <v>0</v>
      </c>
      <c r="I1945">
        <v>3</v>
      </c>
      <c r="J1945">
        <v>2019</v>
      </c>
      <c r="K1945">
        <v>4</v>
      </c>
      <c r="L1945">
        <v>276</v>
      </c>
      <c r="M1945" t="s">
        <v>16</v>
      </c>
      <c r="N1945">
        <f t="shared" si="90"/>
        <v>49.896999999999998</v>
      </c>
      <c r="O1945" t="str">
        <f t="shared" si="91"/>
        <v>April</v>
      </c>
      <c r="P1945" t="str">
        <f t="shared" si="92"/>
        <v>Weekday</v>
      </c>
    </row>
    <row r="1946" spans="1:16" x14ac:dyDescent="0.3">
      <c r="A1946" s="1">
        <v>43585</v>
      </c>
      <c r="B1946">
        <v>2</v>
      </c>
      <c r="C1946">
        <v>1.407</v>
      </c>
      <c r="D1946">
        <v>8</v>
      </c>
      <c r="E1946">
        <v>22</v>
      </c>
      <c r="F1946">
        <v>13</v>
      </c>
      <c r="G1946">
        <v>2</v>
      </c>
      <c r="H1946">
        <v>28</v>
      </c>
      <c r="I1946">
        <v>8.4</v>
      </c>
      <c r="J1946">
        <v>2019</v>
      </c>
      <c r="K1946">
        <v>4</v>
      </c>
      <c r="L1946">
        <v>276</v>
      </c>
      <c r="M1946" t="s">
        <v>17</v>
      </c>
      <c r="N1946">
        <f t="shared" si="90"/>
        <v>84.807000000000002</v>
      </c>
      <c r="O1946" t="str">
        <f t="shared" si="91"/>
        <v>April</v>
      </c>
      <c r="P1946" t="str">
        <f t="shared" si="92"/>
        <v>Weekday</v>
      </c>
    </row>
    <row r="1947" spans="1:16" x14ac:dyDescent="0.3">
      <c r="A1947" s="1">
        <v>43586</v>
      </c>
      <c r="B1947">
        <v>2.34</v>
      </c>
      <c r="C1947">
        <v>4.0199999999999996</v>
      </c>
      <c r="D1947">
        <v>1</v>
      </c>
      <c r="E1947">
        <v>8</v>
      </c>
      <c r="F1947">
        <v>1</v>
      </c>
      <c r="G1947">
        <v>0</v>
      </c>
      <c r="H1947">
        <v>1</v>
      </c>
      <c r="I1947">
        <v>3</v>
      </c>
      <c r="J1947">
        <v>2019</v>
      </c>
      <c r="K1947">
        <v>5</v>
      </c>
      <c r="L1947">
        <v>276</v>
      </c>
      <c r="M1947" t="s">
        <v>18</v>
      </c>
      <c r="N1947">
        <f t="shared" si="90"/>
        <v>20.36</v>
      </c>
      <c r="O1947" t="str">
        <f t="shared" si="91"/>
        <v>May</v>
      </c>
      <c r="P1947" t="str">
        <f t="shared" si="92"/>
        <v>Weekday</v>
      </c>
    </row>
    <row r="1948" spans="1:16" x14ac:dyDescent="0.3">
      <c r="A1948" s="1">
        <v>43587</v>
      </c>
      <c r="B1948">
        <v>1.68</v>
      </c>
      <c r="C1948">
        <v>5.4290000000000003</v>
      </c>
      <c r="D1948">
        <v>5.5</v>
      </c>
      <c r="E1948">
        <v>20</v>
      </c>
      <c r="F1948">
        <v>15</v>
      </c>
      <c r="G1948">
        <v>1</v>
      </c>
      <c r="H1948">
        <v>3</v>
      </c>
      <c r="I1948">
        <v>9</v>
      </c>
      <c r="J1948">
        <v>2019</v>
      </c>
      <c r="K1948">
        <v>5</v>
      </c>
      <c r="L1948">
        <v>276</v>
      </c>
      <c r="M1948" t="s">
        <v>12</v>
      </c>
      <c r="N1948">
        <f t="shared" si="90"/>
        <v>60.609000000000002</v>
      </c>
      <c r="O1948" t="str">
        <f t="shared" si="91"/>
        <v>May</v>
      </c>
      <c r="P1948" t="str">
        <f t="shared" si="92"/>
        <v>Weekday</v>
      </c>
    </row>
    <row r="1949" spans="1:16" x14ac:dyDescent="0.3">
      <c r="A1949" s="1">
        <v>43588</v>
      </c>
      <c r="B1949">
        <v>4.01</v>
      </c>
      <c r="C1949">
        <v>2.34</v>
      </c>
      <c r="D1949">
        <v>3</v>
      </c>
      <c r="E1949">
        <v>24</v>
      </c>
      <c r="F1949">
        <v>11</v>
      </c>
      <c r="G1949">
        <v>3</v>
      </c>
      <c r="H1949">
        <v>16</v>
      </c>
      <c r="I1949">
        <v>8</v>
      </c>
      <c r="J1949">
        <v>2019</v>
      </c>
      <c r="K1949">
        <v>5</v>
      </c>
      <c r="L1949">
        <v>276</v>
      </c>
      <c r="M1949" t="s">
        <v>13</v>
      </c>
      <c r="N1949">
        <f t="shared" si="90"/>
        <v>71.349999999999994</v>
      </c>
      <c r="O1949" t="str">
        <f t="shared" si="91"/>
        <v>May</v>
      </c>
      <c r="P1949" t="str">
        <f t="shared" si="92"/>
        <v>Weekday</v>
      </c>
    </row>
    <row r="1950" spans="1:16" x14ac:dyDescent="0.3">
      <c r="A1950" s="1">
        <v>43589</v>
      </c>
      <c r="B1950">
        <v>9</v>
      </c>
      <c r="C1950">
        <v>5.43</v>
      </c>
      <c r="D1950">
        <v>4.25</v>
      </c>
      <c r="E1950">
        <v>25</v>
      </c>
      <c r="F1950">
        <v>5</v>
      </c>
      <c r="G1950">
        <v>1</v>
      </c>
      <c r="H1950">
        <v>16</v>
      </c>
      <c r="I1950">
        <v>9</v>
      </c>
      <c r="J1950">
        <v>2019</v>
      </c>
      <c r="K1950">
        <v>5</v>
      </c>
      <c r="L1950">
        <v>276</v>
      </c>
      <c r="M1950" t="s">
        <v>14</v>
      </c>
      <c r="N1950">
        <f t="shared" si="90"/>
        <v>74.680000000000007</v>
      </c>
      <c r="O1950" t="str">
        <f t="shared" si="91"/>
        <v>May</v>
      </c>
      <c r="P1950" t="str">
        <f t="shared" si="92"/>
        <v>Weekend</v>
      </c>
    </row>
    <row r="1951" spans="1:16" x14ac:dyDescent="0.3">
      <c r="A1951" s="1">
        <v>43590</v>
      </c>
      <c r="B1951">
        <v>7</v>
      </c>
      <c r="C1951">
        <v>2.42</v>
      </c>
      <c r="D1951">
        <v>4.2</v>
      </c>
      <c r="E1951">
        <v>31</v>
      </c>
      <c r="F1951">
        <v>2</v>
      </c>
      <c r="G1951">
        <v>0</v>
      </c>
      <c r="H1951">
        <v>0</v>
      </c>
      <c r="I1951">
        <v>5</v>
      </c>
      <c r="J1951">
        <v>2019</v>
      </c>
      <c r="K1951">
        <v>5</v>
      </c>
      <c r="L1951">
        <v>276</v>
      </c>
      <c r="M1951" t="s">
        <v>15</v>
      </c>
      <c r="N1951">
        <f t="shared" si="90"/>
        <v>51.620000000000005</v>
      </c>
      <c r="O1951" t="str">
        <f t="shared" si="91"/>
        <v>May</v>
      </c>
      <c r="P1951" t="str">
        <f t="shared" si="92"/>
        <v>Weekend</v>
      </c>
    </row>
    <row r="1952" spans="1:16" x14ac:dyDescent="0.3">
      <c r="A1952" s="1">
        <v>43591</v>
      </c>
      <c r="B1952">
        <v>4.68</v>
      </c>
      <c r="C1952">
        <v>6.6000000000000003E-2</v>
      </c>
      <c r="D1952">
        <v>2</v>
      </c>
      <c r="E1952">
        <v>23</v>
      </c>
      <c r="F1952">
        <v>11</v>
      </c>
      <c r="G1952">
        <v>2</v>
      </c>
      <c r="H1952">
        <v>9</v>
      </c>
      <c r="I1952">
        <v>3</v>
      </c>
      <c r="J1952">
        <v>2019</v>
      </c>
      <c r="K1952">
        <v>5</v>
      </c>
      <c r="L1952">
        <v>276</v>
      </c>
      <c r="M1952" t="s">
        <v>16</v>
      </c>
      <c r="N1952">
        <f t="shared" si="90"/>
        <v>54.745999999999995</v>
      </c>
      <c r="O1952" t="str">
        <f t="shared" si="91"/>
        <v>May</v>
      </c>
      <c r="P1952" t="str">
        <f t="shared" si="92"/>
        <v>Weekday</v>
      </c>
    </row>
    <row r="1953" spans="1:16" x14ac:dyDescent="0.3">
      <c r="A1953" s="1">
        <v>43592</v>
      </c>
      <c r="B1953">
        <v>2.66</v>
      </c>
      <c r="C1953">
        <v>5.5190000000000001</v>
      </c>
      <c r="D1953">
        <v>1</v>
      </c>
      <c r="E1953">
        <v>33.4</v>
      </c>
      <c r="F1953">
        <v>19</v>
      </c>
      <c r="G1953">
        <v>0</v>
      </c>
      <c r="H1953">
        <v>6</v>
      </c>
      <c r="I1953">
        <v>5</v>
      </c>
      <c r="J1953">
        <v>2019</v>
      </c>
      <c r="K1953">
        <v>5</v>
      </c>
      <c r="L1953">
        <v>276</v>
      </c>
      <c r="M1953" t="s">
        <v>17</v>
      </c>
      <c r="N1953">
        <f t="shared" si="90"/>
        <v>72.579000000000008</v>
      </c>
      <c r="O1953" t="str">
        <f t="shared" si="91"/>
        <v>May</v>
      </c>
      <c r="P1953" t="str">
        <f t="shared" si="92"/>
        <v>Weekday</v>
      </c>
    </row>
    <row r="1954" spans="1:16" x14ac:dyDescent="0.3">
      <c r="A1954" s="1">
        <v>43593</v>
      </c>
      <c r="B1954">
        <v>9</v>
      </c>
      <c r="C1954">
        <v>4.0330000000000004</v>
      </c>
      <c r="D1954">
        <v>3</v>
      </c>
      <c r="E1954">
        <v>13</v>
      </c>
      <c r="F1954">
        <v>15</v>
      </c>
      <c r="G1954">
        <v>2</v>
      </c>
      <c r="H1954">
        <v>20</v>
      </c>
      <c r="I1954">
        <v>0</v>
      </c>
      <c r="J1954">
        <v>2019</v>
      </c>
      <c r="K1954">
        <v>5</v>
      </c>
      <c r="L1954">
        <v>276</v>
      </c>
      <c r="M1954" t="s">
        <v>18</v>
      </c>
      <c r="N1954">
        <f t="shared" si="90"/>
        <v>66.033000000000001</v>
      </c>
      <c r="O1954" t="str">
        <f t="shared" si="91"/>
        <v>May</v>
      </c>
      <c r="P1954" t="str">
        <f t="shared" si="92"/>
        <v>Weekday</v>
      </c>
    </row>
    <row r="1955" spans="1:16" x14ac:dyDescent="0.3">
      <c r="A1955" s="1">
        <v>43594</v>
      </c>
      <c r="B1955">
        <v>5</v>
      </c>
      <c r="C1955">
        <v>2.33</v>
      </c>
      <c r="D1955">
        <v>2.1</v>
      </c>
      <c r="E1955">
        <v>12.5</v>
      </c>
      <c r="F1955">
        <v>10</v>
      </c>
      <c r="G1955">
        <v>1</v>
      </c>
      <c r="H1955">
        <v>31</v>
      </c>
      <c r="I1955">
        <v>4</v>
      </c>
      <c r="J1955">
        <v>2019</v>
      </c>
      <c r="K1955">
        <v>5</v>
      </c>
      <c r="L1955">
        <v>276</v>
      </c>
      <c r="M1955" t="s">
        <v>12</v>
      </c>
      <c r="N1955">
        <f t="shared" si="90"/>
        <v>67.930000000000007</v>
      </c>
      <c r="O1955" t="str">
        <f t="shared" si="91"/>
        <v>May</v>
      </c>
      <c r="P1955" t="str">
        <f t="shared" si="92"/>
        <v>Weekday</v>
      </c>
    </row>
    <row r="1956" spans="1:16" x14ac:dyDescent="0.3">
      <c r="A1956" s="1">
        <v>43595</v>
      </c>
      <c r="B1956">
        <v>5</v>
      </c>
      <c r="C1956">
        <v>1.34</v>
      </c>
      <c r="D1956">
        <v>5.5</v>
      </c>
      <c r="E1956">
        <v>11.6</v>
      </c>
      <c r="F1956">
        <v>13</v>
      </c>
      <c r="G1956">
        <v>2</v>
      </c>
      <c r="H1956">
        <v>26</v>
      </c>
      <c r="I1956">
        <v>2</v>
      </c>
      <c r="J1956">
        <v>2019</v>
      </c>
      <c r="K1956">
        <v>5</v>
      </c>
      <c r="L1956">
        <v>276</v>
      </c>
      <c r="M1956" t="s">
        <v>13</v>
      </c>
      <c r="N1956">
        <f t="shared" si="90"/>
        <v>66.44</v>
      </c>
      <c r="O1956" t="str">
        <f t="shared" si="91"/>
        <v>May</v>
      </c>
      <c r="P1956" t="str">
        <f t="shared" si="92"/>
        <v>Weekday</v>
      </c>
    </row>
    <row r="1957" spans="1:16" x14ac:dyDescent="0.3">
      <c r="A1957" s="1">
        <v>43596</v>
      </c>
      <c r="B1957">
        <v>5.34</v>
      </c>
      <c r="C1957">
        <v>5</v>
      </c>
      <c r="D1957">
        <v>5.5</v>
      </c>
      <c r="E1957">
        <v>16.8</v>
      </c>
      <c r="F1957">
        <v>9</v>
      </c>
      <c r="G1957">
        <v>0</v>
      </c>
      <c r="H1957">
        <v>12</v>
      </c>
      <c r="I1957">
        <v>5</v>
      </c>
      <c r="J1957">
        <v>2019</v>
      </c>
      <c r="K1957">
        <v>5</v>
      </c>
      <c r="L1957">
        <v>276</v>
      </c>
      <c r="M1957" t="s">
        <v>14</v>
      </c>
      <c r="N1957">
        <f t="shared" si="90"/>
        <v>58.64</v>
      </c>
      <c r="O1957" t="str">
        <f t="shared" si="91"/>
        <v>May</v>
      </c>
      <c r="P1957" t="str">
        <f t="shared" si="92"/>
        <v>Weekend</v>
      </c>
    </row>
    <row r="1958" spans="1:16" x14ac:dyDescent="0.3">
      <c r="A1958" s="1">
        <v>43597</v>
      </c>
      <c r="B1958">
        <v>4.67</v>
      </c>
      <c r="C1958">
        <v>1.68</v>
      </c>
      <c r="D1958">
        <v>3.1</v>
      </c>
      <c r="E1958">
        <v>38.799999999999997</v>
      </c>
      <c r="F1958">
        <v>2</v>
      </c>
      <c r="G1958">
        <v>1</v>
      </c>
      <c r="H1958">
        <v>19</v>
      </c>
      <c r="I1958">
        <v>5</v>
      </c>
      <c r="J1958">
        <v>2019</v>
      </c>
      <c r="K1958">
        <v>5</v>
      </c>
      <c r="L1958">
        <v>276</v>
      </c>
      <c r="M1958" t="s">
        <v>15</v>
      </c>
      <c r="N1958">
        <f t="shared" si="90"/>
        <v>75.25</v>
      </c>
      <c r="O1958" t="str">
        <f t="shared" si="91"/>
        <v>May</v>
      </c>
      <c r="P1958" t="str">
        <f t="shared" si="92"/>
        <v>Weekend</v>
      </c>
    </row>
    <row r="1959" spans="1:16" x14ac:dyDescent="0.3">
      <c r="A1959" s="1">
        <v>43598</v>
      </c>
      <c r="B1959">
        <v>5</v>
      </c>
      <c r="C1959">
        <v>4.5270000000000001</v>
      </c>
      <c r="D1959">
        <v>2</v>
      </c>
      <c r="E1959">
        <v>26.2</v>
      </c>
      <c r="F1959">
        <v>11</v>
      </c>
      <c r="G1959">
        <v>0</v>
      </c>
      <c r="H1959">
        <v>11</v>
      </c>
      <c r="I1959">
        <v>3</v>
      </c>
      <c r="J1959">
        <v>2019</v>
      </c>
      <c r="K1959">
        <v>5</v>
      </c>
      <c r="L1959">
        <v>276</v>
      </c>
      <c r="M1959" t="s">
        <v>16</v>
      </c>
      <c r="N1959">
        <f t="shared" si="90"/>
        <v>62.727000000000004</v>
      </c>
      <c r="O1959" t="str">
        <f t="shared" si="91"/>
        <v>May</v>
      </c>
      <c r="P1959" t="str">
        <f t="shared" si="92"/>
        <v>Weekday</v>
      </c>
    </row>
    <row r="1960" spans="1:16" x14ac:dyDescent="0.3">
      <c r="A1960" s="1">
        <v>43599</v>
      </c>
      <c r="B1960">
        <v>6.67</v>
      </c>
      <c r="C1960">
        <v>4.3630000000000004</v>
      </c>
      <c r="D1960">
        <v>4</v>
      </c>
      <c r="E1960">
        <v>25</v>
      </c>
      <c r="F1960">
        <v>5</v>
      </c>
      <c r="G1960">
        <v>0</v>
      </c>
      <c r="H1960">
        <v>11</v>
      </c>
      <c r="I1960">
        <v>3</v>
      </c>
      <c r="J1960">
        <v>2019</v>
      </c>
      <c r="K1960">
        <v>5</v>
      </c>
      <c r="L1960">
        <v>276</v>
      </c>
      <c r="M1960" t="s">
        <v>17</v>
      </c>
      <c r="N1960">
        <f t="shared" si="90"/>
        <v>59.033000000000001</v>
      </c>
      <c r="O1960" t="str">
        <f t="shared" si="91"/>
        <v>May</v>
      </c>
      <c r="P1960" t="str">
        <f t="shared" si="92"/>
        <v>Weekday</v>
      </c>
    </row>
    <row r="1961" spans="1:16" x14ac:dyDescent="0.3">
      <c r="A1961" s="1">
        <v>43600</v>
      </c>
      <c r="B1961">
        <v>4</v>
      </c>
      <c r="C1961">
        <v>1.0660000000000001</v>
      </c>
      <c r="D1961">
        <v>4.1500000000000004</v>
      </c>
      <c r="E1961">
        <v>28.4</v>
      </c>
      <c r="F1961">
        <v>7</v>
      </c>
      <c r="G1961">
        <v>0</v>
      </c>
      <c r="H1961">
        <v>5</v>
      </c>
      <c r="I1961">
        <v>3</v>
      </c>
      <c r="J1961">
        <v>2019</v>
      </c>
      <c r="K1961">
        <v>5</v>
      </c>
      <c r="L1961">
        <v>276</v>
      </c>
      <c r="M1961" t="s">
        <v>18</v>
      </c>
      <c r="N1961">
        <f t="shared" si="90"/>
        <v>52.616</v>
      </c>
      <c r="O1961" t="str">
        <f t="shared" si="91"/>
        <v>May</v>
      </c>
      <c r="P1961" t="str">
        <f t="shared" si="92"/>
        <v>Weekday</v>
      </c>
    </row>
    <row r="1962" spans="1:16" x14ac:dyDescent="0.3">
      <c r="A1962" s="1">
        <v>43601</v>
      </c>
      <c r="B1962">
        <v>5</v>
      </c>
      <c r="C1962">
        <v>1.0669999999999999</v>
      </c>
      <c r="D1962">
        <v>2</v>
      </c>
      <c r="E1962">
        <v>12</v>
      </c>
      <c r="F1962">
        <v>9</v>
      </c>
      <c r="G1962">
        <v>1</v>
      </c>
      <c r="H1962">
        <v>16.291666670000001</v>
      </c>
      <c r="I1962">
        <v>5</v>
      </c>
      <c r="J1962">
        <v>2019</v>
      </c>
      <c r="K1962">
        <v>5</v>
      </c>
      <c r="L1962">
        <v>276</v>
      </c>
      <c r="M1962" t="s">
        <v>12</v>
      </c>
      <c r="N1962">
        <f t="shared" si="90"/>
        <v>51.358666670000005</v>
      </c>
      <c r="O1962" t="str">
        <f t="shared" si="91"/>
        <v>May</v>
      </c>
      <c r="P1962" t="str">
        <f t="shared" si="92"/>
        <v>Weekday</v>
      </c>
    </row>
    <row r="1963" spans="1:16" x14ac:dyDescent="0.3">
      <c r="A1963" s="1">
        <v>43602</v>
      </c>
      <c r="B1963">
        <v>2.66</v>
      </c>
      <c r="C1963">
        <v>1.66</v>
      </c>
      <c r="D1963">
        <v>2.4</v>
      </c>
      <c r="E1963">
        <v>28</v>
      </c>
      <c r="F1963">
        <v>18</v>
      </c>
      <c r="G1963">
        <v>2</v>
      </c>
      <c r="H1963">
        <v>4</v>
      </c>
      <c r="I1963">
        <v>2.2000000000000002</v>
      </c>
      <c r="J1963">
        <v>2019</v>
      </c>
      <c r="K1963">
        <v>5</v>
      </c>
      <c r="L1963">
        <v>276</v>
      </c>
      <c r="M1963" t="s">
        <v>13</v>
      </c>
      <c r="N1963">
        <f t="shared" si="90"/>
        <v>60.92</v>
      </c>
      <c r="O1963" t="str">
        <f t="shared" si="91"/>
        <v>May</v>
      </c>
      <c r="P1963" t="str">
        <f t="shared" si="92"/>
        <v>Weekday</v>
      </c>
    </row>
    <row r="1964" spans="1:16" x14ac:dyDescent="0.3">
      <c r="A1964" s="1">
        <v>43603</v>
      </c>
      <c r="B1964">
        <v>10</v>
      </c>
      <c r="C1964">
        <v>0.34</v>
      </c>
      <c r="D1964">
        <v>5.0999999999999996</v>
      </c>
      <c r="E1964">
        <v>14</v>
      </c>
      <c r="F1964">
        <v>9</v>
      </c>
      <c r="G1964">
        <v>2</v>
      </c>
      <c r="H1964">
        <v>5</v>
      </c>
      <c r="I1964">
        <v>3</v>
      </c>
      <c r="J1964">
        <v>2019</v>
      </c>
      <c r="K1964">
        <v>5</v>
      </c>
      <c r="L1964">
        <v>276</v>
      </c>
      <c r="M1964" t="s">
        <v>14</v>
      </c>
      <c r="N1964">
        <f t="shared" si="90"/>
        <v>48.44</v>
      </c>
      <c r="O1964" t="str">
        <f t="shared" si="91"/>
        <v>May</v>
      </c>
      <c r="P1964" t="str">
        <f t="shared" si="92"/>
        <v>Weekend</v>
      </c>
    </row>
    <row r="1965" spans="1:16" x14ac:dyDescent="0.3">
      <c r="A1965" s="1">
        <v>43604</v>
      </c>
      <c r="B1965">
        <v>6.67</v>
      </c>
      <c r="C1965">
        <v>5</v>
      </c>
      <c r="D1965">
        <v>4</v>
      </c>
      <c r="E1965">
        <v>26.4</v>
      </c>
      <c r="F1965">
        <v>9</v>
      </c>
      <c r="G1965">
        <v>0</v>
      </c>
      <c r="H1965">
        <v>9</v>
      </c>
      <c r="I1965">
        <v>4.2</v>
      </c>
      <c r="J1965">
        <v>2019</v>
      </c>
      <c r="K1965">
        <v>5</v>
      </c>
      <c r="L1965">
        <v>276</v>
      </c>
      <c r="M1965" t="s">
        <v>15</v>
      </c>
      <c r="N1965">
        <f t="shared" si="90"/>
        <v>64.27</v>
      </c>
      <c r="O1965" t="str">
        <f t="shared" si="91"/>
        <v>May</v>
      </c>
      <c r="P1965" t="str">
        <f t="shared" si="92"/>
        <v>Weekend</v>
      </c>
    </row>
    <row r="1966" spans="1:16" x14ac:dyDescent="0.3">
      <c r="A1966" s="1">
        <v>43605</v>
      </c>
      <c r="B1966">
        <v>3.67</v>
      </c>
      <c r="C1966">
        <v>6.3959999999999999</v>
      </c>
      <c r="D1966">
        <v>5</v>
      </c>
      <c r="E1966">
        <v>21.3</v>
      </c>
      <c r="F1966">
        <v>11</v>
      </c>
      <c r="G1966">
        <v>4</v>
      </c>
      <c r="H1966">
        <v>13</v>
      </c>
      <c r="I1966">
        <v>5</v>
      </c>
      <c r="J1966">
        <v>2019</v>
      </c>
      <c r="K1966">
        <v>5</v>
      </c>
      <c r="L1966">
        <v>276</v>
      </c>
      <c r="M1966" t="s">
        <v>16</v>
      </c>
      <c r="N1966">
        <f t="shared" si="90"/>
        <v>69.366</v>
      </c>
      <c r="O1966" t="str">
        <f t="shared" si="91"/>
        <v>May</v>
      </c>
      <c r="P1966" t="str">
        <f t="shared" si="92"/>
        <v>Weekday</v>
      </c>
    </row>
    <row r="1967" spans="1:16" x14ac:dyDescent="0.3">
      <c r="A1967" s="1">
        <v>43606</v>
      </c>
      <c r="B1967">
        <v>5.34</v>
      </c>
      <c r="C1967">
        <v>4</v>
      </c>
      <c r="D1967">
        <v>5.0999999999999996</v>
      </c>
      <c r="E1967">
        <v>17.600000000000001</v>
      </c>
      <c r="F1967">
        <v>12.2</v>
      </c>
      <c r="G1967">
        <v>0</v>
      </c>
      <c r="H1967">
        <v>1</v>
      </c>
      <c r="I1967">
        <v>7</v>
      </c>
      <c r="J1967">
        <v>2019</v>
      </c>
      <c r="K1967">
        <v>5</v>
      </c>
      <c r="L1967">
        <v>276</v>
      </c>
      <c r="M1967" t="s">
        <v>17</v>
      </c>
      <c r="N1967">
        <f t="shared" si="90"/>
        <v>52.239999999999995</v>
      </c>
      <c r="O1967" t="str">
        <f t="shared" si="91"/>
        <v>May</v>
      </c>
      <c r="P1967" t="str">
        <f t="shared" si="92"/>
        <v>Weekday</v>
      </c>
    </row>
    <row r="1968" spans="1:16" x14ac:dyDescent="0.3">
      <c r="A1968" s="1">
        <v>43607</v>
      </c>
      <c r="B1968">
        <v>8.16</v>
      </c>
      <c r="C1968">
        <v>2.8359999999999999</v>
      </c>
      <c r="D1968">
        <v>3.15</v>
      </c>
      <c r="E1968">
        <v>28.2</v>
      </c>
      <c r="F1968">
        <v>8</v>
      </c>
      <c r="G1968">
        <v>0</v>
      </c>
      <c r="H1968">
        <v>9</v>
      </c>
      <c r="I1968">
        <v>5</v>
      </c>
      <c r="J1968">
        <v>2019</v>
      </c>
      <c r="K1968">
        <v>5</v>
      </c>
      <c r="L1968">
        <v>276</v>
      </c>
      <c r="M1968" t="s">
        <v>18</v>
      </c>
      <c r="N1968">
        <f t="shared" si="90"/>
        <v>64.346000000000004</v>
      </c>
      <c r="O1968" t="str">
        <f t="shared" si="91"/>
        <v>May</v>
      </c>
      <c r="P1968" t="str">
        <f t="shared" si="92"/>
        <v>Weekday</v>
      </c>
    </row>
    <row r="1969" spans="1:16" x14ac:dyDescent="0.3">
      <c r="A1969" s="1">
        <v>43608</v>
      </c>
      <c r="B1969">
        <v>2.33</v>
      </c>
      <c r="C1969">
        <v>3.34</v>
      </c>
      <c r="D1969">
        <v>2</v>
      </c>
      <c r="E1969">
        <v>26.1</v>
      </c>
      <c r="F1969">
        <v>4</v>
      </c>
      <c r="G1969">
        <v>0</v>
      </c>
      <c r="H1969">
        <v>10</v>
      </c>
      <c r="I1969">
        <v>6</v>
      </c>
      <c r="J1969">
        <v>2019</v>
      </c>
      <c r="K1969">
        <v>5</v>
      </c>
      <c r="L1969">
        <v>276</v>
      </c>
      <c r="M1969" t="s">
        <v>12</v>
      </c>
      <c r="N1969">
        <f t="shared" si="90"/>
        <v>53.77</v>
      </c>
      <c r="O1969" t="str">
        <f t="shared" si="91"/>
        <v>May</v>
      </c>
      <c r="P1969" t="str">
        <f t="shared" si="92"/>
        <v>Weekday</v>
      </c>
    </row>
    <row r="1970" spans="1:16" x14ac:dyDescent="0.3">
      <c r="A1970" s="1">
        <v>43609</v>
      </c>
      <c r="B1970">
        <v>5.34</v>
      </c>
      <c r="C1970">
        <v>3.7029999999999998</v>
      </c>
      <c r="D1970">
        <v>3</v>
      </c>
      <c r="E1970">
        <v>36.200000000000003</v>
      </c>
      <c r="F1970">
        <v>8</v>
      </c>
      <c r="G1970">
        <v>1</v>
      </c>
      <c r="H1970">
        <v>5</v>
      </c>
      <c r="I1970">
        <v>3</v>
      </c>
      <c r="J1970">
        <v>2019</v>
      </c>
      <c r="K1970">
        <v>5</v>
      </c>
      <c r="L1970">
        <v>276</v>
      </c>
      <c r="M1970" t="s">
        <v>13</v>
      </c>
      <c r="N1970">
        <f t="shared" si="90"/>
        <v>65.242999999999995</v>
      </c>
      <c r="O1970" t="str">
        <f t="shared" si="91"/>
        <v>May</v>
      </c>
      <c r="P1970" t="str">
        <f t="shared" si="92"/>
        <v>Weekday</v>
      </c>
    </row>
    <row r="1971" spans="1:16" x14ac:dyDescent="0.3">
      <c r="A1971" s="1">
        <v>43610</v>
      </c>
      <c r="B1971">
        <v>11</v>
      </c>
      <c r="C1971">
        <v>3.34</v>
      </c>
      <c r="D1971">
        <v>4.0999999999999996</v>
      </c>
      <c r="E1971">
        <v>35</v>
      </c>
      <c r="F1971">
        <v>4</v>
      </c>
      <c r="G1971">
        <v>0</v>
      </c>
      <c r="H1971">
        <v>16</v>
      </c>
      <c r="I1971">
        <v>2</v>
      </c>
      <c r="J1971">
        <v>2019</v>
      </c>
      <c r="K1971">
        <v>5</v>
      </c>
      <c r="L1971">
        <v>276</v>
      </c>
      <c r="M1971" t="s">
        <v>14</v>
      </c>
      <c r="N1971">
        <f t="shared" si="90"/>
        <v>75.44</v>
      </c>
      <c r="O1971" t="str">
        <f t="shared" si="91"/>
        <v>May</v>
      </c>
      <c r="P1971" t="str">
        <f t="shared" si="92"/>
        <v>Weekend</v>
      </c>
    </row>
    <row r="1972" spans="1:16" x14ac:dyDescent="0.3">
      <c r="A1972" s="1">
        <v>43611</v>
      </c>
      <c r="B1972">
        <v>6.33</v>
      </c>
      <c r="C1972">
        <v>5.31</v>
      </c>
      <c r="D1972">
        <v>2</v>
      </c>
      <c r="E1972">
        <v>30</v>
      </c>
      <c r="F1972">
        <v>2.6</v>
      </c>
      <c r="G1972">
        <v>0</v>
      </c>
      <c r="H1972">
        <v>11</v>
      </c>
      <c r="I1972">
        <v>6</v>
      </c>
      <c r="J1972">
        <v>2019</v>
      </c>
      <c r="K1972">
        <v>5</v>
      </c>
      <c r="L1972">
        <v>276</v>
      </c>
      <c r="M1972" t="s">
        <v>15</v>
      </c>
      <c r="N1972">
        <f t="shared" si="90"/>
        <v>63.24</v>
      </c>
      <c r="O1972" t="str">
        <f t="shared" si="91"/>
        <v>May</v>
      </c>
      <c r="P1972" t="str">
        <f t="shared" si="92"/>
        <v>Weekend</v>
      </c>
    </row>
    <row r="1973" spans="1:16" x14ac:dyDescent="0.3">
      <c r="A1973" s="1">
        <v>43612</v>
      </c>
      <c r="B1973">
        <v>4.67</v>
      </c>
      <c r="C1973">
        <v>0.67</v>
      </c>
      <c r="D1973">
        <v>1.2</v>
      </c>
      <c r="E1973">
        <v>19</v>
      </c>
      <c r="F1973">
        <v>8</v>
      </c>
      <c r="G1973">
        <v>0</v>
      </c>
      <c r="H1973">
        <v>0</v>
      </c>
      <c r="I1973">
        <v>2</v>
      </c>
      <c r="J1973">
        <v>2019</v>
      </c>
      <c r="K1973">
        <v>5</v>
      </c>
      <c r="L1973">
        <v>276</v>
      </c>
      <c r="M1973" t="s">
        <v>16</v>
      </c>
      <c r="N1973">
        <f t="shared" si="90"/>
        <v>35.54</v>
      </c>
      <c r="O1973" t="str">
        <f t="shared" si="91"/>
        <v>May</v>
      </c>
      <c r="P1973" t="str">
        <f t="shared" si="92"/>
        <v>Weekday</v>
      </c>
    </row>
    <row r="1974" spans="1:16" x14ac:dyDescent="0.3">
      <c r="A1974" s="1">
        <v>43613</v>
      </c>
      <c r="B1974">
        <v>4.33</v>
      </c>
      <c r="C1974">
        <v>3.99</v>
      </c>
      <c r="D1974">
        <v>6.3</v>
      </c>
      <c r="E1974">
        <v>18.2</v>
      </c>
      <c r="F1974">
        <v>10</v>
      </c>
      <c r="G1974">
        <v>2</v>
      </c>
      <c r="H1974">
        <v>5</v>
      </c>
      <c r="I1974">
        <v>6</v>
      </c>
      <c r="J1974">
        <v>2019</v>
      </c>
      <c r="K1974">
        <v>5</v>
      </c>
      <c r="L1974">
        <v>276</v>
      </c>
      <c r="M1974" t="s">
        <v>17</v>
      </c>
      <c r="N1974">
        <f t="shared" si="90"/>
        <v>55.82</v>
      </c>
      <c r="O1974" t="str">
        <f t="shared" si="91"/>
        <v>May</v>
      </c>
      <c r="P1974" t="str">
        <f t="shared" si="92"/>
        <v>Weekday</v>
      </c>
    </row>
    <row r="1975" spans="1:16" x14ac:dyDescent="0.3">
      <c r="A1975" s="1">
        <v>43614</v>
      </c>
      <c r="B1975">
        <v>5.5</v>
      </c>
      <c r="C1975">
        <v>2.34</v>
      </c>
      <c r="D1975">
        <v>4.05</v>
      </c>
      <c r="E1975">
        <v>15</v>
      </c>
      <c r="F1975">
        <v>10</v>
      </c>
      <c r="G1975">
        <v>1</v>
      </c>
      <c r="H1975">
        <v>0</v>
      </c>
      <c r="I1975">
        <v>3</v>
      </c>
      <c r="J1975">
        <v>2019</v>
      </c>
      <c r="K1975">
        <v>5</v>
      </c>
      <c r="L1975">
        <v>276</v>
      </c>
      <c r="M1975" t="s">
        <v>18</v>
      </c>
      <c r="N1975">
        <f t="shared" si="90"/>
        <v>40.89</v>
      </c>
      <c r="O1975" t="str">
        <f t="shared" si="91"/>
        <v>May</v>
      </c>
      <c r="P1975" t="str">
        <f t="shared" si="92"/>
        <v>Weekday</v>
      </c>
    </row>
    <row r="1976" spans="1:16" x14ac:dyDescent="0.3">
      <c r="A1976" s="1">
        <v>43615</v>
      </c>
      <c r="B1976">
        <v>5</v>
      </c>
      <c r="C1976">
        <v>0.34</v>
      </c>
      <c r="D1976">
        <v>3.4</v>
      </c>
      <c r="E1976">
        <v>17.2</v>
      </c>
      <c r="F1976">
        <v>5</v>
      </c>
      <c r="G1976">
        <v>0</v>
      </c>
      <c r="H1976">
        <v>6</v>
      </c>
      <c r="I1976">
        <v>4</v>
      </c>
      <c r="J1976">
        <v>2019</v>
      </c>
      <c r="K1976">
        <v>5</v>
      </c>
      <c r="L1976">
        <v>276</v>
      </c>
      <c r="M1976" t="s">
        <v>12</v>
      </c>
      <c r="N1976">
        <f t="shared" si="90"/>
        <v>40.94</v>
      </c>
      <c r="O1976" t="str">
        <f t="shared" si="91"/>
        <v>May</v>
      </c>
      <c r="P1976" t="str">
        <f t="shared" si="92"/>
        <v>Weekday</v>
      </c>
    </row>
    <row r="1977" spans="1:16" x14ac:dyDescent="0.3">
      <c r="A1977" s="1">
        <v>43616</v>
      </c>
      <c r="B1977">
        <v>5.99</v>
      </c>
      <c r="C1977">
        <v>3.363</v>
      </c>
      <c r="D1977">
        <v>1</v>
      </c>
      <c r="E1977">
        <v>22.661999999999999</v>
      </c>
      <c r="F1977">
        <v>2</v>
      </c>
      <c r="G1977">
        <v>0</v>
      </c>
      <c r="H1977">
        <v>2</v>
      </c>
      <c r="I1977">
        <v>5</v>
      </c>
      <c r="J1977">
        <v>2019</v>
      </c>
      <c r="K1977">
        <v>5</v>
      </c>
      <c r="L1977">
        <v>276</v>
      </c>
      <c r="M1977" t="s">
        <v>13</v>
      </c>
      <c r="N1977">
        <f t="shared" si="90"/>
        <v>42.015000000000001</v>
      </c>
      <c r="O1977" t="str">
        <f t="shared" si="91"/>
        <v>May</v>
      </c>
      <c r="P1977" t="str">
        <f t="shared" si="92"/>
        <v>Weekday</v>
      </c>
    </row>
    <row r="1978" spans="1:16" x14ac:dyDescent="0.3">
      <c r="A1978" s="1">
        <v>43617</v>
      </c>
      <c r="B1978">
        <v>3</v>
      </c>
      <c r="C1978">
        <v>1.34</v>
      </c>
      <c r="D1978">
        <v>6</v>
      </c>
      <c r="E1978">
        <v>21.4</v>
      </c>
      <c r="F1978">
        <v>1</v>
      </c>
      <c r="G1978">
        <v>0</v>
      </c>
      <c r="H1978">
        <v>8</v>
      </c>
      <c r="I1978">
        <v>4</v>
      </c>
      <c r="J1978">
        <v>2019</v>
      </c>
      <c r="K1978">
        <v>6</v>
      </c>
      <c r="L1978">
        <v>276</v>
      </c>
      <c r="M1978" t="s">
        <v>14</v>
      </c>
      <c r="N1978">
        <f t="shared" si="90"/>
        <v>44.739999999999995</v>
      </c>
      <c r="O1978" t="str">
        <f t="shared" si="91"/>
        <v>June</v>
      </c>
      <c r="P1978" t="str">
        <f t="shared" si="92"/>
        <v>Weekend</v>
      </c>
    </row>
    <row r="1979" spans="1:16" x14ac:dyDescent="0.3">
      <c r="A1979" s="1">
        <v>43618</v>
      </c>
      <c r="B1979">
        <v>4</v>
      </c>
      <c r="C1979">
        <v>2.66</v>
      </c>
      <c r="D1979">
        <v>3.05</v>
      </c>
      <c r="E1979">
        <v>28</v>
      </c>
      <c r="F1979">
        <v>4</v>
      </c>
      <c r="G1979">
        <v>1</v>
      </c>
      <c r="H1979">
        <v>6</v>
      </c>
      <c r="I1979">
        <v>4</v>
      </c>
      <c r="J1979">
        <v>2019</v>
      </c>
      <c r="K1979">
        <v>6</v>
      </c>
      <c r="L1979">
        <v>276</v>
      </c>
      <c r="M1979" t="s">
        <v>15</v>
      </c>
      <c r="N1979">
        <f t="shared" si="90"/>
        <v>52.71</v>
      </c>
      <c r="O1979" t="str">
        <f t="shared" si="91"/>
        <v>June</v>
      </c>
      <c r="P1979" t="str">
        <f t="shared" si="92"/>
        <v>Weekend</v>
      </c>
    </row>
    <row r="1980" spans="1:16" x14ac:dyDescent="0.3">
      <c r="A1980" s="1">
        <v>43619</v>
      </c>
      <c r="B1980">
        <v>0.33</v>
      </c>
      <c r="C1980">
        <v>2.5049999999999999</v>
      </c>
      <c r="D1980">
        <v>4</v>
      </c>
      <c r="E1980">
        <v>15.4</v>
      </c>
      <c r="F1980">
        <v>4</v>
      </c>
      <c r="G1980">
        <v>0</v>
      </c>
      <c r="H1980">
        <v>5</v>
      </c>
      <c r="I1980">
        <v>10</v>
      </c>
      <c r="J1980">
        <v>2019</v>
      </c>
      <c r="K1980">
        <v>6</v>
      </c>
      <c r="L1980">
        <v>276</v>
      </c>
      <c r="M1980" t="s">
        <v>16</v>
      </c>
      <c r="N1980">
        <f t="shared" si="90"/>
        <v>41.234999999999999</v>
      </c>
      <c r="O1980" t="str">
        <f t="shared" si="91"/>
        <v>June</v>
      </c>
      <c r="P1980" t="str">
        <f t="shared" si="92"/>
        <v>Weekday</v>
      </c>
    </row>
    <row r="1981" spans="1:16" x14ac:dyDescent="0.3">
      <c r="A1981" s="1">
        <v>43620</v>
      </c>
      <c r="B1981">
        <v>6.34</v>
      </c>
      <c r="C1981">
        <v>2.823</v>
      </c>
      <c r="D1981">
        <v>5.35</v>
      </c>
      <c r="E1981">
        <v>28.2</v>
      </c>
      <c r="F1981">
        <v>9</v>
      </c>
      <c r="G1981">
        <v>1</v>
      </c>
      <c r="H1981">
        <v>12</v>
      </c>
      <c r="I1981">
        <v>5</v>
      </c>
      <c r="J1981">
        <v>2019</v>
      </c>
      <c r="K1981">
        <v>6</v>
      </c>
      <c r="L1981">
        <v>276</v>
      </c>
      <c r="M1981" t="s">
        <v>17</v>
      </c>
      <c r="N1981">
        <f t="shared" si="90"/>
        <v>69.712999999999994</v>
      </c>
      <c r="O1981" t="str">
        <f t="shared" si="91"/>
        <v>June</v>
      </c>
      <c r="P1981" t="str">
        <f t="shared" si="92"/>
        <v>Weekday</v>
      </c>
    </row>
    <row r="1982" spans="1:16" x14ac:dyDescent="0.3">
      <c r="A1982" s="1">
        <v>43621</v>
      </c>
      <c r="B1982">
        <v>5</v>
      </c>
      <c r="C1982">
        <v>1.77</v>
      </c>
      <c r="D1982">
        <v>2.1</v>
      </c>
      <c r="E1982">
        <v>26.1</v>
      </c>
      <c r="F1982">
        <v>7</v>
      </c>
      <c r="G1982">
        <v>0</v>
      </c>
      <c r="H1982">
        <v>1</v>
      </c>
      <c r="I1982">
        <v>2</v>
      </c>
      <c r="J1982">
        <v>2019</v>
      </c>
      <c r="K1982">
        <v>6</v>
      </c>
      <c r="L1982">
        <v>276</v>
      </c>
      <c r="M1982" t="s">
        <v>18</v>
      </c>
      <c r="N1982">
        <f t="shared" si="90"/>
        <v>44.97</v>
      </c>
      <c r="O1982" t="str">
        <f t="shared" si="91"/>
        <v>June</v>
      </c>
      <c r="P1982" t="str">
        <f t="shared" si="92"/>
        <v>Weekday</v>
      </c>
    </row>
    <row r="1983" spans="1:16" x14ac:dyDescent="0.3">
      <c r="A1983" s="1">
        <v>43622</v>
      </c>
      <c r="B1983">
        <v>7.67</v>
      </c>
      <c r="C1983">
        <v>2.0760000000000001</v>
      </c>
      <c r="D1983">
        <v>6.35</v>
      </c>
      <c r="E1983">
        <v>27</v>
      </c>
      <c r="F1983">
        <v>7</v>
      </c>
      <c r="G1983">
        <v>2</v>
      </c>
      <c r="H1983">
        <v>11</v>
      </c>
      <c r="I1983">
        <v>4</v>
      </c>
      <c r="J1983">
        <v>2019</v>
      </c>
      <c r="K1983">
        <v>6</v>
      </c>
      <c r="L1983">
        <v>276</v>
      </c>
      <c r="M1983" t="s">
        <v>12</v>
      </c>
      <c r="N1983">
        <f t="shared" si="90"/>
        <v>67.096000000000004</v>
      </c>
      <c r="O1983" t="str">
        <f t="shared" si="91"/>
        <v>June</v>
      </c>
      <c r="P1983" t="str">
        <f t="shared" si="92"/>
        <v>Weekday</v>
      </c>
    </row>
    <row r="1984" spans="1:16" x14ac:dyDescent="0.3">
      <c r="A1984" s="1">
        <v>43623</v>
      </c>
      <c r="B1984">
        <v>6</v>
      </c>
      <c r="C1984">
        <v>2.67</v>
      </c>
      <c r="D1984">
        <v>2</v>
      </c>
      <c r="E1984">
        <v>22</v>
      </c>
      <c r="F1984">
        <v>6</v>
      </c>
      <c r="G1984">
        <v>0</v>
      </c>
      <c r="H1984">
        <v>16</v>
      </c>
      <c r="I1984">
        <v>0</v>
      </c>
      <c r="J1984">
        <v>2019</v>
      </c>
      <c r="K1984">
        <v>6</v>
      </c>
      <c r="L1984">
        <v>276</v>
      </c>
      <c r="M1984" t="s">
        <v>13</v>
      </c>
      <c r="N1984">
        <f t="shared" si="90"/>
        <v>54.67</v>
      </c>
      <c r="O1984" t="str">
        <f t="shared" si="91"/>
        <v>June</v>
      </c>
      <c r="P1984" t="str">
        <f t="shared" si="92"/>
        <v>Weekday</v>
      </c>
    </row>
    <row r="1985" spans="1:16" x14ac:dyDescent="0.3">
      <c r="A1985" s="1">
        <v>43624</v>
      </c>
      <c r="B1985">
        <v>3</v>
      </c>
      <c r="C1985">
        <v>3.66</v>
      </c>
      <c r="D1985">
        <v>1</v>
      </c>
      <c r="E1985">
        <v>22.4</v>
      </c>
      <c r="F1985">
        <v>12</v>
      </c>
      <c r="G1985">
        <v>0</v>
      </c>
      <c r="H1985">
        <v>0</v>
      </c>
      <c r="I1985">
        <v>2.1</v>
      </c>
      <c r="J1985">
        <v>2019</v>
      </c>
      <c r="K1985">
        <v>6</v>
      </c>
      <c r="L1985">
        <v>276</v>
      </c>
      <c r="M1985" t="s">
        <v>14</v>
      </c>
      <c r="N1985">
        <f t="shared" si="90"/>
        <v>44.160000000000004</v>
      </c>
      <c r="O1985" t="str">
        <f t="shared" si="91"/>
        <v>June</v>
      </c>
      <c r="P1985" t="str">
        <f t="shared" si="92"/>
        <v>Weekend</v>
      </c>
    </row>
    <row r="1986" spans="1:16" x14ac:dyDescent="0.3">
      <c r="A1986" s="1">
        <v>43625</v>
      </c>
      <c r="B1986">
        <v>9.33</v>
      </c>
      <c r="C1986">
        <v>1.0329999999999999</v>
      </c>
      <c r="D1986">
        <v>8</v>
      </c>
      <c r="E1986">
        <v>16.5</v>
      </c>
      <c r="F1986">
        <v>7</v>
      </c>
      <c r="G1986">
        <v>4</v>
      </c>
      <c r="H1986">
        <v>0</v>
      </c>
      <c r="I1986">
        <v>5</v>
      </c>
      <c r="J1986">
        <v>2019</v>
      </c>
      <c r="K1986">
        <v>6</v>
      </c>
      <c r="L1986">
        <v>276</v>
      </c>
      <c r="M1986" t="s">
        <v>15</v>
      </c>
      <c r="N1986">
        <f t="shared" si="90"/>
        <v>50.863</v>
      </c>
      <c r="O1986" t="str">
        <f t="shared" si="91"/>
        <v>June</v>
      </c>
      <c r="P1986" t="str">
        <f t="shared" si="92"/>
        <v>Weekend</v>
      </c>
    </row>
    <row r="1987" spans="1:16" x14ac:dyDescent="0.3">
      <c r="A1987" s="1">
        <v>43626</v>
      </c>
      <c r="B1987">
        <v>3</v>
      </c>
      <c r="C1987">
        <v>1.34</v>
      </c>
      <c r="D1987">
        <v>2</v>
      </c>
      <c r="E1987">
        <v>15</v>
      </c>
      <c r="F1987">
        <v>7</v>
      </c>
      <c r="G1987">
        <v>0</v>
      </c>
      <c r="H1987">
        <v>6</v>
      </c>
      <c r="I1987">
        <v>12</v>
      </c>
      <c r="J1987">
        <v>2019</v>
      </c>
      <c r="K1987">
        <v>6</v>
      </c>
      <c r="L1987">
        <v>276</v>
      </c>
      <c r="M1987" t="s">
        <v>16</v>
      </c>
      <c r="N1987">
        <f t="shared" ref="N1987:N2050" si="93">SUM(B1987:I1987)</f>
        <v>46.34</v>
      </c>
      <c r="O1987" t="str">
        <f t="shared" ref="O1987:O2050" si="94">TEXT(A1987,"mmmm")</f>
        <v>June</v>
      </c>
      <c r="P1987" t="str">
        <f t="shared" ref="P1987:P2050" si="95">IF(OR(M1987="Saturday",M1987="Sunday"),"Weekend","Weekday")</f>
        <v>Weekday</v>
      </c>
    </row>
    <row r="1988" spans="1:16" x14ac:dyDescent="0.3">
      <c r="A1988" s="1">
        <v>43627</v>
      </c>
      <c r="B1988">
        <v>11.34</v>
      </c>
      <c r="C1988">
        <v>3.33</v>
      </c>
      <c r="D1988">
        <v>10.5</v>
      </c>
      <c r="E1988">
        <v>25</v>
      </c>
      <c r="F1988">
        <v>9</v>
      </c>
      <c r="G1988">
        <v>0</v>
      </c>
      <c r="H1988">
        <v>7</v>
      </c>
      <c r="I1988">
        <v>6</v>
      </c>
      <c r="J1988">
        <v>2019</v>
      </c>
      <c r="K1988">
        <v>6</v>
      </c>
      <c r="L1988">
        <v>276</v>
      </c>
      <c r="M1988" t="s">
        <v>17</v>
      </c>
      <c r="N1988">
        <f t="shared" si="93"/>
        <v>72.17</v>
      </c>
      <c r="O1988" t="str">
        <f t="shared" si="94"/>
        <v>June</v>
      </c>
      <c r="P1988" t="str">
        <f t="shared" si="95"/>
        <v>Weekday</v>
      </c>
    </row>
    <row r="1989" spans="1:16" x14ac:dyDescent="0.3">
      <c r="A1989" s="1">
        <v>43628</v>
      </c>
      <c r="B1989">
        <v>8</v>
      </c>
      <c r="C1989">
        <v>3.4060000000000001</v>
      </c>
      <c r="D1989">
        <v>1</v>
      </c>
      <c r="E1989">
        <v>16.2</v>
      </c>
      <c r="F1989">
        <v>11</v>
      </c>
      <c r="G1989">
        <v>0</v>
      </c>
      <c r="H1989">
        <v>1</v>
      </c>
      <c r="I1989">
        <v>7</v>
      </c>
      <c r="J1989">
        <v>2019</v>
      </c>
      <c r="K1989">
        <v>6</v>
      </c>
      <c r="L1989">
        <v>276</v>
      </c>
      <c r="M1989" t="s">
        <v>18</v>
      </c>
      <c r="N1989">
        <f t="shared" si="93"/>
        <v>47.606000000000002</v>
      </c>
      <c r="O1989" t="str">
        <f t="shared" si="94"/>
        <v>June</v>
      </c>
      <c r="P1989" t="str">
        <f t="shared" si="95"/>
        <v>Weekday</v>
      </c>
    </row>
    <row r="1990" spans="1:16" x14ac:dyDescent="0.3">
      <c r="A1990" s="1">
        <v>43629</v>
      </c>
      <c r="B1990">
        <v>0.68</v>
      </c>
      <c r="C1990">
        <v>3.02</v>
      </c>
      <c r="D1990">
        <v>0.25</v>
      </c>
      <c r="E1990">
        <v>19.399999999999999</v>
      </c>
      <c r="F1990">
        <v>2</v>
      </c>
      <c r="G1990">
        <v>0</v>
      </c>
      <c r="H1990">
        <v>2</v>
      </c>
      <c r="I1990">
        <v>9</v>
      </c>
      <c r="J1990">
        <v>2019</v>
      </c>
      <c r="K1990">
        <v>6</v>
      </c>
      <c r="L1990">
        <v>276</v>
      </c>
      <c r="M1990" t="s">
        <v>12</v>
      </c>
      <c r="N1990">
        <f t="shared" si="93"/>
        <v>36.349999999999994</v>
      </c>
      <c r="O1990" t="str">
        <f t="shared" si="94"/>
        <v>June</v>
      </c>
      <c r="P1990" t="str">
        <f t="shared" si="95"/>
        <v>Weekday</v>
      </c>
    </row>
    <row r="1991" spans="1:16" x14ac:dyDescent="0.3">
      <c r="A1991" s="1">
        <v>43630</v>
      </c>
      <c r="B1991">
        <v>3.18</v>
      </c>
      <c r="C1991">
        <v>3.35</v>
      </c>
      <c r="D1991">
        <v>3</v>
      </c>
      <c r="E1991">
        <v>15</v>
      </c>
      <c r="F1991">
        <v>2</v>
      </c>
      <c r="G1991">
        <v>1</v>
      </c>
      <c r="H1991">
        <v>0</v>
      </c>
      <c r="I1991">
        <v>6</v>
      </c>
      <c r="J1991">
        <v>2019</v>
      </c>
      <c r="K1991">
        <v>6</v>
      </c>
      <c r="L1991">
        <v>276</v>
      </c>
      <c r="M1991" t="s">
        <v>13</v>
      </c>
      <c r="N1991">
        <f t="shared" si="93"/>
        <v>33.53</v>
      </c>
      <c r="O1991" t="str">
        <f t="shared" si="94"/>
        <v>June</v>
      </c>
      <c r="P1991" t="str">
        <f t="shared" si="95"/>
        <v>Weekday</v>
      </c>
    </row>
    <row r="1992" spans="1:16" x14ac:dyDescent="0.3">
      <c r="A1992" s="1">
        <v>43631</v>
      </c>
      <c r="B1992">
        <v>7</v>
      </c>
      <c r="C1992">
        <v>3.4630000000000001</v>
      </c>
      <c r="D1992">
        <v>5</v>
      </c>
      <c r="E1992">
        <v>15</v>
      </c>
      <c r="F1992">
        <v>13</v>
      </c>
      <c r="G1992">
        <v>0</v>
      </c>
      <c r="H1992">
        <v>7</v>
      </c>
      <c r="I1992">
        <v>8</v>
      </c>
      <c r="J1992">
        <v>2019</v>
      </c>
      <c r="K1992">
        <v>6</v>
      </c>
      <c r="L1992">
        <v>276</v>
      </c>
      <c r="M1992" t="s">
        <v>14</v>
      </c>
      <c r="N1992">
        <f t="shared" si="93"/>
        <v>58.463000000000001</v>
      </c>
      <c r="O1992" t="str">
        <f t="shared" si="94"/>
        <v>June</v>
      </c>
      <c r="P1992" t="str">
        <f t="shared" si="95"/>
        <v>Weekend</v>
      </c>
    </row>
    <row r="1993" spans="1:16" x14ac:dyDescent="0.3">
      <c r="A1993" s="1">
        <v>43632</v>
      </c>
      <c r="B1993">
        <v>4</v>
      </c>
      <c r="C1993">
        <v>5.35</v>
      </c>
      <c r="D1993">
        <v>3</v>
      </c>
      <c r="E1993">
        <v>18</v>
      </c>
      <c r="F1993">
        <v>2</v>
      </c>
      <c r="G1993">
        <v>0</v>
      </c>
      <c r="H1993">
        <v>0</v>
      </c>
      <c r="I1993">
        <v>9</v>
      </c>
      <c r="J1993">
        <v>2019</v>
      </c>
      <c r="K1993">
        <v>6</v>
      </c>
      <c r="L1993">
        <v>276</v>
      </c>
      <c r="M1993" t="s">
        <v>15</v>
      </c>
      <c r="N1993">
        <f t="shared" si="93"/>
        <v>41.35</v>
      </c>
      <c r="O1993" t="str">
        <f t="shared" si="94"/>
        <v>June</v>
      </c>
      <c r="P1993" t="str">
        <f t="shared" si="95"/>
        <v>Weekend</v>
      </c>
    </row>
    <row r="1994" spans="1:16" x14ac:dyDescent="0.3">
      <c r="A1994" s="1">
        <v>43633</v>
      </c>
      <c r="B1994">
        <v>6.66</v>
      </c>
      <c r="C1994">
        <v>4.66</v>
      </c>
      <c r="D1994">
        <v>3</v>
      </c>
      <c r="E1994">
        <v>18</v>
      </c>
      <c r="F1994">
        <v>6</v>
      </c>
      <c r="G1994">
        <v>0</v>
      </c>
      <c r="H1994">
        <v>2</v>
      </c>
      <c r="I1994">
        <v>2.34</v>
      </c>
      <c r="J1994">
        <v>2019</v>
      </c>
      <c r="K1994">
        <v>6</v>
      </c>
      <c r="L1994">
        <v>276</v>
      </c>
      <c r="M1994" t="s">
        <v>16</v>
      </c>
      <c r="N1994">
        <f t="shared" si="93"/>
        <v>42.66</v>
      </c>
      <c r="O1994" t="str">
        <f t="shared" si="94"/>
        <v>June</v>
      </c>
      <c r="P1994" t="str">
        <f t="shared" si="95"/>
        <v>Weekday</v>
      </c>
    </row>
    <row r="1995" spans="1:16" x14ac:dyDescent="0.3">
      <c r="A1995" s="1">
        <v>43634</v>
      </c>
      <c r="B1995">
        <v>5</v>
      </c>
      <c r="C1995">
        <v>4.21</v>
      </c>
      <c r="D1995">
        <v>3</v>
      </c>
      <c r="E1995">
        <v>29.5</v>
      </c>
      <c r="F1995">
        <v>8</v>
      </c>
      <c r="G1995">
        <v>0</v>
      </c>
      <c r="H1995">
        <v>2</v>
      </c>
      <c r="I1995">
        <v>12.1</v>
      </c>
      <c r="J1995">
        <v>2019</v>
      </c>
      <c r="K1995">
        <v>6</v>
      </c>
      <c r="L1995">
        <v>276</v>
      </c>
      <c r="M1995" t="s">
        <v>17</v>
      </c>
      <c r="N1995">
        <f t="shared" si="93"/>
        <v>63.81</v>
      </c>
      <c r="O1995" t="str">
        <f t="shared" si="94"/>
        <v>June</v>
      </c>
      <c r="P1995" t="str">
        <f t="shared" si="95"/>
        <v>Weekday</v>
      </c>
    </row>
    <row r="1996" spans="1:16" x14ac:dyDescent="0.3">
      <c r="A1996" s="1">
        <v>43635</v>
      </c>
      <c r="B1996">
        <v>3.67</v>
      </c>
      <c r="C1996">
        <v>3.0329999999999999</v>
      </c>
      <c r="D1996">
        <v>3</v>
      </c>
      <c r="E1996">
        <v>18</v>
      </c>
      <c r="F1996">
        <v>6</v>
      </c>
      <c r="G1996">
        <v>1</v>
      </c>
      <c r="H1996">
        <v>2</v>
      </c>
      <c r="I1996">
        <v>5.5</v>
      </c>
      <c r="J1996">
        <v>2019</v>
      </c>
      <c r="K1996">
        <v>6</v>
      </c>
      <c r="L1996">
        <v>276</v>
      </c>
      <c r="M1996" t="s">
        <v>18</v>
      </c>
      <c r="N1996">
        <f t="shared" si="93"/>
        <v>42.203000000000003</v>
      </c>
      <c r="O1996" t="str">
        <f t="shared" si="94"/>
        <v>June</v>
      </c>
      <c r="P1996" t="str">
        <f t="shared" si="95"/>
        <v>Weekday</v>
      </c>
    </row>
    <row r="1997" spans="1:16" x14ac:dyDescent="0.3">
      <c r="A1997" s="1">
        <v>43636</v>
      </c>
      <c r="B1997">
        <v>5</v>
      </c>
      <c r="C1997">
        <v>4.3630000000000004</v>
      </c>
      <c r="D1997">
        <v>3</v>
      </c>
      <c r="E1997">
        <v>15</v>
      </c>
      <c r="F1997">
        <v>9</v>
      </c>
      <c r="G1997">
        <v>4</v>
      </c>
      <c r="H1997">
        <v>0</v>
      </c>
      <c r="I1997">
        <v>4</v>
      </c>
      <c r="J1997">
        <v>2019</v>
      </c>
      <c r="K1997">
        <v>6</v>
      </c>
      <c r="L1997">
        <v>276</v>
      </c>
      <c r="M1997" t="s">
        <v>12</v>
      </c>
      <c r="N1997">
        <f t="shared" si="93"/>
        <v>44.363</v>
      </c>
      <c r="O1997" t="str">
        <f t="shared" si="94"/>
        <v>June</v>
      </c>
      <c r="P1997" t="str">
        <f t="shared" si="95"/>
        <v>Weekday</v>
      </c>
    </row>
    <row r="1998" spans="1:16" x14ac:dyDescent="0.3">
      <c r="A1998" s="1">
        <v>43637</v>
      </c>
      <c r="B1998">
        <v>3</v>
      </c>
      <c r="C1998">
        <v>2.33</v>
      </c>
      <c r="D1998">
        <v>3</v>
      </c>
      <c r="E1998">
        <v>24.8</v>
      </c>
      <c r="F1998">
        <v>8</v>
      </c>
      <c r="G1998">
        <v>3</v>
      </c>
      <c r="H1998">
        <v>4</v>
      </c>
      <c r="I1998">
        <v>6</v>
      </c>
      <c r="J1998">
        <v>2019</v>
      </c>
      <c r="K1998">
        <v>6</v>
      </c>
      <c r="L1998">
        <v>276</v>
      </c>
      <c r="M1998" t="s">
        <v>13</v>
      </c>
      <c r="N1998">
        <f t="shared" si="93"/>
        <v>54.13</v>
      </c>
      <c r="O1998" t="str">
        <f t="shared" si="94"/>
        <v>June</v>
      </c>
      <c r="P1998" t="str">
        <f t="shared" si="95"/>
        <v>Weekday</v>
      </c>
    </row>
    <row r="1999" spans="1:16" x14ac:dyDescent="0.3">
      <c r="A1999" s="1">
        <v>43638</v>
      </c>
      <c r="B1999">
        <v>3</v>
      </c>
      <c r="C1999">
        <v>4</v>
      </c>
      <c r="D1999">
        <v>0</v>
      </c>
      <c r="E1999">
        <v>25</v>
      </c>
      <c r="F1999">
        <v>11</v>
      </c>
      <c r="G1999">
        <v>2</v>
      </c>
      <c r="H1999">
        <v>12</v>
      </c>
      <c r="I1999">
        <v>5</v>
      </c>
      <c r="J1999">
        <v>2019</v>
      </c>
      <c r="K1999">
        <v>6</v>
      </c>
      <c r="L1999">
        <v>276</v>
      </c>
      <c r="M1999" t="s">
        <v>14</v>
      </c>
      <c r="N1999">
        <f t="shared" si="93"/>
        <v>62</v>
      </c>
      <c r="O1999" t="str">
        <f t="shared" si="94"/>
        <v>June</v>
      </c>
      <c r="P1999" t="str">
        <f t="shared" si="95"/>
        <v>Weekend</v>
      </c>
    </row>
    <row r="2000" spans="1:16" x14ac:dyDescent="0.3">
      <c r="A2000" s="1">
        <v>43639</v>
      </c>
      <c r="B2000">
        <v>9.33</v>
      </c>
      <c r="C2000">
        <v>4.7919999999999998</v>
      </c>
      <c r="D2000">
        <v>5.5</v>
      </c>
      <c r="E2000">
        <v>18.2</v>
      </c>
      <c r="F2000">
        <v>1</v>
      </c>
      <c r="G2000">
        <v>0</v>
      </c>
      <c r="H2000">
        <v>10</v>
      </c>
      <c r="I2000">
        <v>1</v>
      </c>
      <c r="J2000">
        <v>2019</v>
      </c>
      <c r="K2000">
        <v>6</v>
      </c>
      <c r="L2000">
        <v>276</v>
      </c>
      <c r="M2000" t="s">
        <v>15</v>
      </c>
      <c r="N2000">
        <f t="shared" si="93"/>
        <v>49.822000000000003</v>
      </c>
      <c r="O2000" t="str">
        <f t="shared" si="94"/>
        <v>June</v>
      </c>
      <c r="P2000" t="str">
        <f t="shared" si="95"/>
        <v>Weekend</v>
      </c>
    </row>
    <row r="2001" spans="1:16" x14ac:dyDescent="0.3">
      <c r="A2001" s="1">
        <v>43640</v>
      </c>
      <c r="B2001">
        <v>10</v>
      </c>
      <c r="C2001">
        <v>4.68</v>
      </c>
      <c r="D2001">
        <v>3.1</v>
      </c>
      <c r="E2001">
        <v>19</v>
      </c>
      <c r="F2001">
        <v>9</v>
      </c>
      <c r="G2001">
        <v>3</v>
      </c>
      <c r="H2001">
        <v>3</v>
      </c>
      <c r="I2001">
        <v>7</v>
      </c>
      <c r="J2001">
        <v>2019</v>
      </c>
      <c r="K2001">
        <v>6</v>
      </c>
      <c r="L2001">
        <v>276</v>
      </c>
      <c r="M2001" t="s">
        <v>16</v>
      </c>
      <c r="N2001">
        <f t="shared" si="93"/>
        <v>58.78</v>
      </c>
      <c r="O2001" t="str">
        <f t="shared" si="94"/>
        <v>June</v>
      </c>
      <c r="P2001" t="str">
        <f t="shared" si="95"/>
        <v>Weekday</v>
      </c>
    </row>
    <row r="2002" spans="1:16" x14ac:dyDescent="0.3">
      <c r="A2002" s="1">
        <v>43641</v>
      </c>
      <c r="B2002">
        <v>2.34</v>
      </c>
      <c r="C2002">
        <v>2.6379999999999999</v>
      </c>
      <c r="D2002">
        <v>5</v>
      </c>
      <c r="E2002">
        <v>12</v>
      </c>
      <c r="F2002">
        <v>10</v>
      </c>
      <c r="G2002">
        <v>1</v>
      </c>
      <c r="H2002">
        <v>0</v>
      </c>
      <c r="I2002">
        <v>3</v>
      </c>
      <c r="J2002">
        <v>2019</v>
      </c>
      <c r="K2002">
        <v>6</v>
      </c>
      <c r="L2002">
        <v>276</v>
      </c>
      <c r="M2002" t="s">
        <v>17</v>
      </c>
      <c r="N2002">
        <f t="shared" si="93"/>
        <v>35.978000000000002</v>
      </c>
      <c r="O2002" t="str">
        <f t="shared" si="94"/>
        <v>June</v>
      </c>
      <c r="P2002" t="str">
        <f t="shared" si="95"/>
        <v>Weekday</v>
      </c>
    </row>
    <row r="2003" spans="1:16" x14ac:dyDescent="0.3">
      <c r="A2003" s="1">
        <v>43642</v>
      </c>
      <c r="B2003">
        <v>2</v>
      </c>
      <c r="C2003">
        <v>3.44</v>
      </c>
      <c r="D2003">
        <v>1</v>
      </c>
      <c r="E2003">
        <v>11.6</v>
      </c>
      <c r="F2003">
        <v>5</v>
      </c>
      <c r="G2003">
        <v>1</v>
      </c>
      <c r="H2003">
        <v>0</v>
      </c>
      <c r="I2003">
        <v>5</v>
      </c>
      <c r="J2003">
        <v>2019</v>
      </c>
      <c r="K2003">
        <v>6</v>
      </c>
      <c r="L2003">
        <v>276</v>
      </c>
      <c r="M2003" t="s">
        <v>18</v>
      </c>
      <c r="N2003">
        <f t="shared" si="93"/>
        <v>29.04</v>
      </c>
      <c r="O2003" t="str">
        <f t="shared" si="94"/>
        <v>June</v>
      </c>
      <c r="P2003" t="str">
        <f t="shared" si="95"/>
        <v>Weekday</v>
      </c>
    </row>
    <row r="2004" spans="1:16" x14ac:dyDescent="0.3">
      <c r="A2004" s="1">
        <v>43643</v>
      </c>
      <c r="B2004">
        <v>8.16</v>
      </c>
      <c r="C2004">
        <v>6.33</v>
      </c>
      <c r="D2004">
        <v>4</v>
      </c>
      <c r="E2004">
        <v>15</v>
      </c>
      <c r="F2004">
        <v>5</v>
      </c>
      <c r="G2004">
        <v>1</v>
      </c>
      <c r="H2004">
        <v>7</v>
      </c>
      <c r="I2004">
        <v>2</v>
      </c>
      <c r="J2004">
        <v>2019</v>
      </c>
      <c r="K2004">
        <v>6</v>
      </c>
      <c r="L2004">
        <v>276</v>
      </c>
      <c r="M2004" t="s">
        <v>12</v>
      </c>
      <c r="N2004">
        <f t="shared" si="93"/>
        <v>48.49</v>
      </c>
      <c r="O2004" t="str">
        <f t="shared" si="94"/>
        <v>June</v>
      </c>
      <c r="P2004" t="str">
        <f t="shared" si="95"/>
        <v>Weekday</v>
      </c>
    </row>
    <row r="2005" spans="1:16" x14ac:dyDescent="0.3">
      <c r="A2005" s="1">
        <v>43644</v>
      </c>
      <c r="B2005">
        <v>4.33</v>
      </c>
      <c r="C2005">
        <v>1.496</v>
      </c>
      <c r="D2005">
        <v>2</v>
      </c>
      <c r="E2005">
        <v>15</v>
      </c>
      <c r="F2005">
        <v>5</v>
      </c>
      <c r="G2005">
        <v>0</v>
      </c>
      <c r="H2005">
        <v>2</v>
      </c>
      <c r="I2005">
        <v>3</v>
      </c>
      <c r="J2005">
        <v>2019</v>
      </c>
      <c r="K2005">
        <v>6</v>
      </c>
      <c r="L2005">
        <v>276</v>
      </c>
      <c r="M2005" t="s">
        <v>13</v>
      </c>
      <c r="N2005">
        <f t="shared" si="93"/>
        <v>32.826000000000001</v>
      </c>
      <c r="O2005" t="str">
        <f t="shared" si="94"/>
        <v>June</v>
      </c>
      <c r="P2005" t="str">
        <f t="shared" si="95"/>
        <v>Weekday</v>
      </c>
    </row>
    <row r="2006" spans="1:16" x14ac:dyDescent="0.3">
      <c r="A2006" s="1">
        <v>43645</v>
      </c>
      <c r="B2006">
        <v>1.18</v>
      </c>
      <c r="C2006">
        <v>5.7</v>
      </c>
      <c r="D2006">
        <v>5</v>
      </c>
      <c r="E2006">
        <v>18.3</v>
      </c>
      <c r="F2006">
        <v>2</v>
      </c>
      <c r="G2006">
        <v>0</v>
      </c>
      <c r="H2006">
        <v>5</v>
      </c>
      <c r="I2006">
        <v>2</v>
      </c>
      <c r="J2006">
        <v>2019</v>
      </c>
      <c r="K2006">
        <v>6</v>
      </c>
      <c r="L2006">
        <v>276</v>
      </c>
      <c r="M2006" t="s">
        <v>14</v>
      </c>
      <c r="N2006">
        <f t="shared" si="93"/>
        <v>39.18</v>
      </c>
      <c r="O2006" t="str">
        <f t="shared" si="94"/>
        <v>June</v>
      </c>
      <c r="P2006" t="str">
        <f t="shared" si="95"/>
        <v>Weekend</v>
      </c>
    </row>
    <row r="2007" spans="1:16" x14ac:dyDescent="0.3">
      <c r="A2007" s="1">
        <v>43646</v>
      </c>
      <c r="B2007">
        <v>6</v>
      </c>
      <c r="C2007">
        <v>6.1589999999999998</v>
      </c>
      <c r="D2007">
        <v>0</v>
      </c>
      <c r="E2007">
        <v>40</v>
      </c>
      <c r="F2007">
        <v>5</v>
      </c>
      <c r="G2007">
        <v>0</v>
      </c>
      <c r="H2007">
        <v>11</v>
      </c>
      <c r="I2007">
        <v>5</v>
      </c>
      <c r="J2007">
        <v>2019</v>
      </c>
      <c r="K2007">
        <v>6</v>
      </c>
      <c r="L2007">
        <v>276</v>
      </c>
      <c r="M2007" t="s">
        <v>15</v>
      </c>
      <c r="N2007">
        <f t="shared" si="93"/>
        <v>73.158999999999992</v>
      </c>
      <c r="O2007" t="str">
        <f t="shared" si="94"/>
        <v>June</v>
      </c>
      <c r="P2007" t="str">
        <f t="shared" si="95"/>
        <v>Weekend</v>
      </c>
    </row>
    <row r="2008" spans="1:16" x14ac:dyDescent="0.3">
      <c r="A2008" s="1">
        <v>43647</v>
      </c>
      <c r="B2008">
        <v>5.33</v>
      </c>
      <c r="C2008">
        <v>2</v>
      </c>
      <c r="D2008">
        <v>1</v>
      </c>
      <c r="E2008">
        <v>14</v>
      </c>
      <c r="F2008">
        <v>7</v>
      </c>
      <c r="G2008">
        <v>0</v>
      </c>
      <c r="H2008">
        <v>8</v>
      </c>
      <c r="I2008">
        <v>4</v>
      </c>
      <c r="J2008">
        <v>2019</v>
      </c>
      <c r="K2008">
        <v>7</v>
      </c>
      <c r="L2008">
        <v>276</v>
      </c>
      <c r="M2008" t="s">
        <v>16</v>
      </c>
      <c r="N2008">
        <f t="shared" si="93"/>
        <v>41.33</v>
      </c>
      <c r="O2008" t="str">
        <f t="shared" si="94"/>
        <v>July</v>
      </c>
      <c r="P2008" t="str">
        <f t="shared" si="95"/>
        <v>Weekday</v>
      </c>
    </row>
    <row r="2009" spans="1:16" x14ac:dyDescent="0.3">
      <c r="A2009" s="1">
        <v>43648</v>
      </c>
      <c r="B2009">
        <v>5.66</v>
      </c>
      <c r="C2009">
        <v>3.012</v>
      </c>
      <c r="D2009">
        <v>4</v>
      </c>
      <c r="E2009">
        <v>14</v>
      </c>
      <c r="F2009">
        <v>9</v>
      </c>
      <c r="G2009">
        <v>0</v>
      </c>
      <c r="H2009">
        <v>1</v>
      </c>
      <c r="I2009">
        <v>4.3</v>
      </c>
      <c r="J2009">
        <v>2019</v>
      </c>
      <c r="K2009">
        <v>7</v>
      </c>
      <c r="L2009">
        <v>276</v>
      </c>
      <c r="M2009" t="s">
        <v>17</v>
      </c>
      <c r="N2009">
        <f t="shared" si="93"/>
        <v>40.971999999999994</v>
      </c>
      <c r="O2009" t="str">
        <f t="shared" si="94"/>
        <v>July</v>
      </c>
      <c r="P2009" t="str">
        <f t="shared" si="95"/>
        <v>Weekday</v>
      </c>
    </row>
    <row r="2010" spans="1:16" x14ac:dyDescent="0.3">
      <c r="A2010" s="1">
        <v>43649</v>
      </c>
      <c r="B2010">
        <v>4</v>
      </c>
      <c r="C2010">
        <v>2.8490000000000002</v>
      </c>
      <c r="D2010">
        <v>4</v>
      </c>
      <c r="E2010">
        <v>30.05</v>
      </c>
      <c r="F2010">
        <v>9</v>
      </c>
      <c r="G2010">
        <v>0</v>
      </c>
      <c r="H2010">
        <v>1</v>
      </c>
      <c r="I2010">
        <v>4</v>
      </c>
      <c r="J2010">
        <v>2019</v>
      </c>
      <c r="K2010">
        <v>7</v>
      </c>
      <c r="L2010">
        <v>276</v>
      </c>
      <c r="M2010" t="s">
        <v>18</v>
      </c>
      <c r="N2010">
        <f t="shared" si="93"/>
        <v>54.899000000000001</v>
      </c>
      <c r="O2010" t="str">
        <f t="shared" si="94"/>
        <v>July</v>
      </c>
      <c r="P2010" t="str">
        <f t="shared" si="95"/>
        <v>Weekday</v>
      </c>
    </row>
    <row r="2011" spans="1:16" x14ac:dyDescent="0.3">
      <c r="A2011" s="1">
        <v>43650</v>
      </c>
      <c r="B2011">
        <v>5.33</v>
      </c>
      <c r="C2011">
        <v>1.67</v>
      </c>
      <c r="D2011">
        <v>0</v>
      </c>
      <c r="E2011">
        <v>13</v>
      </c>
      <c r="F2011">
        <v>7</v>
      </c>
      <c r="G2011">
        <v>1</v>
      </c>
      <c r="H2011">
        <v>3</v>
      </c>
      <c r="I2011">
        <v>6.5</v>
      </c>
      <c r="J2011">
        <v>2019</v>
      </c>
      <c r="K2011">
        <v>7</v>
      </c>
      <c r="L2011">
        <v>276</v>
      </c>
      <c r="M2011" t="s">
        <v>12</v>
      </c>
      <c r="N2011">
        <f t="shared" si="93"/>
        <v>37.5</v>
      </c>
      <c r="O2011" t="str">
        <f t="shared" si="94"/>
        <v>July</v>
      </c>
      <c r="P2011" t="str">
        <f t="shared" si="95"/>
        <v>Weekday</v>
      </c>
    </row>
    <row r="2012" spans="1:16" x14ac:dyDescent="0.3">
      <c r="A2012" s="1">
        <v>43651</v>
      </c>
      <c r="B2012">
        <v>4.33</v>
      </c>
      <c r="C2012">
        <v>3.08</v>
      </c>
      <c r="D2012">
        <v>4</v>
      </c>
      <c r="E2012">
        <v>20</v>
      </c>
      <c r="F2012">
        <v>11</v>
      </c>
      <c r="G2012">
        <v>0</v>
      </c>
      <c r="H2012">
        <v>0</v>
      </c>
      <c r="I2012">
        <v>2</v>
      </c>
      <c r="J2012">
        <v>2019</v>
      </c>
      <c r="K2012">
        <v>7</v>
      </c>
      <c r="L2012">
        <v>276</v>
      </c>
      <c r="M2012" t="s">
        <v>13</v>
      </c>
      <c r="N2012">
        <f t="shared" si="93"/>
        <v>44.41</v>
      </c>
      <c r="O2012" t="str">
        <f t="shared" si="94"/>
        <v>July</v>
      </c>
      <c r="P2012" t="str">
        <f t="shared" si="95"/>
        <v>Weekday</v>
      </c>
    </row>
    <row r="2013" spans="1:16" x14ac:dyDescent="0.3">
      <c r="A2013" s="1">
        <v>43652</v>
      </c>
      <c r="B2013">
        <v>4.34</v>
      </c>
      <c r="C2013">
        <v>1.7030000000000001</v>
      </c>
      <c r="D2013">
        <v>3</v>
      </c>
      <c r="E2013">
        <v>16</v>
      </c>
      <c r="F2013">
        <v>2</v>
      </c>
      <c r="G2013">
        <v>0</v>
      </c>
      <c r="H2013">
        <v>1</v>
      </c>
      <c r="I2013">
        <v>3</v>
      </c>
      <c r="J2013">
        <v>2019</v>
      </c>
      <c r="K2013">
        <v>7</v>
      </c>
      <c r="L2013">
        <v>276</v>
      </c>
      <c r="M2013" t="s">
        <v>14</v>
      </c>
      <c r="N2013">
        <f t="shared" si="93"/>
        <v>31.042999999999999</v>
      </c>
      <c r="O2013" t="str">
        <f t="shared" si="94"/>
        <v>July</v>
      </c>
      <c r="P2013" t="str">
        <f t="shared" si="95"/>
        <v>Weekend</v>
      </c>
    </row>
    <row r="2014" spans="1:16" x14ac:dyDescent="0.3">
      <c r="A2014" s="1">
        <v>43653</v>
      </c>
      <c r="B2014">
        <v>5.66</v>
      </c>
      <c r="C2014">
        <v>6.4630000000000001</v>
      </c>
      <c r="D2014">
        <v>3</v>
      </c>
      <c r="E2014">
        <v>25</v>
      </c>
      <c r="F2014">
        <v>2</v>
      </c>
      <c r="G2014">
        <v>0</v>
      </c>
      <c r="H2014">
        <v>3</v>
      </c>
      <c r="I2014">
        <v>5</v>
      </c>
      <c r="J2014">
        <v>2019</v>
      </c>
      <c r="K2014">
        <v>7</v>
      </c>
      <c r="L2014">
        <v>276</v>
      </c>
      <c r="M2014" t="s">
        <v>15</v>
      </c>
      <c r="N2014">
        <f t="shared" si="93"/>
        <v>50.123000000000005</v>
      </c>
      <c r="O2014" t="str">
        <f t="shared" si="94"/>
        <v>July</v>
      </c>
      <c r="P2014" t="str">
        <f t="shared" si="95"/>
        <v>Weekend</v>
      </c>
    </row>
    <row r="2015" spans="1:16" x14ac:dyDescent="0.3">
      <c r="A2015" s="1">
        <v>43654</v>
      </c>
      <c r="B2015">
        <v>6</v>
      </c>
      <c r="C2015">
        <v>4.3730000000000002</v>
      </c>
      <c r="D2015">
        <v>2</v>
      </c>
      <c r="E2015">
        <v>21.4</v>
      </c>
      <c r="F2015">
        <v>9.1999999999999993</v>
      </c>
      <c r="G2015">
        <v>1</v>
      </c>
      <c r="H2015">
        <v>4</v>
      </c>
      <c r="I2015">
        <v>4</v>
      </c>
      <c r="J2015">
        <v>2019</v>
      </c>
      <c r="K2015">
        <v>7</v>
      </c>
      <c r="L2015">
        <v>276</v>
      </c>
      <c r="M2015" t="s">
        <v>16</v>
      </c>
      <c r="N2015">
        <f t="shared" si="93"/>
        <v>51.972999999999999</v>
      </c>
      <c r="O2015" t="str">
        <f t="shared" si="94"/>
        <v>July</v>
      </c>
      <c r="P2015" t="str">
        <f t="shared" si="95"/>
        <v>Weekday</v>
      </c>
    </row>
    <row r="2016" spans="1:16" x14ac:dyDescent="0.3">
      <c r="A2016" s="1">
        <v>43655</v>
      </c>
      <c r="B2016">
        <v>2.67</v>
      </c>
      <c r="C2016">
        <v>2.7029999999999998</v>
      </c>
      <c r="D2016">
        <v>8</v>
      </c>
      <c r="E2016">
        <v>15</v>
      </c>
      <c r="F2016">
        <v>12</v>
      </c>
      <c r="G2016">
        <v>4</v>
      </c>
      <c r="H2016">
        <v>3</v>
      </c>
      <c r="I2016">
        <v>2</v>
      </c>
      <c r="J2016">
        <v>2019</v>
      </c>
      <c r="K2016">
        <v>7</v>
      </c>
      <c r="L2016">
        <v>276</v>
      </c>
      <c r="M2016" t="s">
        <v>17</v>
      </c>
      <c r="N2016">
        <f t="shared" si="93"/>
        <v>49.372999999999998</v>
      </c>
      <c r="O2016" t="str">
        <f t="shared" si="94"/>
        <v>July</v>
      </c>
      <c r="P2016" t="str">
        <f t="shared" si="95"/>
        <v>Weekday</v>
      </c>
    </row>
    <row r="2017" spans="1:16" x14ac:dyDescent="0.3">
      <c r="A2017" s="1">
        <v>43656</v>
      </c>
      <c r="B2017">
        <v>10</v>
      </c>
      <c r="C2017">
        <v>5.67</v>
      </c>
      <c r="D2017">
        <v>5</v>
      </c>
      <c r="E2017">
        <v>19.600000000000001</v>
      </c>
      <c r="F2017">
        <v>10.199999999999999</v>
      </c>
      <c r="G2017">
        <v>0</v>
      </c>
      <c r="H2017">
        <v>1</v>
      </c>
      <c r="I2017">
        <v>4</v>
      </c>
      <c r="J2017">
        <v>2019</v>
      </c>
      <c r="K2017">
        <v>7</v>
      </c>
      <c r="L2017">
        <v>276</v>
      </c>
      <c r="M2017" t="s">
        <v>18</v>
      </c>
      <c r="N2017">
        <f t="shared" si="93"/>
        <v>55.47</v>
      </c>
      <c r="O2017" t="str">
        <f t="shared" si="94"/>
        <v>July</v>
      </c>
      <c r="P2017" t="str">
        <f t="shared" si="95"/>
        <v>Weekday</v>
      </c>
    </row>
    <row r="2018" spans="1:16" x14ac:dyDescent="0.3">
      <c r="A2018" s="1">
        <v>43657</v>
      </c>
      <c r="B2018">
        <v>3.33</v>
      </c>
      <c r="C2018">
        <v>4.726</v>
      </c>
      <c r="D2018">
        <v>4</v>
      </c>
      <c r="E2018">
        <v>19</v>
      </c>
      <c r="F2018">
        <v>7</v>
      </c>
      <c r="G2018">
        <v>0</v>
      </c>
      <c r="H2018">
        <v>0</v>
      </c>
      <c r="I2018">
        <v>3</v>
      </c>
      <c r="J2018">
        <v>2019</v>
      </c>
      <c r="K2018">
        <v>7</v>
      </c>
      <c r="L2018">
        <v>276</v>
      </c>
      <c r="M2018" t="s">
        <v>12</v>
      </c>
      <c r="N2018">
        <f t="shared" si="93"/>
        <v>41.055999999999997</v>
      </c>
      <c r="O2018" t="str">
        <f t="shared" si="94"/>
        <v>July</v>
      </c>
      <c r="P2018" t="str">
        <f t="shared" si="95"/>
        <v>Weekday</v>
      </c>
    </row>
    <row r="2019" spans="1:16" x14ac:dyDescent="0.3">
      <c r="A2019" s="1">
        <v>43658</v>
      </c>
      <c r="B2019">
        <v>11</v>
      </c>
      <c r="C2019">
        <v>5.09</v>
      </c>
      <c r="D2019">
        <v>4.05</v>
      </c>
      <c r="E2019">
        <v>34</v>
      </c>
      <c r="F2019">
        <v>7.2</v>
      </c>
      <c r="G2019">
        <v>0</v>
      </c>
      <c r="H2019">
        <v>2</v>
      </c>
      <c r="I2019">
        <v>2</v>
      </c>
      <c r="J2019">
        <v>2019</v>
      </c>
      <c r="K2019">
        <v>7</v>
      </c>
      <c r="L2019">
        <v>276</v>
      </c>
      <c r="M2019" t="s">
        <v>13</v>
      </c>
      <c r="N2019">
        <f t="shared" si="93"/>
        <v>65.34</v>
      </c>
      <c r="O2019" t="str">
        <f t="shared" si="94"/>
        <v>July</v>
      </c>
      <c r="P2019" t="str">
        <f t="shared" si="95"/>
        <v>Weekday</v>
      </c>
    </row>
    <row r="2020" spans="1:16" x14ac:dyDescent="0.3">
      <c r="A2020" s="1">
        <v>43659</v>
      </c>
      <c r="B2020">
        <v>5</v>
      </c>
      <c r="C2020">
        <v>3.4169999999999998</v>
      </c>
      <c r="D2020">
        <v>1</v>
      </c>
      <c r="E2020">
        <v>17.600000000000001</v>
      </c>
      <c r="F2020">
        <v>5</v>
      </c>
      <c r="G2020">
        <v>3</v>
      </c>
      <c r="H2020">
        <v>0</v>
      </c>
      <c r="I2020">
        <v>5</v>
      </c>
      <c r="J2020">
        <v>2019</v>
      </c>
      <c r="K2020">
        <v>7</v>
      </c>
      <c r="L2020">
        <v>276</v>
      </c>
      <c r="M2020" t="s">
        <v>14</v>
      </c>
      <c r="N2020">
        <f t="shared" si="93"/>
        <v>40.017000000000003</v>
      </c>
      <c r="O2020" t="str">
        <f t="shared" si="94"/>
        <v>July</v>
      </c>
      <c r="P2020" t="str">
        <f t="shared" si="95"/>
        <v>Weekend</v>
      </c>
    </row>
    <row r="2021" spans="1:16" x14ac:dyDescent="0.3">
      <c r="A2021" s="1">
        <v>43660</v>
      </c>
      <c r="B2021">
        <v>6</v>
      </c>
      <c r="C2021">
        <v>5.34</v>
      </c>
      <c r="D2021">
        <v>4</v>
      </c>
      <c r="E2021">
        <v>23</v>
      </c>
      <c r="F2021">
        <v>3</v>
      </c>
      <c r="G2021">
        <v>0</v>
      </c>
      <c r="H2021">
        <v>5</v>
      </c>
      <c r="I2021">
        <v>1</v>
      </c>
      <c r="J2021">
        <v>2019</v>
      </c>
      <c r="K2021">
        <v>7</v>
      </c>
      <c r="L2021">
        <v>276</v>
      </c>
      <c r="M2021" t="s">
        <v>15</v>
      </c>
      <c r="N2021">
        <f t="shared" si="93"/>
        <v>47.34</v>
      </c>
      <c r="O2021" t="str">
        <f t="shared" si="94"/>
        <v>July</v>
      </c>
      <c r="P2021" t="str">
        <f t="shared" si="95"/>
        <v>Weekend</v>
      </c>
    </row>
    <row r="2022" spans="1:16" x14ac:dyDescent="0.3">
      <c r="A2022" s="1">
        <v>43661</v>
      </c>
      <c r="B2022">
        <v>7.33</v>
      </c>
      <c r="C2022">
        <v>1.67</v>
      </c>
      <c r="D2022">
        <v>4.55</v>
      </c>
      <c r="E2022">
        <v>24</v>
      </c>
      <c r="F2022">
        <v>6</v>
      </c>
      <c r="G2022">
        <v>1</v>
      </c>
      <c r="H2022">
        <v>0</v>
      </c>
      <c r="I2022">
        <v>7</v>
      </c>
      <c r="J2022">
        <v>2019</v>
      </c>
      <c r="K2022">
        <v>7</v>
      </c>
      <c r="L2022">
        <v>276</v>
      </c>
      <c r="M2022" t="s">
        <v>16</v>
      </c>
      <c r="N2022">
        <f t="shared" si="93"/>
        <v>51.55</v>
      </c>
      <c r="O2022" t="str">
        <f t="shared" si="94"/>
        <v>July</v>
      </c>
      <c r="P2022" t="str">
        <f t="shared" si="95"/>
        <v>Weekday</v>
      </c>
    </row>
    <row r="2023" spans="1:16" x14ac:dyDescent="0.3">
      <c r="A2023" s="1">
        <v>43662</v>
      </c>
      <c r="B2023">
        <v>7</v>
      </c>
      <c r="C2023">
        <v>3.34</v>
      </c>
      <c r="D2023">
        <v>3</v>
      </c>
      <c r="E2023">
        <v>14</v>
      </c>
      <c r="F2023">
        <v>7</v>
      </c>
      <c r="G2023">
        <v>0</v>
      </c>
      <c r="H2023">
        <v>2</v>
      </c>
      <c r="I2023">
        <v>4</v>
      </c>
      <c r="J2023">
        <v>2019</v>
      </c>
      <c r="K2023">
        <v>7</v>
      </c>
      <c r="L2023">
        <v>276</v>
      </c>
      <c r="M2023" t="s">
        <v>17</v>
      </c>
      <c r="N2023">
        <f t="shared" si="93"/>
        <v>40.340000000000003</v>
      </c>
      <c r="O2023" t="str">
        <f t="shared" si="94"/>
        <v>July</v>
      </c>
      <c r="P2023" t="str">
        <f t="shared" si="95"/>
        <v>Weekday</v>
      </c>
    </row>
    <row r="2024" spans="1:16" x14ac:dyDescent="0.3">
      <c r="A2024" s="1">
        <v>43663</v>
      </c>
      <c r="B2024">
        <v>3.99</v>
      </c>
      <c r="C2024">
        <v>0.157</v>
      </c>
      <c r="D2024">
        <v>2.5</v>
      </c>
      <c r="E2024">
        <v>26</v>
      </c>
      <c r="F2024">
        <v>7</v>
      </c>
      <c r="G2024">
        <v>1</v>
      </c>
      <c r="H2024">
        <v>0</v>
      </c>
      <c r="I2024">
        <v>2</v>
      </c>
      <c r="J2024">
        <v>2019</v>
      </c>
      <c r="K2024">
        <v>7</v>
      </c>
      <c r="L2024">
        <v>276</v>
      </c>
      <c r="M2024" t="s">
        <v>18</v>
      </c>
      <c r="N2024">
        <f t="shared" si="93"/>
        <v>42.646999999999998</v>
      </c>
      <c r="O2024" t="str">
        <f t="shared" si="94"/>
        <v>July</v>
      </c>
      <c r="P2024" t="str">
        <f t="shared" si="95"/>
        <v>Weekday</v>
      </c>
    </row>
    <row r="2025" spans="1:16" x14ac:dyDescent="0.3">
      <c r="A2025" s="1">
        <v>43664</v>
      </c>
      <c r="B2025">
        <v>11</v>
      </c>
      <c r="C2025">
        <v>3.33</v>
      </c>
      <c r="D2025">
        <v>1.3</v>
      </c>
      <c r="E2025">
        <v>24</v>
      </c>
      <c r="F2025">
        <v>11</v>
      </c>
      <c r="G2025">
        <v>0</v>
      </c>
      <c r="H2025">
        <v>3</v>
      </c>
      <c r="I2025">
        <v>3</v>
      </c>
      <c r="J2025">
        <v>2019</v>
      </c>
      <c r="K2025">
        <v>7</v>
      </c>
      <c r="L2025">
        <v>276</v>
      </c>
      <c r="M2025" t="s">
        <v>12</v>
      </c>
      <c r="N2025">
        <f t="shared" si="93"/>
        <v>56.63</v>
      </c>
      <c r="O2025" t="str">
        <f t="shared" si="94"/>
        <v>July</v>
      </c>
      <c r="P2025" t="str">
        <f t="shared" si="95"/>
        <v>Weekday</v>
      </c>
    </row>
    <row r="2026" spans="1:16" x14ac:dyDescent="0.3">
      <c r="A2026" s="1">
        <v>43665</v>
      </c>
      <c r="B2026">
        <v>7.33</v>
      </c>
      <c r="C2026">
        <v>5.34</v>
      </c>
      <c r="D2026">
        <v>4</v>
      </c>
      <c r="E2026">
        <v>28</v>
      </c>
      <c r="F2026">
        <v>15</v>
      </c>
      <c r="G2026">
        <v>0</v>
      </c>
      <c r="H2026">
        <v>3</v>
      </c>
      <c r="I2026">
        <v>7</v>
      </c>
      <c r="J2026">
        <v>2019</v>
      </c>
      <c r="K2026">
        <v>7</v>
      </c>
      <c r="L2026">
        <v>276</v>
      </c>
      <c r="M2026" t="s">
        <v>13</v>
      </c>
      <c r="N2026">
        <f t="shared" si="93"/>
        <v>69.67</v>
      </c>
      <c r="O2026" t="str">
        <f t="shared" si="94"/>
        <v>July</v>
      </c>
      <c r="P2026" t="str">
        <f t="shared" si="95"/>
        <v>Weekday</v>
      </c>
    </row>
    <row r="2027" spans="1:16" x14ac:dyDescent="0.3">
      <c r="A2027" s="1">
        <v>43666</v>
      </c>
      <c r="B2027">
        <v>4.34</v>
      </c>
      <c r="C2027">
        <v>4.4489999999999998</v>
      </c>
      <c r="D2027">
        <v>1</v>
      </c>
      <c r="E2027">
        <v>17.2</v>
      </c>
      <c r="F2027">
        <v>4</v>
      </c>
      <c r="G2027">
        <v>0</v>
      </c>
      <c r="H2027">
        <v>6</v>
      </c>
      <c r="I2027">
        <v>2</v>
      </c>
      <c r="J2027">
        <v>2019</v>
      </c>
      <c r="K2027">
        <v>7</v>
      </c>
      <c r="L2027">
        <v>276</v>
      </c>
      <c r="M2027" t="s">
        <v>14</v>
      </c>
      <c r="N2027">
        <f t="shared" si="93"/>
        <v>38.988999999999997</v>
      </c>
      <c r="O2027" t="str">
        <f t="shared" si="94"/>
        <v>July</v>
      </c>
      <c r="P2027" t="str">
        <f t="shared" si="95"/>
        <v>Weekend</v>
      </c>
    </row>
    <row r="2028" spans="1:16" x14ac:dyDescent="0.3">
      <c r="A2028" s="1">
        <v>43667</v>
      </c>
      <c r="B2028">
        <v>6.34</v>
      </c>
      <c r="C2028">
        <v>0.36299999999999999</v>
      </c>
      <c r="D2028">
        <v>1.1000000000000001</v>
      </c>
      <c r="E2028">
        <v>16</v>
      </c>
      <c r="F2028">
        <v>5</v>
      </c>
      <c r="G2028">
        <v>0</v>
      </c>
      <c r="H2028">
        <v>1</v>
      </c>
      <c r="I2028">
        <v>3</v>
      </c>
      <c r="J2028">
        <v>2019</v>
      </c>
      <c r="K2028">
        <v>7</v>
      </c>
      <c r="L2028">
        <v>276</v>
      </c>
      <c r="M2028" t="s">
        <v>15</v>
      </c>
      <c r="N2028">
        <f t="shared" si="93"/>
        <v>32.802999999999997</v>
      </c>
      <c r="O2028" t="str">
        <f t="shared" si="94"/>
        <v>July</v>
      </c>
      <c r="P2028" t="str">
        <f t="shared" si="95"/>
        <v>Weekend</v>
      </c>
    </row>
    <row r="2029" spans="1:16" x14ac:dyDescent="0.3">
      <c r="A2029" s="1">
        <v>43668</v>
      </c>
      <c r="B2029">
        <v>1</v>
      </c>
      <c r="C2029">
        <v>2.66</v>
      </c>
      <c r="D2029">
        <v>2</v>
      </c>
      <c r="E2029">
        <v>14.25</v>
      </c>
      <c r="F2029">
        <v>10</v>
      </c>
      <c r="G2029">
        <v>0</v>
      </c>
      <c r="H2029">
        <v>0</v>
      </c>
      <c r="I2029">
        <v>6</v>
      </c>
      <c r="J2029">
        <v>2019</v>
      </c>
      <c r="K2029">
        <v>7</v>
      </c>
      <c r="L2029">
        <v>276</v>
      </c>
      <c r="M2029" t="s">
        <v>16</v>
      </c>
      <c r="N2029">
        <f t="shared" si="93"/>
        <v>35.909999999999997</v>
      </c>
      <c r="O2029" t="str">
        <f t="shared" si="94"/>
        <v>July</v>
      </c>
      <c r="P2029" t="str">
        <f t="shared" si="95"/>
        <v>Weekday</v>
      </c>
    </row>
    <row r="2030" spans="1:16" x14ac:dyDescent="0.3">
      <c r="A2030" s="1">
        <v>43669</v>
      </c>
      <c r="B2030">
        <v>1.34</v>
      </c>
      <c r="C2030">
        <v>0.67</v>
      </c>
      <c r="D2030">
        <v>5.2</v>
      </c>
      <c r="E2030">
        <v>7.25</v>
      </c>
      <c r="F2030">
        <v>11</v>
      </c>
      <c r="G2030">
        <v>0</v>
      </c>
      <c r="H2030">
        <v>7</v>
      </c>
      <c r="I2030">
        <v>2.4</v>
      </c>
      <c r="J2030">
        <v>2019</v>
      </c>
      <c r="K2030">
        <v>7</v>
      </c>
      <c r="L2030">
        <v>276</v>
      </c>
      <c r="M2030" t="s">
        <v>17</v>
      </c>
      <c r="N2030">
        <f t="shared" si="93"/>
        <v>34.86</v>
      </c>
      <c r="O2030" t="str">
        <f t="shared" si="94"/>
        <v>July</v>
      </c>
      <c r="P2030" t="str">
        <f t="shared" si="95"/>
        <v>Weekday</v>
      </c>
    </row>
    <row r="2031" spans="1:16" x14ac:dyDescent="0.3">
      <c r="A2031" s="1">
        <v>43670</v>
      </c>
      <c r="B2031">
        <v>8</v>
      </c>
      <c r="C2031">
        <v>3.7690000000000001</v>
      </c>
      <c r="D2031">
        <v>2</v>
      </c>
      <c r="E2031">
        <v>30.875</v>
      </c>
      <c r="F2031">
        <v>19</v>
      </c>
      <c r="G2031">
        <v>0</v>
      </c>
      <c r="H2031">
        <v>2</v>
      </c>
      <c r="I2031">
        <v>1</v>
      </c>
      <c r="J2031">
        <v>2019</v>
      </c>
      <c r="K2031">
        <v>7</v>
      </c>
      <c r="L2031">
        <v>276</v>
      </c>
      <c r="M2031" t="s">
        <v>18</v>
      </c>
      <c r="N2031">
        <f t="shared" si="93"/>
        <v>66.644000000000005</v>
      </c>
      <c r="O2031" t="str">
        <f t="shared" si="94"/>
        <v>July</v>
      </c>
      <c r="P2031" t="str">
        <f t="shared" si="95"/>
        <v>Weekday</v>
      </c>
    </row>
    <row r="2032" spans="1:16" x14ac:dyDescent="0.3">
      <c r="A2032" s="1">
        <v>43671</v>
      </c>
      <c r="B2032">
        <v>6</v>
      </c>
      <c r="C2032">
        <v>7</v>
      </c>
      <c r="D2032">
        <v>5</v>
      </c>
      <c r="E2032">
        <v>20</v>
      </c>
      <c r="F2032">
        <v>9</v>
      </c>
      <c r="G2032">
        <v>1</v>
      </c>
      <c r="H2032">
        <v>11</v>
      </c>
      <c r="I2032">
        <v>2</v>
      </c>
      <c r="J2032">
        <v>2019</v>
      </c>
      <c r="K2032">
        <v>7</v>
      </c>
      <c r="L2032">
        <v>276</v>
      </c>
      <c r="M2032" t="s">
        <v>12</v>
      </c>
      <c r="N2032">
        <f t="shared" si="93"/>
        <v>61</v>
      </c>
      <c r="O2032" t="str">
        <f t="shared" si="94"/>
        <v>July</v>
      </c>
      <c r="P2032" t="str">
        <f t="shared" si="95"/>
        <v>Weekday</v>
      </c>
    </row>
    <row r="2033" spans="1:16" x14ac:dyDescent="0.3">
      <c r="A2033" s="1">
        <v>43672</v>
      </c>
      <c r="B2033">
        <v>12.5</v>
      </c>
      <c r="C2033">
        <v>4</v>
      </c>
      <c r="D2033">
        <v>0.1</v>
      </c>
      <c r="E2033">
        <v>17</v>
      </c>
      <c r="F2033">
        <v>12</v>
      </c>
      <c r="G2033">
        <v>0</v>
      </c>
      <c r="H2033">
        <v>8</v>
      </c>
      <c r="I2033">
        <v>3</v>
      </c>
      <c r="J2033">
        <v>2019</v>
      </c>
      <c r="K2033">
        <v>7</v>
      </c>
      <c r="L2033">
        <v>276</v>
      </c>
      <c r="M2033" t="s">
        <v>13</v>
      </c>
      <c r="N2033">
        <f t="shared" si="93"/>
        <v>56.6</v>
      </c>
      <c r="O2033" t="str">
        <f t="shared" si="94"/>
        <v>July</v>
      </c>
      <c r="P2033" t="str">
        <f t="shared" si="95"/>
        <v>Weekday</v>
      </c>
    </row>
    <row r="2034" spans="1:16" x14ac:dyDescent="0.3">
      <c r="A2034" s="1">
        <v>43673</v>
      </c>
      <c r="B2034">
        <v>3.34</v>
      </c>
      <c r="C2034">
        <v>0</v>
      </c>
      <c r="D2034">
        <v>1</v>
      </c>
      <c r="E2034">
        <v>22</v>
      </c>
      <c r="F2034">
        <v>6</v>
      </c>
      <c r="G2034">
        <v>3</v>
      </c>
      <c r="H2034">
        <v>2</v>
      </c>
      <c r="I2034">
        <v>3.4</v>
      </c>
      <c r="J2034">
        <v>2019</v>
      </c>
      <c r="K2034">
        <v>7</v>
      </c>
      <c r="L2034">
        <v>276</v>
      </c>
      <c r="M2034" t="s">
        <v>14</v>
      </c>
      <c r="N2034">
        <f t="shared" si="93"/>
        <v>40.74</v>
      </c>
      <c r="O2034" t="str">
        <f t="shared" si="94"/>
        <v>July</v>
      </c>
      <c r="P2034" t="str">
        <f t="shared" si="95"/>
        <v>Weekend</v>
      </c>
    </row>
    <row r="2035" spans="1:16" x14ac:dyDescent="0.3">
      <c r="A2035" s="1">
        <v>43674</v>
      </c>
      <c r="B2035">
        <v>4.34</v>
      </c>
      <c r="C2035">
        <v>1.34</v>
      </c>
      <c r="D2035">
        <v>4</v>
      </c>
      <c r="E2035">
        <v>13</v>
      </c>
      <c r="F2035">
        <v>3</v>
      </c>
      <c r="G2035">
        <v>1</v>
      </c>
      <c r="H2035">
        <v>0</v>
      </c>
      <c r="I2035">
        <v>0.6</v>
      </c>
      <c r="J2035">
        <v>2019</v>
      </c>
      <c r="K2035">
        <v>7</v>
      </c>
      <c r="L2035">
        <v>276</v>
      </c>
      <c r="M2035" t="s">
        <v>15</v>
      </c>
      <c r="N2035">
        <f t="shared" si="93"/>
        <v>27.28</v>
      </c>
      <c r="O2035" t="str">
        <f t="shared" si="94"/>
        <v>July</v>
      </c>
      <c r="P2035" t="str">
        <f t="shared" si="95"/>
        <v>Weekend</v>
      </c>
    </row>
    <row r="2036" spans="1:16" x14ac:dyDescent="0.3">
      <c r="A2036" s="1">
        <v>43675</v>
      </c>
      <c r="B2036">
        <v>9</v>
      </c>
      <c r="C2036">
        <v>4.33</v>
      </c>
      <c r="D2036">
        <v>2</v>
      </c>
      <c r="E2036">
        <v>25.45</v>
      </c>
      <c r="F2036">
        <v>12</v>
      </c>
      <c r="G2036">
        <v>0</v>
      </c>
      <c r="H2036">
        <v>1</v>
      </c>
      <c r="I2036">
        <v>2</v>
      </c>
      <c r="J2036">
        <v>2019</v>
      </c>
      <c r="K2036">
        <v>7</v>
      </c>
      <c r="L2036">
        <v>276</v>
      </c>
      <c r="M2036" t="s">
        <v>16</v>
      </c>
      <c r="N2036">
        <f t="shared" si="93"/>
        <v>55.78</v>
      </c>
      <c r="O2036" t="str">
        <f t="shared" si="94"/>
        <v>July</v>
      </c>
      <c r="P2036" t="str">
        <f t="shared" si="95"/>
        <v>Weekday</v>
      </c>
    </row>
    <row r="2037" spans="1:16" x14ac:dyDescent="0.3">
      <c r="A2037" s="1">
        <v>43676</v>
      </c>
      <c r="B2037">
        <v>9.5</v>
      </c>
      <c r="C2037">
        <v>6.1870000000000003</v>
      </c>
      <c r="D2037">
        <v>5</v>
      </c>
      <c r="E2037">
        <v>19</v>
      </c>
      <c r="F2037">
        <v>9</v>
      </c>
      <c r="G2037">
        <v>4</v>
      </c>
      <c r="H2037">
        <v>33</v>
      </c>
      <c r="I2037">
        <v>5</v>
      </c>
      <c r="J2037">
        <v>2019</v>
      </c>
      <c r="K2037">
        <v>7</v>
      </c>
      <c r="L2037">
        <v>276</v>
      </c>
      <c r="M2037" t="s">
        <v>17</v>
      </c>
      <c r="N2037">
        <f t="shared" si="93"/>
        <v>90.686999999999998</v>
      </c>
      <c r="O2037" t="str">
        <f t="shared" si="94"/>
        <v>July</v>
      </c>
      <c r="P2037" t="str">
        <f t="shared" si="95"/>
        <v>Weekday</v>
      </c>
    </row>
    <row r="2038" spans="1:16" x14ac:dyDescent="0.3">
      <c r="A2038" s="1">
        <v>43677</v>
      </c>
      <c r="B2038">
        <v>0</v>
      </c>
      <c r="C2038">
        <v>2.84</v>
      </c>
      <c r="D2038">
        <v>2</v>
      </c>
      <c r="E2038">
        <v>21</v>
      </c>
      <c r="F2038">
        <v>4</v>
      </c>
      <c r="G2038">
        <v>0</v>
      </c>
      <c r="H2038">
        <v>4</v>
      </c>
      <c r="I2038">
        <v>2</v>
      </c>
      <c r="J2038">
        <v>2019</v>
      </c>
      <c r="K2038">
        <v>7</v>
      </c>
      <c r="L2038">
        <v>276</v>
      </c>
      <c r="M2038" t="s">
        <v>18</v>
      </c>
      <c r="N2038">
        <f t="shared" si="93"/>
        <v>35.840000000000003</v>
      </c>
      <c r="O2038" t="str">
        <f t="shared" si="94"/>
        <v>July</v>
      </c>
      <c r="P2038" t="str">
        <f t="shared" si="95"/>
        <v>Weekday</v>
      </c>
    </row>
    <row r="2039" spans="1:16" x14ac:dyDescent="0.3">
      <c r="A2039" s="1">
        <v>43678</v>
      </c>
      <c r="B2039">
        <v>8.67</v>
      </c>
      <c r="C2039">
        <v>0.91300000000000003</v>
      </c>
      <c r="D2039">
        <v>2</v>
      </c>
      <c r="E2039">
        <v>37</v>
      </c>
      <c r="F2039">
        <v>6</v>
      </c>
      <c r="G2039">
        <v>0</v>
      </c>
      <c r="H2039">
        <v>1</v>
      </c>
      <c r="I2039">
        <v>2</v>
      </c>
      <c r="J2039">
        <v>2019</v>
      </c>
      <c r="K2039">
        <v>8</v>
      </c>
      <c r="L2039">
        <v>276</v>
      </c>
      <c r="M2039" t="s">
        <v>12</v>
      </c>
      <c r="N2039">
        <f t="shared" si="93"/>
        <v>57.582999999999998</v>
      </c>
      <c r="O2039" t="str">
        <f t="shared" si="94"/>
        <v>August</v>
      </c>
      <c r="P2039" t="str">
        <f t="shared" si="95"/>
        <v>Weekday</v>
      </c>
    </row>
    <row r="2040" spans="1:16" x14ac:dyDescent="0.3">
      <c r="A2040" s="1">
        <v>43679</v>
      </c>
      <c r="B2040">
        <v>5</v>
      </c>
      <c r="C2040">
        <v>1.68</v>
      </c>
      <c r="D2040">
        <v>3</v>
      </c>
      <c r="E2040">
        <v>18</v>
      </c>
      <c r="F2040">
        <v>7</v>
      </c>
      <c r="G2040">
        <v>2</v>
      </c>
      <c r="H2040">
        <v>6</v>
      </c>
      <c r="I2040">
        <v>1</v>
      </c>
      <c r="J2040">
        <v>2019</v>
      </c>
      <c r="K2040">
        <v>8</v>
      </c>
      <c r="L2040">
        <v>276</v>
      </c>
      <c r="M2040" t="s">
        <v>13</v>
      </c>
      <c r="N2040">
        <f t="shared" si="93"/>
        <v>43.68</v>
      </c>
      <c r="O2040" t="str">
        <f t="shared" si="94"/>
        <v>August</v>
      </c>
      <c r="P2040" t="str">
        <f t="shared" si="95"/>
        <v>Weekday</v>
      </c>
    </row>
    <row r="2041" spans="1:16" x14ac:dyDescent="0.3">
      <c r="A2041" s="1">
        <v>43680</v>
      </c>
      <c r="B2041">
        <v>5.34</v>
      </c>
      <c r="C2041">
        <v>4.68</v>
      </c>
      <c r="D2041">
        <v>2.2999999999999998</v>
      </c>
      <c r="E2041">
        <v>12</v>
      </c>
      <c r="F2041">
        <v>6</v>
      </c>
      <c r="G2041">
        <v>5</v>
      </c>
      <c r="H2041">
        <v>1</v>
      </c>
      <c r="I2041">
        <v>3.4</v>
      </c>
      <c r="J2041">
        <v>2019</v>
      </c>
      <c r="K2041">
        <v>8</v>
      </c>
      <c r="L2041">
        <v>276</v>
      </c>
      <c r="M2041" t="s">
        <v>14</v>
      </c>
      <c r="N2041">
        <f t="shared" si="93"/>
        <v>39.72</v>
      </c>
      <c r="O2041" t="str">
        <f t="shared" si="94"/>
        <v>August</v>
      </c>
      <c r="P2041" t="str">
        <f t="shared" si="95"/>
        <v>Weekend</v>
      </c>
    </row>
    <row r="2042" spans="1:16" x14ac:dyDescent="0.3">
      <c r="A2042" s="1">
        <v>43681</v>
      </c>
      <c r="B2042">
        <v>6.5</v>
      </c>
      <c r="C2042">
        <v>2.67</v>
      </c>
      <c r="D2042">
        <v>5</v>
      </c>
      <c r="E2042">
        <v>24</v>
      </c>
      <c r="F2042">
        <v>10</v>
      </c>
      <c r="G2042">
        <v>0</v>
      </c>
      <c r="H2042">
        <v>2</v>
      </c>
      <c r="I2042">
        <v>4.3</v>
      </c>
      <c r="J2042">
        <v>2019</v>
      </c>
      <c r="K2042">
        <v>8</v>
      </c>
      <c r="L2042">
        <v>276</v>
      </c>
      <c r="M2042" t="s">
        <v>15</v>
      </c>
      <c r="N2042">
        <f t="shared" si="93"/>
        <v>54.47</v>
      </c>
      <c r="O2042" t="str">
        <f t="shared" si="94"/>
        <v>August</v>
      </c>
      <c r="P2042" t="str">
        <f t="shared" si="95"/>
        <v>Weekend</v>
      </c>
    </row>
    <row r="2043" spans="1:16" x14ac:dyDescent="0.3">
      <c r="A2043" s="1">
        <v>43682</v>
      </c>
      <c r="B2043">
        <v>4</v>
      </c>
      <c r="C2043">
        <v>1</v>
      </c>
      <c r="D2043">
        <v>4.3</v>
      </c>
      <c r="E2043">
        <v>6</v>
      </c>
      <c r="F2043">
        <v>7</v>
      </c>
      <c r="G2043">
        <v>1</v>
      </c>
      <c r="H2043">
        <v>5</v>
      </c>
      <c r="I2043">
        <v>0</v>
      </c>
      <c r="J2043">
        <v>2019</v>
      </c>
      <c r="K2043">
        <v>8</v>
      </c>
      <c r="L2043">
        <v>276</v>
      </c>
      <c r="M2043" t="s">
        <v>16</v>
      </c>
      <c r="N2043">
        <f t="shared" si="93"/>
        <v>28.3</v>
      </c>
      <c r="O2043" t="str">
        <f t="shared" si="94"/>
        <v>August</v>
      </c>
      <c r="P2043" t="str">
        <f t="shared" si="95"/>
        <v>Weekday</v>
      </c>
    </row>
    <row r="2044" spans="1:16" x14ac:dyDescent="0.3">
      <c r="A2044" s="1">
        <v>43683</v>
      </c>
      <c r="B2044">
        <v>10</v>
      </c>
      <c r="C2044">
        <v>4.67</v>
      </c>
      <c r="D2044">
        <v>2</v>
      </c>
      <c r="E2044">
        <v>17.25</v>
      </c>
      <c r="F2044">
        <v>4</v>
      </c>
      <c r="G2044">
        <v>0</v>
      </c>
      <c r="H2044">
        <v>6</v>
      </c>
      <c r="I2044">
        <v>6</v>
      </c>
      <c r="J2044">
        <v>2019</v>
      </c>
      <c r="K2044">
        <v>8</v>
      </c>
      <c r="L2044">
        <v>276</v>
      </c>
      <c r="M2044" t="s">
        <v>17</v>
      </c>
      <c r="N2044">
        <f t="shared" si="93"/>
        <v>49.92</v>
      </c>
      <c r="O2044" t="str">
        <f t="shared" si="94"/>
        <v>August</v>
      </c>
      <c r="P2044" t="str">
        <f t="shared" si="95"/>
        <v>Weekday</v>
      </c>
    </row>
    <row r="2045" spans="1:16" x14ac:dyDescent="0.3">
      <c r="A2045" s="1">
        <v>43684</v>
      </c>
      <c r="B2045">
        <v>6</v>
      </c>
      <c r="C2045">
        <v>1.7589999999999999</v>
      </c>
      <c r="D2045">
        <v>2</v>
      </c>
      <c r="E2045">
        <v>9</v>
      </c>
      <c r="F2045">
        <v>7</v>
      </c>
      <c r="G2045">
        <v>0</v>
      </c>
      <c r="H2045">
        <v>21</v>
      </c>
      <c r="I2045">
        <v>3</v>
      </c>
      <c r="J2045">
        <v>2019</v>
      </c>
      <c r="K2045">
        <v>8</v>
      </c>
      <c r="L2045">
        <v>276</v>
      </c>
      <c r="M2045" t="s">
        <v>18</v>
      </c>
      <c r="N2045">
        <f t="shared" si="93"/>
        <v>49.759</v>
      </c>
      <c r="O2045" t="str">
        <f t="shared" si="94"/>
        <v>August</v>
      </c>
      <c r="P2045" t="str">
        <f t="shared" si="95"/>
        <v>Weekday</v>
      </c>
    </row>
    <row r="2046" spans="1:16" x14ac:dyDescent="0.3">
      <c r="A2046" s="1">
        <v>43685</v>
      </c>
      <c r="B2046">
        <v>7.66</v>
      </c>
      <c r="C2046">
        <v>1.01</v>
      </c>
      <c r="D2046">
        <v>3</v>
      </c>
      <c r="E2046">
        <v>15</v>
      </c>
      <c r="F2046">
        <v>10</v>
      </c>
      <c r="G2046">
        <v>0</v>
      </c>
      <c r="H2046">
        <v>31</v>
      </c>
      <c r="I2046">
        <v>3</v>
      </c>
      <c r="J2046">
        <v>2019</v>
      </c>
      <c r="K2046">
        <v>8</v>
      </c>
      <c r="L2046">
        <v>276</v>
      </c>
      <c r="M2046" t="s">
        <v>12</v>
      </c>
      <c r="N2046">
        <f t="shared" si="93"/>
        <v>70.67</v>
      </c>
      <c r="O2046" t="str">
        <f t="shared" si="94"/>
        <v>August</v>
      </c>
      <c r="P2046" t="str">
        <f t="shared" si="95"/>
        <v>Weekday</v>
      </c>
    </row>
    <row r="2047" spans="1:16" x14ac:dyDescent="0.3">
      <c r="A2047" s="1">
        <v>43686</v>
      </c>
      <c r="B2047">
        <v>3</v>
      </c>
      <c r="C2047">
        <v>3.25</v>
      </c>
      <c r="D2047">
        <v>0</v>
      </c>
      <c r="E2047">
        <v>8</v>
      </c>
      <c r="F2047">
        <v>13</v>
      </c>
      <c r="G2047">
        <v>5</v>
      </c>
      <c r="H2047">
        <v>1</v>
      </c>
      <c r="I2047">
        <v>5</v>
      </c>
      <c r="J2047">
        <v>2019</v>
      </c>
      <c r="K2047">
        <v>8</v>
      </c>
      <c r="L2047">
        <v>276</v>
      </c>
      <c r="M2047" t="s">
        <v>13</v>
      </c>
      <c r="N2047">
        <f t="shared" si="93"/>
        <v>38.25</v>
      </c>
      <c r="O2047" t="str">
        <f t="shared" si="94"/>
        <v>August</v>
      </c>
      <c r="P2047" t="str">
        <f t="shared" si="95"/>
        <v>Weekday</v>
      </c>
    </row>
    <row r="2048" spans="1:16" x14ac:dyDescent="0.3">
      <c r="A2048" s="1">
        <v>43687</v>
      </c>
      <c r="B2048">
        <v>3.33</v>
      </c>
      <c r="C2048">
        <v>0.68</v>
      </c>
      <c r="D2048">
        <v>6</v>
      </c>
      <c r="E2048">
        <v>15</v>
      </c>
      <c r="F2048">
        <v>11</v>
      </c>
      <c r="G2048">
        <v>0</v>
      </c>
      <c r="H2048">
        <v>0</v>
      </c>
      <c r="I2048">
        <v>0</v>
      </c>
      <c r="J2048">
        <v>2019</v>
      </c>
      <c r="K2048">
        <v>8</v>
      </c>
      <c r="L2048">
        <v>276</v>
      </c>
      <c r="M2048" t="s">
        <v>14</v>
      </c>
      <c r="N2048">
        <f t="shared" si="93"/>
        <v>36.01</v>
      </c>
      <c r="O2048" t="str">
        <f t="shared" si="94"/>
        <v>August</v>
      </c>
      <c r="P2048" t="str">
        <f t="shared" si="95"/>
        <v>Weekend</v>
      </c>
    </row>
    <row r="2049" spans="1:16" x14ac:dyDescent="0.3">
      <c r="A2049" s="1">
        <v>43688</v>
      </c>
      <c r="B2049">
        <v>7</v>
      </c>
      <c r="C2049">
        <v>6.85</v>
      </c>
      <c r="D2049">
        <v>4</v>
      </c>
      <c r="E2049">
        <v>16</v>
      </c>
      <c r="F2049">
        <v>5</v>
      </c>
      <c r="G2049">
        <v>2</v>
      </c>
      <c r="H2049">
        <v>2</v>
      </c>
      <c r="I2049">
        <v>3</v>
      </c>
      <c r="J2049">
        <v>2019</v>
      </c>
      <c r="K2049">
        <v>8</v>
      </c>
      <c r="L2049">
        <v>276</v>
      </c>
      <c r="M2049" t="s">
        <v>15</v>
      </c>
      <c r="N2049">
        <f t="shared" si="93"/>
        <v>45.85</v>
      </c>
      <c r="O2049" t="str">
        <f t="shared" si="94"/>
        <v>August</v>
      </c>
      <c r="P2049" t="str">
        <f t="shared" si="95"/>
        <v>Weekend</v>
      </c>
    </row>
    <row r="2050" spans="1:16" x14ac:dyDescent="0.3">
      <c r="A2050" s="1">
        <v>43689</v>
      </c>
      <c r="B2050">
        <v>8.33</v>
      </c>
      <c r="C2050">
        <v>4.4960000000000004</v>
      </c>
      <c r="D2050">
        <v>1</v>
      </c>
      <c r="E2050">
        <v>36</v>
      </c>
      <c r="F2050">
        <v>11</v>
      </c>
      <c r="G2050">
        <v>1</v>
      </c>
      <c r="H2050">
        <v>5</v>
      </c>
      <c r="I2050">
        <v>3.5</v>
      </c>
      <c r="J2050">
        <v>2019</v>
      </c>
      <c r="K2050">
        <v>8</v>
      </c>
      <c r="L2050">
        <v>276</v>
      </c>
      <c r="M2050" t="s">
        <v>16</v>
      </c>
      <c r="N2050">
        <f t="shared" si="93"/>
        <v>70.325999999999993</v>
      </c>
      <c r="O2050" t="str">
        <f t="shared" si="94"/>
        <v>August</v>
      </c>
      <c r="P2050" t="str">
        <f t="shared" si="95"/>
        <v>Weekday</v>
      </c>
    </row>
    <row r="2051" spans="1:16" x14ac:dyDescent="0.3">
      <c r="A2051" s="1">
        <v>43690</v>
      </c>
      <c r="B2051">
        <v>8</v>
      </c>
      <c r="C2051">
        <v>1.8959999999999999</v>
      </c>
      <c r="D2051">
        <v>2</v>
      </c>
      <c r="E2051">
        <v>15</v>
      </c>
      <c r="F2051">
        <v>3</v>
      </c>
      <c r="G2051">
        <v>0</v>
      </c>
      <c r="H2051">
        <v>2</v>
      </c>
      <c r="I2051">
        <v>1</v>
      </c>
      <c r="J2051">
        <v>2019</v>
      </c>
      <c r="K2051">
        <v>8</v>
      </c>
      <c r="L2051">
        <v>276</v>
      </c>
      <c r="M2051" t="s">
        <v>17</v>
      </c>
      <c r="N2051">
        <f t="shared" ref="N2051:N2107" si="96">SUM(B2051:I2051)</f>
        <v>32.896000000000001</v>
      </c>
      <c r="O2051" t="str">
        <f t="shared" ref="O2051:O2107" si="97">TEXT(A2051,"mmmm")</f>
        <v>August</v>
      </c>
      <c r="P2051" t="str">
        <f t="shared" ref="P2051:P2107" si="98">IF(OR(M2051="Saturday",M2051="Sunday"),"Weekend","Weekday")</f>
        <v>Weekday</v>
      </c>
    </row>
    <row r="2052" spans="1:16" x14ac:dyDescent="0.3">
      <c r="A2052" s="1">
        <v>43691</v>
      </c>
      <c r="B2052">
        <v>4.34</v>
      </c>
      <c r="C2052">
        <v>0.67</v>
      </c>
      <c r="D2052">
        <v>3.1</v>
      </c>
      <c r="E2052">
        <v>20</v>
      </c>
      <c r="F2052">
        <v>6</v>
      </c>
      <c r="G2052">
        <v>0</v>
      </c>
      <c r="H2052">
        <v>0</v>
      </c>
      <c r="I2052">
        <v>3</v>
      </c>
      <c r="J2052">
        <v>2019</v>
      </c>
      <c r="K2052">
        <v>8</v>
      </c>
      <c r="L2052">
        <v>276</v>
      </c>
      <c r="M2052" t="s">
        <v>18</v>
      </c>
      <c r="N2052">
        <f t="shared" si="96"/>
        <v>37.11</v>
      </c>
      <c r="O2052" t="str">
        <f t="shared" si="97"/>
        <v>August</v>
      </c>
      <c r="P2052" t="str">
        <f t="shared" si="98"/>
        <v>Weekday</v>
      </c>
    </row>
    <row r="2053" spans="1:16" x14ac:dyDescent="0.3">
      <c r="A2053" s="1">
        <v>43692</v>
      </c>
      <c r="B2053">
        <v>8.67</v>
      </c>
      <c r="C2053">
        <v>1.99</v>
      </c>
      <c r="D2053">
        <v>2</v>
      </c>
      <c r="E2053">
        <v>12</v>
      </c>
      <c r="F2053">
        <v>9</v>
      </c>
      <c r="G2053">
        <v>0</v>
      </c>
      <c r="H2053">
        <v>11</v>
      </c>
      <c r="I2053">
        <v>2</v>
      </c>
      <c r="J2053">
        <v>2019</v>
      </c>
      <c r="K2053">
        <v>8</v>
      </c>
      <c r="L2053">
        <v>276</v>
      </c>
      <c r="M2053" t="s">
        <v>12</v>
      </c>
      <c r="N2053">
        <f t="shared" si="96"/>
        <v>46.66</v>
      </c>
      <c r="O2053" t="str">
        <f t="shared" si="97"/>
        <v>August</v>
      </c>
      <c r="P2053" t="str">
        <f t="shared" si="98"/>
        <v>Weekday</v>
      </c>
    </row>
    <row r="2054" spans="1:16" x14ac:dyDescent="0.3">
      <c r="A2054" s="1">
        <v>43693</v>
      </c>
      <c r="B2054">
        <v>3.33</v>
      </c>
      <c r="C2054">
        <v>2.68</v>
      </c>
      <c r="D2054">
        <v>2</v>
      </c>
      <c r="E2054">
        <v>13</v>
      </c>
      <c r="F2054">
        <v>15</v>
      </c>
      <c r="G2054">
        <v>0</v>
      </c>
      <c r="H2054">
        <v>10</v>
      </c>
      <c r="I2054">
        <v>7</v>
      </c>
      <c r="J2054">
        <v>2019</v>
      </c>
      <c r="K2054">
        <v>8</v>
      </c>
      <c r="L2054">
        <v>276</v>
      </c>
      <c r="M2054" t="s">
        <v>13</v>
      </c>
      <c r="N2054">
        <f t="shared" si="96"/>
        <v>53.01</v>
      </c>
      <c r="O2054" t="str">
        <f t="shared" si="97"/>
        <v>August</v>
      </c>
      <c r="P2054" t="str">
        <f t="shared" si="98"/>
        <v>Weekday</v>
      </c>
    </row>
    <row r="2055" spans="1:16" x14ac:dyDescent="0.3">
      <c r="A2055" s="1">
        <v>43694</v>
      </c>
      <c r="B2055">
        <v>7.67</v>
      </c>
      <c r="C2055">
        <v>4.5309999999999997</v>
      </c>
      <c r="D2055">
        <v>2.4500000000000002</v>
      </c>
      <c r="E2055">
        <v>18</v>
      </c>
      <c r="F2055">
        <v>5</v>
      </c>
      <c r="G2055">
        <v>1</v>
      </c>
      <c r="H2055">
        <v>0</v>
      </c>
      <c r="I2055">
        <v>2.5</v>
      </c>
      <c r="J2055">
        <v>2019</v>
      </c>
      <c r="K2055">
        <v>8</v>
      </c>
      <c r="L2055">
        <v>276</v>
      </c>
      <c r="M2055" t="s">
        <v>14</v>
      </c>
      <c r="N2055">
        <f t="shared" si="96"/>
        <v>41.150999999999996</v>
      </c>
      <c r="O2055" t="str">
        <f t="shared" si="97"/>
        <v>August</v>
      </c>
      <c r="P2055" t="str">
        <f t="shared" si="98"/>
        <v>Weekend</v>
      </c>
    </row>
    <row r="2056" spans="1:16" x14ac:dyDescent="0.3">
      <c r="A2056" s="1">
        <v>43695</v>
      </c>
      <c r="B2056">
        <v>4.84</v>
      </c>
      <c r="C2056">
        <v>2.8460000000000001</v>
      </c>
      <c r="D2056">
        <v>1</v>
      </c>
      <c r="E2056">
        <v>11</v>
      </c>
      <c r="F2056">
        <v>4</v>
      </c>
      <c r="G2056">
        <v>0</v>
      </c>
      <c r="H2056">
        <v>7</v>
      </c>
      <c r="I2056">
        <v>4</v>
      </c>
      <c r="J2056">
        <v>2019</v>
      </c>
      <c r="K2056">
        <v>8</v>
      </c>
      <c r="L2056">
        <v>276</v>
      </c>
      <c r="M2056" t="s">
        <v>15</v>
      </c>
      <c r="N2056">
        <f t="shared" si="96"/>
        <v>34.686</v>
      </c>
      <c r="O2056" t="str">
        <f t="shared" si="97"/>
        <v>August</v>
      </c>
      <c r="P2056" t="str">
        <f t="shared" si="98"/>
        <v>Weekend</v>
      </c>
    </row>
    <row r="2057" spans="1:16" x14ac:dyDescent="0.3">
      <c r="A2057" s="1">
        <v>43696</v>
      </c>
      <c r="B2057">
        <v>3.68</v>
      </c>
      <c r="C2057">
        <v>3.67</v>
      </c>
      <c r="D2057">
        <v>4</v>
      </c>
      <c r="E2057">
        <v>9</v>
      </c>
      <c r="F2057">
        <v>11</v>
      </c>
      <c r="G2057">
        <v>2</v>
      </c>
      <c r="H2057">
        <v>0</v>
      </c>
      <c r="I2057">
        <v>4</v>
      </c>
      <c r="J2057">
        <v>2019</v>
      </c>
      <c r="K2057">
        <v>8</v>
      </c>
      <c r="L2057">
        <v>276</v>
      </c>
      <c r="M2057" t="s">
        <v>16</v>
      </c>
      <c r="N2057">
        <f t="shared" si="96"/>
        <v>37.35</v>
      </c>
      <c r="O2057" t="str">
        <f t="shared" si="97"/>
        <v>August</v>
      </c>
      <c r="P2057" t="str">
        <f t="shared" si="98"/>
        <v>Weekday</v>
      </c>
    </row>
    <row r="2058" spans="1:16" x14ac:dyDescent="0.3">
      <c r="A2058" s="1">
        <v>43697</v>
      </c>
      <c r="B2058">
        <v>2</v>
      </c>
      <c r="C2058">
        <v>1.32</v>
      </c>
      <c r="D2058">
        <v>2</v>
      </c>
      <c r="E2058">
        <v>13.4</v>
      </c>
      <c r="F2058">
        <v>8</v>
      </c>
      <c r="G2058">
        <v>0</v>
      </c>
      <c r="H2058">
        <v>2</v>
      </c>
      <c r="I2058">
        <v>3</v>
      </c>
      <c r="J2058">
        <v>2019</v>
      </c>
      <c r="K2058">
        <v>8</v>
      </c>
      <c r="L2058">
        <v>276</v>
      </c>
      <c r="M2058" t="s">
        <v>17</v>
      </c>
      <c r="N2058">
        <f t="shared" si="96"/>
        <v>31.72</v>
      </c>
      <c r="O2058" t="str">
        <f t="shared" si="97"/>
        <v>August</v>
      </c>
      <c r="P2058" t="str">
        <f t="shared" si="98"/>
        <v>Weekday</v>
      </c>
    </row>
    <row r="2059" spans="1:16" x14ac:dyDescent="0.3">
      <c r="A2059" s="1">
        <v>43698</v>
      </c>
      <c r="B2059">
        <v>4.34</v>
      </c>
      <c r="C2059">
        <v>4</v>
      </c>
      <c r="D2059">
        <v>0</v>
      </c>
      <c r="E2059">
        <v>19.45</v>
      </c>
      <c r="F2059">
        <v>10</v>
      </c>
      <c r="G2059">
        <v>0</v>
      </c>
      <c r="H2059">
        <v>5</v>
      </c>
      <c r="I2059">
        <v>3</v>
      </c>
      <c r="J2059">
        <v>2019</v>
      </c>
      <c r="K2059">
        <v>8</v>
      </c>
      <c r="L2059">
        <v>276</v>
      </c>
      <c r="M2059" t="s">
        <v>18</v>
      </c>
      <c r="N2059">
        <f t="shared" si="96"/>
        <v>45.79</v>
      </c>
      <c r="O2059" t="str">
        <f t="shared" si="97"/>
        <v>August</v>
      </c>
      <c r="P2059" t="str">
        <f t="shared" si="98"/>
        <v>Weekday</v>
      </c>
    </row>
    <row r="2060" spans="1:16" x14ac:dyDescent="0.3">
      <c r="A2060" s="1">
        <v>43699</v>
      </c>
      <c r="B2060">
        <v>5.34</v>
      </c>
      <c r="C2060">
        <v>4</v>
      </c>
      <c r="D2060">
        <v>2</v>
      </c>
      <c r="E2060">
        <v>20</v>
      </c>
      <c r="F2060">
        <v>8</v>
      </c>
      <c r="G2060">
        <v>2</v>
      </c>
      <c r="H2060">
        <v>10</v>
      </c>
      <c r="I2060">
        <v>3</v>
      </c>
      <c r="J2060">
        <v>2019</v>
      </c>
      <c r="K2060">
        <v>8</v>
      </c>
      <c r="L2060">
        <v>276</v>
      </c>
      <c r="M2060" t="s">
        <v>12</v>
      </c>
      <c r="N2060">
        <f t="shared" si="96"/>
        <v>54.34</v>
      </c>
      <c r="O2060" t="str">
        <f t="shared" si="97"/>
        <v>August</v>
      </c>
      <c r="P2060" t="str">
        <f t="shared" si="98"/>
        <v>Weekday</v>
      </c>
    </row>
    <row r="2061" spans="1:16" x14ac:dyDescent="0.3">
      <c r="A2061" s="1">
        <v>43700</v>
      </c>
      <c r="B2061">
        <v>9.67</v>
      </c>
      <c r="C2061">
        <v>5.1559999999999997</v>
      </c>
      <c r="D2061">
        <v>4.05</v>
      </c>
      <c r="E2061">
        <v>12</v>
      </c>
      <c r="F2061">
        <v>11</v>
      </c>
      <c r="G2061">
        <v>2</v>
      </c>
      <c r="H2061">
        <v>4</v>
      </c>
      <c r="I2061">
        <v>2</v>
      </c>
      <c r="J2061">
        <v>2019</v>
      </c>
      <c r="K2061">
        <v>8</v>
      </c>
      <c r="L2061">
        <v>276</v>
      </c>
      <c r="M2061" t="s">
        <v>13</v>
      </c>
      <c r="N2061">
        <f t="shared" si="96"/>
        <v>49.876000000000005</v>
      </c>
      <c r="O2061" t="str">
        <f t="shared" si="97"/>
        <v>August</v>
      </c>
      <c r="P2061" t="str">
        <f t="shared" si="98"/>
        <v>Weekday</v>
      </c>
    </row>
    <row r="2062" spans="1:16" x14ac:dyDescent="0.3">
      <c r="A2062" s="1">
        <v>43701</v>
      </c>
      <c r="B2062">
        <v>13.84</v>
      </c>
      <c r="C2062">
        <v>6.02</v>
      </c>
      <c r="D2062">
        <v>3</v>
      </c>
      <c r="E2062">
        <v>24.6</v>
      </c>
      <c r="F2062">
        <v>9</v>
      </c>
      <c r="G2062">
        <v>0</v>
      </c>
      <c r="H2062">
        <v>0</v>
      </c>
      <c r="I2062">
        <v>5.5</v>
      </c>
      <c r="J2062">
        <v>2019</v>
      </c>
      <c r="K2062">
        <v>8</v>
      </c>
      <c r="L2062">
        <v>276</v>
      </c>
      <c r="M2062" t="s">
        <v>14</v>
      </c>
      <c r="N2062">
        <f t="shared" si="96"/>
        <v>61.96</v>
      </c>
      <c r="O2062" t="str">
        <f t="shared" si="97"/>
        <v>August</v>
      </c>
      <c r="P2062" t="str">
        <f t="shared" si="98"/>
        <v>Weekend</v>
      </c>
    </row>
    <row r="2063" spans="1:16" x14ac:dyDescent="0.3">
      <c r="A2063" s="1">
        <v>43702</v>
      </c>
      <c r="B2063">
        <v>3</v>
      </c>
      <c r="C2063">
        <v>3.35</v>
      </c>
      <c r="D2063">
        <v>2</v>
      </c>
      <c r="E2063">
        <v>17</v>
      </c>
      <c r="F2063">
        <v>4</v>
      </c>
      <c r="G2063">
        <v>0</v>
      </c>
      <c r="H2063">
        <v>3</v>
      </c>
      <c r="I2063">
        <v>0</v>
      </c>
      <c r="J2063">
        <v>2019</v>
      </c>
      <c r="K2063">
        <v>8</v>
      </c>
      <c r="L2063">
        <v>276</v>
      </c>
      <c r="M2063" t="s">
        <v>15</v>
      </c>
      <c r="N2063">
        <f t="shared" si="96"/>
        <v>32.35</v>
      </c>
      <c r="O2063" t="str">
        <f t="shared" si="97"/>
        <v>August</v>
      </c>
      <c r="P2063" t="str">
        <f t="shared" si="98"/>
        <v>Weekend</v>
      </c>
    </row>
    <row r="2064" spans="1:16" x14ac:dyDescent="0.3">
      <c r="A2064" s="1">
        <v>43703</v>
      </c>
      <c r="B2064">
        <v>2.67</v>
      </c>
      <c r="C2064">
        <v>2.3730000000000002</v>
      </c>
      <c r="D2064">
        <v>3</v>
      </c>
      <c r="E2064">
        <v>18</v>
      </c>
      <c r="F2064">
        <v>11</v>
      </c>
      <c r="G2064">
        <v>0</v>
      </c>
      <c r="H2064">
        <v>3</v>
      </c>
      <c r="I2064">
        <v>3</v>
      </c>
      <c r="J2064">
        <v>2019</v>
      </c>
      <c r="K2064">
        <v>8</v>
      </c>
      <c r="L2064">
        <v>276</v>
      </c>
      <c r="M2064" t="s">
        <v>16</v>
      </c>
      <c r="N2064">
        <f t="shared" si="96"/>
        <v>43.042999999999999</v>
      </c>
      <c r="O2064" t="str">
        <f t="shared" si="97"/>
        <v>August</v>
      </c>
      <c r="P2064" t="str">
        <f t="shared" si="98"/>
        <v>Weekday</v>
      </c>
    </row>
    <row r="2065" spans="1:16" x14ac:dyDescent="0.3">
      <c r="A2065" s="1">
        <v>43704</v>
      </c>
      <c r="B2065">
        <v>2.34</v>
      </c>
      <c r="C2065">
        <v>2.0099999999999998</v>
      </c>
      <c r="D2065">
        <v>3</v>
      </c>
      <c r="E2065">
        <v>21</v>
      </c>
      <c r="F2065">
        <v>3</v>
      </c>
      <c r="G2065">
        <v>0</v>
      </c>
      <c r="H2065">
        <v>0</v>
      </c>
      <c r="I2065">
        <v>5</v>
      </c>
      <c r="J2065">
        <v>2019</v>
      </c>
      <c r="K2065">
        <v>8</v>
      </c>
      <c r="L2065">
        <v>276</v>
      </c>
      <c r="M2065" t="s">
        <v>17</v>
      </c>
      <c r="N2065">
        <f t="shared" si="96"/>
        <v>36.35</v>
      </c>
      <c r="O2065" t="str">
        <f t="shared" si="97"/>
        <v>August</v>
      </c>
      <c r="P2065" t="str">
        <f t="shared" si="98"/>
        <v>Weekday</v>
      </c>
    </row>
    <row r="2066" spans="1:16" x14ac:dyDescent="0.3">
      <c r="A2066" s="1">
        <v>43705</v>
      </c>
      <c r="B2066">
        <v>3.33</v>
      </c>
      <c r="C2066">
        <v>1.427</v>
      </c>
      <c r="D2066">
        <v>5</v>
      </c>
      <c r="E2066">
        <v>10</v>
      </c>
      <c r="F2066">
        <v>6</v>
      </c>
      <c r="G2066">
        <v>1</v>
      </c>
      <c r="H2066">
        <v>0</v>
      </c>
      <c r="I2066">
        <v>2</v>
      </c>
      <c r="J2066">
        <v>2019</v>
      </c>
      <c r="K2066">
        <v>8</v>
      </c>
      <c r="L2066">
        <v>276</v>
      </c>
      <c r="M2066" t="s">
        <v>18</v>
      </c>
      <c r="N2066">
        <f t="shared" si="96"/>
        <v>28.756999999999998</v>
      </c>
      <c r="O2066" t="str">
        <f t="shared" si="97"/>
        <v>August</v>
      </c>
      <c r="P2066" t="str">
        <f t="shared" si="98"/>
        <v>Weekday</v>
      </c>
    </row>
    <row r="2067" spans="1:16" x14ac:dyDescent="0.3">
      <c r="A2067" s="1">
        <v>43706</v>
      </c>
      <c r="B2067">
        <v>9</v>
      </c>
      <c r="C2067">
        <v>1.68</v>
      </c>
      <c r="D2067">
        <v>5</v>
      </c>
      <c r="E2067">
        <v>17.399999999999999</v>
      </c>
      <c r="F2067">
        <v>9</v>
      </c>
      <c r="G2067">
        <v>1</v>
      </c>
      <c r="H2067">
        <v>1</v>
      </c>
      <c r="I2067">
        <v>2</v>
      </c>
      <c r="J2067">
        <v>2019</v>
      </c>
      <c r="K2067">
        <v>8</v>
      </c>
      <c r="L2067">
        <v>276</v>
      </c>
      <c r="M2067" t="s">
        <v>12</v>
      </c>
      <c r="N2067">
        <f t="shared" si="96"/>
        <v>46.08</v>
      </c>
      <c r="O2067" t="str">
        <f t="shared" si="97"/>
        <v>August</v>
      </c>
      <c r="P2067" t="str">
        <f t="shared" si="98"/>
        <v>Weekday</v>
      </c>
    </row>
    <row r="2068" spans="1:16" x14ac:dyDescent="0.3">
      <c r="A2068" s="1">
        <v>43707</v>
      </c>
      <c r="B2068">
        <v>6.34</v>
      </c>
      <c r="C2068">
        <v>1.056</v>
      </c>
      <c r="D2068">
        <v>2</v>
      </c>
      <c r="E2068">
        <v>19</v>
      </c>
      <c r="F2068">
        <v>3</v>
      </c>
      <c r="G2068">
        <v>0</v>
      </c>
      <c r="H2068">
        <v>2</v>
      </c>
      <c r="I2068">
        <v>5.0999999999999996</v>
      </c>
      <c r="J2068">
        <v>2019</v>
      </c>
      <c r="K2068">
        <v>8</v>
      </c>
      <c r="L2068">
        <v>276</v>
      </c>
      <c r="M2068" t="s">
        <v>13</v>
      </c>
      <c r="N2068">
        <f t="shared" si="96"/>
        <v>38.496000000000002</v>
      </c>
      <c r="O2068" t="str">
        <f t="shared" si="97"/>
        <v>August</v>
      </c>
      <c r="P2068" t="str">
        <f t="shared" si="98"/>
        <v>Weekday</v>
      </c>
    </row>
    <row r="2069" spans="1:16" x14ac:dyDescent="0.3">
      <c r="A2069" s="1">
        <v>43708</v>
      </c>
      <c r="B2069">
        <v>4.68</v>
      </c>
      <c r="C2069">
        <v>3.9359999999999999</v>
      </c>
      <c r="D2069">
        <v>2</v>
      </c>
      <c r="E2069">
        <v>15</v>
      </c>
      <c r="F2069">
        <v>5</v>
      </c>
      <c r="G2069">
        <v>1</v>
      </c>
      <c r="H2069">
        <v>4</v>
      </c>
      <c r="I2069">
        <v>6</v>
      </c>
      <c r="J2069">
        <v>2019</v>
      </c>
      <c r="K2069">
        <v>8</v>
      </c>
      <c r="L2069">
        <v>276</v>
      </c>
      <c r="M2069" t="s">
        <v>14</v>
      </c>
      <c r="N2069">
        <f t="shared" si="96"/>
        <v>41.616</v>
      </c>
      <c r="O2069" t="str">
        <f t="shared" si="97"/>
        <v>August</v>
      </c>
      <c r="P2069" t="str">
        <f t="shared" si="98"/>
        <v>Weekend</v>
      </c>
    </row>
    <row r="2070" spans="1:16" x14ac:dyDescent="0.3">
      <c r="A2070" s="1">
        <v>43709</v>
      </c>
      <c r="B2070">
        <v>2</v>
      </c>
      <c r="C2070">
        <v>4.3600000000000003</v>
      </c>
      <c r="D2070">
        <v>5</v>
      </c>
      <c r="E2070">
        <v>17</v>
      </c>
      <c r="F2070">
        <v>8.1999999999999993</v>
      </c>
      <c r="G2070">
        <v>1</v>
      </c>
      <c r="H2070">
        <v>5</v>
      </c>
      <c r="I2070">
        <v>4</v>
      </c>
      <c r="J2070">
        <v>2019</v>
      </c>
      <c r="K2070">
        <v>9</v>
      </c>
      <c r="L2070">
        <v>276</v>
      </c>
      <c r="M2070" t="s">
        <v>15</v>
      </c>
      <c r="N2070">
        <f t="shared" si="96"/>
        <v>46.56</v>
      </c>
      <c r="O2070" t="str">
        <f t="shared" si="97"/>
        <v>September</v>
      </c>
      <c r="P2070" t="str">
        <f t="shared" si="98"/>
        <v>Weekend</v>
      </c>
    </row>
    <row r="2071" spans="1:16" x14ac:dyDescent="0.3">
      <c r="A2071" s="1">
        <v>43710</v>
      </c>
      <c r="B2071">
        <v>5.33</v>
      </c>
      <c r="C2071">
        <v>2.0870000000000002</v>
      </c>
      <c r="D2071">
        <v>2.5</v>
      </c>
      <c r="E2071">
        <v>18</v>
      </c>
      <c r="F2071">
        <v>7</v>
      </c>
      <c r="G2071">
        <v>0</v>
      </c>
      <c r="H2071">
        <v>1</v>
      </c>
      <c r="I2071">
        <v>9</v>
      </c>
      <c r="J2071">
        <v>2019</v>
      </c>
      <c r="K2071">
        <v>9</v>
      </c>
      <c r="L2071">
        <v>276</v>
      </c>
      <c r="M2071" t="s">
        <v>16</v>
      </c>
      <c r="N2071">
        <f t="shared" si="96"/>
        <v>44.917000000000002</v>
      </c>
      <c r="O2071" t="str">
        <f t="shared" si="97"/>
        <v>September</v>
      </c>
      <c r="P2071" t="str">
        <f t="shared" si="98"/>
        <v>Weekday</v>
      </c>
    </row>
    <row r="2072" spans="1:16" x14ac:dyDescent="0.3">
      <c r="A2072" s="1">
        <v>43711</v>
      </c>
      <c r="B2072">
        <v>9.36</v>
      </c>
      <c r="C2072">
        <v>2.35</v>
      </c>
      <c r="D2072">
        <v>3.1</v>
      </c>
      <c r="E2072">
        <v>12.125</v>
      </c>
      <c r="F2072">
        <v>8</v>
      </c>
      <c r="G2072">
        <v>3</v>
      </c>
      <c r="H2072">
        <v>1</v>
      </c>
      <c r="I2072">
        <v>2</v>
      </c>
      <c r="J2072">
        <v>2019</v>
      </c>
      <c r="K2072">
        <v>9</v>
      </c>
      <c r="L2072">
        <v>276</v>
      </c>
      <c r="M2072" t="s">
        <v>17</v>
      </c>
      <c r="N2072">
        <f t="shared" si="96"/>
        <v>40.935000000000002</v>
      </c>
      <c r="O2072" t="str">
        <f t="shared" si="97"/>
        <v>September</v>
      </c>
      <c r="P2072" t="str">
        <f t="shared" si="98"/>
        <v>Weekday</v>
      </c>
    </row>
    <row r="2073" spans="1:16" x14ac:dyDescent="0.3">
      <c r="A2073" s="1">
        <v>43712</v>
      </c>
      <c r="B2073">
        <v>2</v>
      </c>
      <c r="C2073">
        <v>0.373</v>
      </c>
      <c r="D2073">
        <v>2.15</v>
      </c>
      <c r="E2073">
        <v>29.23</v>
      </c>
      <c r="F2073">
        <v>7</v>
      </c>
      <c r="G2073">
        <v>0</v>
      </c>
      <c r="H2073">
        <v>3</v>
      </c>
      <c r="I2073">
        <v>3</v>
      </c>
      <c r="J2073">
        <v>2019</v>
      </c>
      <c r="K2073">
        <v>9</v>
      </c>
      <c r="L2073">
        <v>276</v>
      </c>
      <c r="M2073" t="s">
        <v>18</v>
      </c>
      <c r="N2073">
        <f t="shared" si="96"/>
        <v>46.753</v>
      </c>
      <c r="O2073" t="str">
        <f t="shared" si="97"/>
        <v>September</v>
      </c>
      <c r="P2073" t="str">
        <f t="shared" si="98"/>
        <v>Weekday</v>
      </c>
    </row>
    <row r="2074" spans="1:16" x14ac:dyDescent="0.3">
      <c r="A2074" s="1">
        <v>43713</v>
      </c>
      <c r="B2074">
        <v>7</v>
      </c>
      <c r="C2074">
        <v>9.5299999999999994</v>
      </c>
      <c r="D2074">
        <v>2</v>
      </c>
      <c r="E2074">
        <v>14</v>
      </c>
      <c r="F2074">
        <v>1</v>
      </c>
      <c r="G2074">
        <v>0</v>
      </c>
      <c r="H2074">
        <v>1</v>
      </c>
      <c r="I2074">
        <v>8</v>
      </c>
      <c r="J2074">
        <v>2019</v>
      </c>
      <c r="K2074">
        <v>9</v>
      </c>
      <c r="L2074">
        <v>276</v>
      </c>
      <c r="M2074" t="s">
        <v>12</v>
      </c>
      <c r="N2074">
        <f t="shared" si="96"/>
        <v>42.53</v>
      </c>
      <c r="O2074" t="str">
        <f t="shared" si="97"/>
        <v>September</v>
      </c>
      <c r="P2074" t="str">
        <f t="shared" si="98"/>
        <v>Weekday</v>
      </c>
    </row>
    <row r="2075" spans="1:16" x14ac:dyDescent="0.3">
      <c r="A2075" s="1">
        <v>43714</v>
      </c>
      <c r="B2075">
        <v>1.68</v>
      </c>
      <c r="C2075">
        <v>2.67</v>
      </c>
      <c r="D2075">
        <v>1</v>
      </c>
      <c r="E2075">
        <v>28.4</v>
      </c>
      <c r="F2075">
        <v>7</v>
      </c>
      <c r="G2075">
        <v>0</v>
      </c>
      <c r="H2075">
        <v>0</v>
      </c>
      <c r="I2075">
        <v>1.5</v>
      </c>
      <c r="J2075">
        <v>2019</v>
      </c>
      <c r="K2075">
        <v>9</v>
      </c>
      <c r="L2075">
        <v>276</v>
      </c>
      <c r="M2075" t="s">
        <v>13</v>
      </c>
      <c r="N2075">
        <f t="shared" si="96"/>
        <v>42.25</v>
      </c>
      <c r="O2075" t="str">
        <f t="shared" si="97"/>
        <v>September</v>
      </c>
      <c r="P2075" t="str">
        <f t="shared" si="98"/>
        <v>Weekday</v>
      </c>
    </row>
    <row r="2076" spans="1:16" x14ac:dyDescent="0.3">
      <c r="A2076" s="1">
        <v>43715</v>
      </c>
      <c r="B2076">
        <v>8.33</v>
      </c>
      <c r="C2076">
        <v>3.67</v>
      </c>
      <c r="D2076">
        <v>2</v>
      </c>
      <c r="E2076">
        <v>27</v>
      </c>
      <c r="F2076">
        <v>14</v>
      </c>
      <c r="G2076">
        <v>3</v>
      </c>
      <c r="H2076">
        <v>6</v>
      </c>
      <c r="I2076">
        <v>2</v>
      </c>
      <c r="J2076">
        <v>2019</v>
      </c>
      <c r="K2076">
        <v>9</v>
      </c>
      <c r="L2076">
        <v>276</v>
      </c>
      <c r="M2076" t="s">
        <v>14</v>
      </c>
      <c r="N2076">
        <f t="shared" si="96"/>
        <v>66</v>
      </c>
      <c r="O2076" t="str">
        <f t="shared" si="97"/>
        <v>September</v>
      </c>
      <c r="P2076" t="str">
        <f t="shared" si="98"/>
        <v>Weekend</v>
      </c>
    </row>
    <row r="2077" spans="1:16" x14ac:dyDescent="0.3">
      <c r="A2077" s="1">
        <v>43716</v>
      </c>
      <c r="B2077">
        <v>7.01</v>
      </c>
      <c r="C2077">
        <v>6.0869999999999997</v>
      </c>
      <c r="D2077">
        <v>3</v>
      </c>
      <c r="E2077">
        <v>26</v>
      </c>
      <c r="F2077">
        <v>7</v>
      </c>
      <c r="G2077">
        <v>0</v>
      </c>
      <c r="H2077">
        <v>3</v>
      </c>
      <c r="I2077">
        <v>3</v>
      </c>
      <c r="J2077">
        <v>2019</v>
      </c>
      <c r="K2077">
        <v>9</v>
      </c>
      <c r="L2077">
        <v>276</v>
      </c>
      <c r="M2077" t="s">
        <v>15</v>
      </c>
      <c r="N2077">
        <f t="shared" si="96"/>
        <v>55.097000000000001</v>
      </c>
      <c r="O2077" t="str">
        <f t="shared" si="97"/>
        <v>September</v>
      </c>
      <c r="P2077" t="str">
        <f t="shared" si="98"/>
        <v>Weekend</v>
      </c>
    </row>
    <row r="2078" spans="1:16" x14ac:dyDescent="0.3">
      <c r="A2078" s="1">
        <v>43717</v>
      </c>
      <c r="B2078">
        <v>1.18</v>
      </c>
      <c r="C2078">
        <v>2.1240000000000001</v>
      </c>
      <c r="D2078">
        <v>3</v>
      </c>
      <c r="E2078">
        <v>26</v>
      </c>
      <c r="F2078">
        <v>4</v>
      </c>
      <c r="G2078">
        <v>3</v>
      </c>
      <c r="H2078">
        <v>5</v>
      </c>
      <c r="I2078">
        <v>2</v>
      </c>
      <c r="J2078">
        <v>2019</v>
      </c>
      <c r="K2078">
        <v>9</v>
      </c>
      <c r="L2078">
        <v>276</v>
      </c>
      <c r="M2078" t="s">
        <v>16</v>
      </c>
      <c r="N2078">
        <f t="shared" si="96"/>
        <v>46.304000000000002</v>
      </c>
      <c r="O2078" t="str">
        <f t="shared" si="97"/>
        <v>September</v>
      </c>
      <c r="P2078" t="str">
        <f t="shared" si="98"/>
        <v>Weekday</v>
      </c>
    </row>
    <row r="2079" spans="1:16" x14ac:dyDescent="0.3">
      <c r="A2079" s="1">
        <v>43718</v>
      </c>
      <c r="B2079">
        <v>8.66</v>
      </c>
      <c r="C2079">
        <v>6.68</v>
      </c>
      <c r="D2079">
        <v>4.2</v>
      </c>
      <c r="E2079">
        <v>22</v>
      </c>
      <c r="F2079">
        <v>17</v>
      </c>
      <c r="G2079">
        <v>0</v>
      </c>
      <c r="H2079">
        <v>1</v>
      </c>
      <c r="I2079">
        <v>1</v>
      </c>
      <c r="J2079">
        <v>2019</v>
      </c>
      <c r="K2079">
        <v>9</v>
      </c>
      <c r="L2079">
        <v>276</v>
      </c>
      <c r="M2079" t="s">
        <v>17</v>
      </c>
      <c r="N2079">
        <f t="shared" si="96"/>
        <v>60.54</v>
      </c>
      <c r="O2079" t="str">
        <f t="shared" si="97"/>
        <v>September</v>
      </c>
      <c r="P2079" t="str">
        <f t="shared" si="98"/>
        <v>Weekday</v>
      </c>
    </row>
    <row r="2080" spans="1:16" x14ac:dyDescent="0.3">
      <c r="A2080" s="1">
        <v>43719</v>
      </c>
      <c r="B2080">
        <v>2.67</v>
      </c>
      <c r="C2080">
        <v>5.0759999999999996</v>
      </c>
      <c r="D2080">
        <v>3</v>
      </c>
      <c r="E2080">
        <v>42</v>
      </c>
      <c r="F2080">
        <v>5</v>
      </c>
      <c r="G2080">
        <v>0</v>
      </c>
      <c r="H2080">
        <v>5</v>
      </c>
      <c r="I2080">
        <v>2.5</v>
      </c>
      <c r="J2080">
        <v>2019</v>
      </c>
      <c r="K2080">
        <v>9</v>
      </c>
      <c r="L2080">
        <v>276</v>
      </c>
      <c r="M2080" t="s">
        <v>18</v>
      </c>
      <c r="N2080">
        <f t="shared" si="96"/>
        <v>65.245999999999995</v>
      </c>
      <c r="O2080" t="str">
        <f t="shared" si="97"/>
        <v>September</v>
      </c>
      <c r="P2080" t="str">
        <f t="shared" si="98"/>
        <v>Weekday</v>
      </c>
    </row>
    <row r="2081" spans="1:16" x14ac:dyDescent="0.3">
      <c r="A2081" s="1">
        <v>43720</v>
      </c>
      <c r="B2081">
        <v>2.33</v>
      </c>
      <c r="C2081">
        <v>1.34</v>
      </c>
      <c r="D2081">
        <v>2</v>
      </c>
      <c r="E2081">
        <v>21.975000000000001</v>
      </c>
      <c r="F2081">
        <v>11.2</v>
      </c>
      <c r="G2081">
        <v>0</v>
      </c>
      <c r="H2081">
        <v>10</v>
      </c>
      <c r="I2081">
        <v>4</v>
      </c>
      <c r="J2081">
        <v>2019</v>
      </c>
      <c r="K2081">
        <v>9</v>
      </c>
      <c r="L2081">
        <v>276</v>
      </c>
      <c r="M2081" t="s">
        <v>12</v>
      </c>
      <c r="N2081">
        <f t="shared" si="96"/>
        <v>52.844999999999999</v>
      </c>
      <c r="O2081" t="str">
        <f t="shared" si="97"/>
        <v>September</v>
      </c>
      <c r="P2081" t="str">
        <f t="shared" si="98"/>
        <v>Weekday</v>
      </c>
    </row>
    <row r="2082" spans="1:16" x14ac:dyDescent="0.3">
      <c r="A2082" s="1">
        <v>43721</v>
      </c>
      <c r="B2082">
        <v>6.34</v>
      </c>
      <c r="C2082">
        <v>3.35</v>
      </c>
      <c r="D2082">
        <v>2</v>
      </c>
      <c r="E2082">
        <v>17</v>
      </c>
      <c r="F2082">
        <v>12</v>
      </c>
      <c r="G2082">
        <v>2</v>
      </c>
      <c r="H2082">
        <v>5</v>
      </c>
      <c r="I2082">
        <v>5</v>
      </c>
      <c r="J2082">
        <v>2019</v>
      </c>
      <c r="K2082">
        <v>9</v>
      </c>
      <c r="L2082">
        <v>276</v>
      </c>
      <c r="M2082" t="s">
        <v>13</v>
      </c>
      <c r="N2082">
        <f t="shared" si="96"/>
        <v>52.69</v>
      </c>
      <c r="O2082" t="str">
        <f t="shared" si="97"/>
        <v>September</v>
      </c>
      <c r="P2082" t="str">
        <f t="shared" si="98"/>
        <v>Weekday</v>
      </c>
    </row>
    <row r="2083" spans="1:16" x14ac:dyDescent="0.3">
      <c r="A2083" s="1">
        <v>43722</v>
      </c>
      <c r="B2083">
        <v>8.99</v>
      </c>
      <c r="C2083">
        <v>6.3970000000000002</v>
      </c>
      <c r="D2083">
        <v>3.45</v>
      </c>
      <c r="E2083">
        <v>24</v>
      </c>
      <c r="F2083">
        <v>12</v>
      </c>
      <c r="G2083">
        <v>0</v>
      </c>
      <c r="H2083">
        <v>2</v>
      </c>
      <c r="I2083">
        <v>10</v>
      </c>
      <c r="J2083">
        <v>2019</v>
      </c>
      <c r="K2083">
        <v>9</v>
      </c>
      <c r="L2083">
        <v>276</v>
      </c>
      <c r="M2083" t="s">
        <v>14</v>
      </c>
      <c r="N2083">
        <f t="shared" si="96"/>
        <v>66.837000000000003</v>
      </c>
      <c r="O2083" t="str">
        <f t="shared" si="97"/>
        <v>September</v>
      </c>
      <c r="P2083" t="str">
        <f t="shared" si="98"/>
        <v>Weekend</v>
      </c>
    </row>
    <row r="2084" spans="1:16" x14ac:dyDescent="0.3">
      <c r="A2084" s="1">
        <v>43723</v>
      </c>
      <c r="B2084">
        <v>5.34</v>
      </c>
      <c r="C2084">
        <v>6.01</v>
      </c>
      <c r="D2084">
        <v>2</v>
      </c>
      <c r="E2084">
        <v>25.4</v>
      </c>
      <c r="F2084">
        <v>6</v>
      </c>
      <c r="G2084">
        <v>0</v>
      </c>
      <c r="H2084">
        <v>2</v>
      </c>
      <c r="I2084">
        <v>6</v>
      </c>
      <c r="J2084">
        <v>2019</v>
      </c>
      <c r="K2084">
        <v>9</v>
      </c>
      <c r="L2084">
        <v>276</v>
      </c>
      <c r="M2084" t="s">
        <v>15</v>
      </c>
      <c r="N2084">
        <f t="shared" si="96"/>
        <v>52.75</v>
      </c>
      <c r="O2084" t="str">
        <f t="shared" si="97"/>
        <v>September</v>
      </c>
      <c r="P2084" t="str">
        <f t="shared" si="98"/>
        <v>Weekend</v>
      </c>
    </row>
    <row r="2085" spans="1:16" x14ac:dyDescent="0.3">
      <c r="A2085" s="1">
        <v>43724</v>
      </c>
      <c r="B2085">
        <v>9.33</v>
      </c>
      <c r="C2085">
        <v>2.3159999999999998</v>
      </c>
      <c r="D2085">
        <v>3</v>
      </c>
      <c r="E2085">
        <v>22</v>
      </c>
      <c r="F2085">
        <v>5</v>
      </c>
      <c r="G2085">
        <v>1</v>
      </c>
      <c r="H2085">
        <v>0</v>
      </c>
      <c r="I2085">
        <v>2</v>
      </c>
      <c r="J2085">
        <v>2019</v>
      </c>
      <c r="K2085">
        <v>9</v>
      </c>
      <c r="L2085">
        <v>276</v>
      </c>
      <c r="M2085" t="s">
        <v>16</v>
      </c>
      <c r="N2085">
        <f t="shared" si="96"/>
        <v>44.646000000000001</v>
      </c>
      <c r="O2085" t="str">
        <f t="shared" si="97"/>
        <v>September</v>
      </c>
      <c r="P2085" t="str">
        <f t="shared" si="98"/>
        <v>Weekday</v>
      </c>
    </row>
    <row r="2086" spans="1:16" x14ac:dyDescent="0.3">
      <c r="A2086" s="1">
        <v>43725</v>
      </c>
      <c r="B2086">
        <v>4.5</v>
      </c>
      <c r="C2086">
        <v>3.0070000000000001</v>
      </c>
      <c r="D2086">
        <v>6.5</v>
      </c>
      <c r="E2086">
        <v>19.2</v>
      </c>
      <c r="F2086">
        <v>8.1999999999999993</v>
      </c>
      <c r="G2086">
        <v>0</v>
      </c>
      <c r="H2086">
        <v>6</v>
      </c>
      <c r="I2086">
        <v>2</v>
      </c>
      <c r="J2086">
        <v>2019</v>
      </c>
      <c r="K2086">
        <v>9</v>
      </c>
      <c r="L2086">
        <v>276</v>
      </c>
      <c r="M2086" t="s">
        <v>17</v>
      </c>
      <c r="N2086">
        <f t="shared" si="96"/>
        <v>49.406999999999996</v>
      </c>
      <c r="O2086" t="str">
        <f t="shared" si="97"/>
        <v>September</v>
      </c>
      <c r="P2086" t="str">
        <f t="shared" si="98"/>
        <v>Weekday</v>
      </c>
    </row>
    <row r="2087" spans="1:16" x14ac:dyDescent="0.3">
      <c r="A2087" s="1">
        <v>43726</v>
      </c>
      <c r="B2087">
        <v>6.33</v>
      </c>
      <c r="C2087">
        <v>4.33</v>
      </c>
      <c r="D2087">
        <v>7</v>
      </c>
      <c r="E2087">
        <v>22</v>
      </c>
      <c r="F2087">
        <v>4</v>
      </c>
      <c r="G2087">
        <v>0</v>
      </c>
      <c r="H2087">
        <v>2</v>
      </c>
      <c r="I2087">
        <v>2</v>
      </c>
      <c r="J2087">
        <v>2019</v>
      </c>
      <c r="K2087">
        <v>9</v>
      </c>
      <c r="L2087">
        <v>276</v>
      </c>
      <c r="M2087" t="s">
        <v>18</v>
      </c>
      <c r="N2087">
        <f t="shared" si="96"/>
        <v>47.66</v>
      </c>
      <c r="O2087" t="str">
        <f t="shared" si="97"/>
        <v>September</v>
      </c>
      <c r="P2087" t="str">
        <f t="shared" si="98"/>
        <v>Weekday</v>
      </c>
    </row>
    <row r="2088" spans="1:16" x14ac:dyDescent="0.3">
      <c r="A2088" s="1">
        <v>43727</v>
      </c>
      <c r="B2088">
        <v>7.33</v>
      </c>
      <c r="C2088">
        <v>3.34</v>
      </c>
      <c r="D2088">
        <v>3</v>
      </c>
      <c r="E2088">
        <v>33</v>
      </c>
      <c r="F2088">
        <v>5</v>
      </c>
      <c r="G2088">
        <v>2</v>
      </c>
      <c r="H2088">
        <v>3</v>
      </c>
      <c r="I2088">
        <v>4</v>
      </c>
      <c r="J2088">
        <v>2019</v>
      </c>
      <c r="K2088">
        <v>9</v>
      </c>
      <c r="L2088">
        <v>276</v>
      </c>
      <c r="M2088" t="s">
        <v>12</v>
      </c>
      <c r="N2088">
        <f t="shared" si="96"/>
        <v>60.67</v>
      </c>
      <c r="O2088" t="str">
        <f t="shared" si="97"/>
        <v>September</v>
      </c>
      <c r="P2088" t="str">
        <f t="shared" si="98"/>
        <v>Weekday</v>
      </c>
    </row>
    <row r="2089" spans="1:16" x14ac:dyDescent="0.3">
      <c r="A2089" s="1">
        <v>43728</v>
      </c>
      <c r="B2089">
        <v>5.34</v>
      </c>
      <c r="C2089">
        <v>3.383</v>
      </c>
      <c r="D2089">
        <v>2</v>
      </c>
      <c r="E2089">
        <v>51.3</v>
      </c>
      <c r="F2089">
        <v>3</v>
      </c>
      <c r="G2089">
        <v>0</v>
      </c>
      <c r="H2089">
        <v>1</v>
      </c>
      <c r="I2089">
        <v>3</v>
      </c>
      <c r="J2089">
        <v>2019</v>
      </c>
      <c r="K2089">
        <v>9</v>
      </c>
      <c r="L2089">
        <v>276</v>
      </c>
      <c r="M2089" t="s">
        <v>13</v>
      </c>
      <c r="N2089">
        <f t="shared" si="96"/>
        <v>69.022999999999996</v>
      </c>
      <c r="O2089" t="str">
        <f t="shared" si="97"/>
        <v>September</v>
      </c>
      <c r="P2089" t="str">
        <f t="shared" si="98"/>
        <v>Weekday</v>
      </c>
    </row>
    <row r="2090" spans="1:16" x14ac:dyDescent="0.3">
      <c r="A2090" s="1">
        <v>43729</v>
      </c>
      <c r="B2090">
        <v>10.68</v>
      </c>
      <c r="C2090">
        <v>5.68</v>
      </c>
      <c r="D2090">
        <v>1</v>
      </c>
      <c r="E2090">
        <v>44.25</v>
      </c>
      <c r="F2090">
        <v>3</v>
      </c>
      <c r="G2090">
        <v>0</v>
      </c>
      <c r="H2090">
        <v>6</v>
      </c>
      <c r="I2090">
        <v>4</v>
      </c>
      <c r="J2090">
        <v>2019</v>
      </c>
      <c r="K2090">
        <v>9</v>
      </c>
      <c r="L2090">
        <v>276</v>
      </c>
      <c r="M2090" t="s">
        <v>14</v>
      </c>
      <c r="N2090">
        <f t="shared" si="96"/>
        <v>74.61</v>
      </c>
      <c r="O2090" t="str">
        <f t="shared" si="97"/>
        <v>September</v>
      </c>
      <c r="P2090" t="str">
        <f t="shared" si="98"/>
        <v>Weekend</v>
      </c>
    </row>
    <row r="2091" spans="1:16" x14ac:dyDescent="0.3">
      <c r="A2091" s="1">
        <v>43730</v>
      </c>
      <c r="B2091">
        <v>3.33</v>
      </c>
      <c r="C2091">
        <v>3.34</v>
      </c>
      <c r="D2091">
        <v>1.9</v>
      </c>
      <c r="E2091">
        <v>56.5</v>
      </c>
      <c r="F2091">
        <v>3</v>
      </c>
      <c r="G2091">
        <v>0</v>
      </c>
      <c r="H2091">
        <v>8</v>
      </c>
      <c r="I2091">
        <v>4</v>
      </c>
      <c r="J2091">
        <v>2019</v>
      </c>
      <c r="K2091">
        <v>9</v>
      </c>
      <c r="L2091">
        <v>276</v>
      </c>
      <c r="M2091" t="s">
        <v>15</v>
      </c>
      <c r="N2091">
        <f t="shared" si="96"/>
        <v>80.069999999999993</v>
      </c>
      <c r="O2091" t="str">
        <f t="shared" si="97"/>
        <v>September</v>
      </c>
      <c r="P2091" t="str">
        <f t="shared" si="98"/>
        <v>Weekend</v>
      </c>
    </row>
    <row r="2092" spans="1:16" x14ac:dyDescent="0.3">
      <c r="A2092" s="1">
        <v>43731</v>
      </c>
      <c r="B2092">
        <v>5.34</v>
      </c>
      <c r="C2092">
        <v>4.5490000000000004</v>
      </c>
      <c r="D2092">
        <v>3.3</v>
      </c>
      <c r="E2092">
        <v>55</v>
      </c>
      <c r="F2092">
        <v>6</v>
      </c>
      <c r="G2092">
        <v>0</v>
      </c>
      <c r="H2092">
        <v>1</v>
      </c>
      <c r="I2092">
        <v>4</v>
      </c>
      <c r="J2092">
        <v>2019</v>
      </c>
      <c r="K2092">
        <v>9</v>
      </c>
      <c r="L2092">
        <v>276</v>
      </c>
      <c r="M2092" t="s">
        <v>16</v>
      </c>
      <c r="N2092">
        <f t="shared" si="96"/>
        <v>79.188999999999993</v>
      </c>
      <c r="O2092" t="str">
        <f t="shared" si="97"/>
        <v>September</v>
      </c>
      <c r="P2092" t="str">
        <f t="shared" si="98"/>
        <v>Weekday</v>
      </c>
    </row>
    <row r="2093" spans="1:16" x14ac:dyDescent="0.3">
      <c r="A2093" s="1">
        <v>43732</v>
      </c>
      <c r="B2093">
        <v>2</v>
      </c>
      <c r="C2093">
        <v>1.34</v>
      </c>
      <c r="D2093">
        <v>6</v>
      </c>
      <c r="E2093">
        <v>61.3</v>
      </c>
      <c r="F2093">
        <v>12</v>
      </c>
      <c r="G2093">
        <v>0</v>
      </c>
      <c r="H2093">
        <v>1</v>
      </c>
      <c r="I2093">
        <v>6</v>
      </c>
      <c r="J2093">
        <v>2019</v>
      </c>
      <c r="K2093">
        <v>9</v>
      </c>
      <c r="L2093">
        <v>276</v>
      </c>
      <c r="M2093" t="s">
        <v>17</v>
      </c>
      <c r="N2093">
        <f t="shared" si="96"/>
        <v>89.64</v>
      </c>
      <c r="O2093" t="str">
        <f t="shared" si="97"/>
        <v>September</v>
      </c>
      <c r="P2093" t="str">
        <f t="shared" si="98"/>
        <v>Weekday</v>
      </c>
    </row>
    <row r="2094" spans="1:16" x14ac:dyDescent="0.3">
      <c r="A2094" s="1">
        <v>43733</v>
      </c>
      <c r="B2094">
        <v>6</v>
      </c>
      <c r="C2094">
        <v>3.67</v>
      </c>
      <c r="D2094">
        <v>4.2</v>
      </c>
      <c r="E2094">
        <v>32.5</v>
      </c>
      <c r="F2094">
        <v>14</v>
      </c>
      <c r="G2094">
        <v>1</v>
      </c>
      <c r="H2094">
        <v>1.4166666670000001</v>
      </c>
      <c r="I2094">
        <v>4</v>
      </c>
      <c r="J2094">
        <v>2019</v>
      </c>
      <c r="K2094">
        <v>9</v>
      </c>
      <c r="L2094">
        <v>276</v>
      </c>
      <c r="M2094" t="s">
        <v>18</v>
      </c>
      <c r="N2094">
        <f t="shared" si="96"/>
        <v>66.786666667000006</v>
      </c>
      <c r="O2094" t="str">
        <f t="shared" si="97"/>
        <v>September</v>
      </c>
      <c r="P2094" t="str">
        <f t="shared" si="98"/>
        <v>Weekday</v>
      </c>
    </row>
    <row r="2095" spans="1:16" x14ac:dyDescent="0.3">
      <c r="A2095" s="1">
        <v>43734</v>
      </c>
      <c r="B2095">
        <v>5.5</v>
      </c>
      <c r="C2095">
        <v>3.0329999999999999</v>
      </c>
      <c r="D2095">
        <v>2</v>
      </c>
      <c r="E2095">
        <v>31</v>
      </c>
      <c r="F2095">
        <v>13</v>
      </c>
      <c r="G2095">
        <v>0</v>
      </c>
      <c r="H2095">
        <v>31</v>
      </c>
      <c r="I2095">
        <v>0</v>
      </c>
      <c r="J2095">
        <v>2019</v>
      </c>
      <c r="K2095">
        <v>9</v>
      </c>
      <c r="L2095">
        <v>276</v>
      </c>
      <c r="M2095" t="s">
        <v>12</v>
      </c>
      <c r="N2095">
        <f t="shared" si="96"/>
        <v>85.533000000000001</v>
      </c>
      <c r="O2095" t="str">
        <f t="shared" si="97"/>
        <v>September</v>
      </c>
      <c r="P2095" t="str">
        <f t="shared" si="98"/>
        <v>Weekday</v>
      </c>
    </row>
    <row r="2096" spans="1:16" x14ac:dyDescent="0.3">
      <c r="A2096" s="1">
        <v>43735</v>
      </c>
      <c r="B2096">
        <v>4.66</v>
      </c>
      <c r="C2096">
        <v>4.359</v>
      </c>
      <c r="D2096">
        <v>4</v>
      </c>
      <c r="E2096">
        <v>41.1</v>
      </c>
      <c r="F2096">
        <v>4</v>
      </c>
      <c r="G2096">
        <v>0</v>
      </c>
      <c r="H2096">
        <v>2</v>
      </c>
      <c r="I2096">
        <v>4</v>
      </c>
      <c r="J2096">
        <v>2019</v>
      </c>
      <c r="K2096">
        <v>9</v>
      </c>
      <c r="L2096">
        <v>276</v>
      </c>
      <c r="M2096" t="s">
        <v>13</v>
      </c>
      <c r="N2096">
        <f t="shared" si="96"/>
        <v>64.119</v>
      </c>
      <c r="O2096" t="str">
        <f t="shared" si="97"/>
        <v>September</v>
      </c>
      <c r="P2096" t="str">
        <f t="shared" si="98"/>
        <v>Weekday</v>
      </c>
    </row>
    <row r="2097" spans="1:16" x14ac:dyDescent="0.3">
      <c r="A2097" s="1">
        <v>43736</v>
      </c>
      <c r="B2097">
        <v>7</v>
      </c>
      <c r="C2097">
        <v>1.68</v>
      </c>
      <c r="D2097">
        <v>4.0999999999999996</v>
      </c>
      <c r="E2097">
        <v>48</v>
      </c>
      <c r="F2097">
        <v>6.2</v>
      </c>
      <c r="G2097">
        <v>0</v>
      </c>
      <c r="H2097">
        <v>1</v>
      </c>
      <c r="I2097">
        <v>3</v>
      </c>
      <c r="J2097">
        <v>2019</v>
      </c>
      <c r="K2097">
        <v>9</v>
      </c>
      <c r="L2097">
        <v>276</v>
      </c>
      <c r="M2097" t="s">
        <v>14</v>
      </c>
      <c r="N2097">
        <f t="shared" si="96"/>
        <v>70.98</v>
      </c>
      <c r="O2097" t="str">
        <f t="shared" si="97"/>
        <v>September</v>
      </c>
      <c r="P2097" t="str">
        <f t="shared" si="98"/>
        <v>Weekend</v>
      </c>
    </row>
    <row r="2098" spans="1:16" x14ac:dyDescent="0.3">
      <c r="A2098" s="1">
        <v>43737</v>
      </c>
      <c r="B2098">
        <v>3.51</v>
      </c>
      <c r="C2098">
        <v>3.867</v>
      </c>
      <c r="D2098">
        <v>3</v>
      </c>
      <c r="E2098">
        <v>67.8</v>
      </c>
      <c r="F2098">
        <v>6</v>
      </c>
      <c r="G2098">
        <v>0</v>
      </c>
      <c r="H2098">
        <v>3</v>
      </c>
      <c r="I2098">
        <v>2.1</v>
      </c>
      <c r="J2098">
        <v>2019</v>
      </c>
      <c r="K2098">
        <v>9</v>
      </c>
      <c r="L2098">
        <v>276</v>
      </c>
      <c r="M2098" t="s">
        <v>15</v>
      </c>
      <c r="N2098">
        <f t="shared" si="96"/>
        <v>89.276999999999987</v>
      </c>
      <c r="O2098" t="str">
        <f t="shared" si="97"/>
        <v>September</v>
      </c>
      <c r="P2098" t="str">
        <f t="shared" si="98"/>
        <v>Weekend</v>
      </c>
    </row>
    <row r="2099" spans="1:16" x14ac:dyDescent="0.3">
      <c r="A2099" s="1">
        <v>43738</v>
      </c>
      <c r="B2099">
        <v>2</v>
      </c>
      <c r="C2099">
        <v>1.4390000000000001</v>
      </c>
      <c r="D2099">
        <v>2.1</v>
      </c>
      <c r="E2099">
        <v>49.4</v>
      </c>
      <c r="F2099">
        <v>9</v>
      </c>
      <c r="G2099">
        <v>0</v>
      </c>
      <c r="H2099">
        <v>5</v>
      </c>
      <c r="I2099">
        <v>2</v>
      </c>
      <c r="J2099">
        <v>2019</v>
      </c>
      <c r="K2099">
        <v>9</v>
      </c>
      <c r="L2099">
        <v>276</v>
      </c>
      <c r="M2099" t="s">
        <v>16</v>
      </c>
      <c r="N2099">
        <f t="shared" si="96"/>
        <v>70.938999999999993</v>
      </c>
      <c r="O2099" t="str">
        <f t="shared" si="97"/>
        <v>September</v>
      </c>
      <c r="P2099" t="str">
        <f t="shared" si="98"/>
        <v>Weekday</v>
      </c>
    </row>
    <row r="2100" spans="1:16" x14ac:dyDescent="0.3">
      <c r="A2100" s="1">
        <v>43739</v>
      </c>
      <c r="B2100">
        <v>11.34</v>
      </c>
      <c r="C2100">
        <v>2.4060000000000001</v>
      </c>
      <c r="D2100">
        <v>0.1</v>
      </c>
      <c r="E2100">
        <v>47</v>
      </c>
      <c r="F2100">
        <v>15</v>
      </c>
      <c r="G2100">
        <v>4</v>
      </c>
      <c r="H2100">
        <v>17</v>
      </c>
      <c r="I2100">
        <v>1.5</v>
      </c>
      <c r="J2100">
        <v>2019</v>
      </c>
      <c r="K2100">
        <v>10</v>
      </c>
      <c r="L2100">
        <v>276</v>
      </c>
      <c r="M2100" t="s">
        <v>17</v>
      </c>
      <c r="N2100">
        <f t="shared" si="96"/>
        <v>98.346000000000004</v>
      </c>
      <c r="O2100" t="str">
        <f t="shared" si="97"/>
        <v>October</v>
      </c>
      <c r="P2100" t="str">
        <f t="shared" si="98"/>
        <v>Weekday</v>
      </c>
    </row>
    <row r="2101" spans="1:16" x14ac:dyDescent="0.3">
      <c r="A2101" s="1">
        <v>43740</v>
      </c>
      <c r="B2101">
        <v>5.18</v>
      </c>
      <c r="C2101">
        <v>3.274</v>
      </c>
      <c r="D2101">
        <v>2.8</v>
      </c>
      <c r="E2101">
        <v>30.2</v>
      </c>
      <c r="F2101">
        <v>9</v>
      </c>
      <c r="G2101">
        <v>1</v>
      </c>
      <c r="H2101">
        <v>0</v>
      </c>
      <c r="I2101">
        <v>1.1000000000000001</v>
      </c>
      <c r="J2101">
        <v>2019</v>
      </c>
      <c r="K2101">
        <v>10</v>
      </c>
      <c r="L2101">
        <v>276</v>
      </c>
      <c r="M2101" t="s">
        <v>18</v>
      </c>
      <c r="N2101">
        <f t="shared" si="96"/>
        <v>52.554000000000002</v>
      </c>
      <c r="O2101" t="str">
        <f t="shared" si="97"/>
        <v>October</v>
      </c>
      <c r="P2101" t="str">
        <f t="shared" si="98"/>
        <v>Weekday</v>
      </c>
    </row>
    <row r="2102" spans="1:16" x14ac:dyDescent="0.3">
      <c r="A2102" s="1">
        <v>43741</v>
      </c>
      <c r="B2102">
        <v>5</v>
      </c>
      <c r="C2102">
        <v>3</v>
      </c>
      <c r="D2102">
        <v>4</v>
      </c>
      <c r="E2102">
        <v>40.4</v>
      </c>
      <c r="F2102">
        <v>10</v>
      </c>
      <c r="G2102">
        <v>0</v>
      </c>
      <c r="H2102">
        <v>2</v>
      </c>
      <c r="I2102">
        <v>2</v>
      </c>
      <c r="J2102">
        <v>2019</v>
      </c>
      <c r="K2102">
        <v>10</v>
      </c>
      <c r="L2102">
        <v>276</v>
      </c>
      <c r="M2102" t="s">
        <v>12</v>
      </c>
      <c r="N2102">
        <f t="shared" si="96"/>
        <v>66.400000000000006</v>
      </c>
      <c r="O2102" t="str">
        <f t="shared" si="97"/>
        <v>October</v>
      </c>
      <c r="P2102" t="str">
        <f t="shared" si="98"/>
        <v>Weekday</v>
      </c>
    </row>
    <row r="2103" spans="1:16" x14ac:dyDescent="0.3">
      <c r="A2103" s="1">
        <v>43742</v>
      </c>
      <c r="B2103">
        <v>7.34</v>
      </c>
      <c r="C2103">
        <v>5.6829999999999998</v>
      </c>
      <c r="D2103">
        <v>2.25</v>
      </c>
      <c r="E2103">
        <v>22.45</v>
      </c>
      <c r="F2103">
        <v>13</v>
      </c>
      <c r="G2103">
        <v>0</v>
      </c>
      <c r="H2103">
        <v>1</v>
      </c>
      <c r="I2103">
        <v>1</v>
      </c>
      <c r="J2103">
        <v>2019</v>
      </c>
      <c r="K2103">
        <v>10</v>
      </c>
      <c r="L2103">
        <v>276</v>
      </c>
      <c r="M2103" t="s">
        <v>13</v>
      </c>
      <c r="N2103">
        <f t="shared" si="96"/>
        <v>52.722999999999999</v>
      </c>
      <c r="O2103" t="str">
        <f t="shared" si="97"/>
        <v>October</v>
      </c>
      <c r="P2103" t="str">
        <f t="shared" si="98"/>
        <v>Weekday</v>
      </c>
    </row>
    <row r="2104" spans="1:16" x14ac:dyDescent="0.3">
      <c r="A2104" s="1">
        <v>43743</v>
      </c>
      <c r="B2104">
        <v>3.84</v>
      </c>
      <c r="C2104">
        <v>5.01</v>
      </c>
      <c r="D2104">
        <v>6</v>
      </c>
      <c r="E2104">
        <v>25.4</v>
      </c>
      <c r="F2104">
        <v>7</v>
      </c>
      <c r="G2104">
        <v>0</v>
      </c>
      <c r="H2104">
        <v>0</v>
      </c>
      <c r="I2104">
        <v>0.33</v>
      </c>
      <c r="J2104">
        <v>2019</v>
      </c>
      <c r="K2104">
        <v>10</v>
      </c>
      <c r="L2104">
        <v>276</v>
      </c>
      <c r="M2104" t="s">
        <v>14</v>
      </c>
      <c r="N2104">
        <f t="shared" si="96"/>
        <v>47.58</v>
      </c>
      <c r="O2104" t="str">
        <f t="shared" si="97"/>
        <v>October</v>
      </c>
      <c r="P2104" t="str">
        <f t="shared" si="98"/>
        <v>Weekend</v>
      </c>
    </row>
    <row r="2105" spans="1:16" x14ac:dyDescent="0.3">
      <c r="A2105" s="1">
        <v>43744</v>
      </c>
      <c r="B2105">
        <v>4</v>
      </c>
      <c r="C2105">
        <v>11.69</v>
      </c>
      <c r="D2105">
        <v>2</v>
      </c>
      <c r="E2105">
        <v>34.6</v>
      </c>
      <c r="F2105">
        <v>6</v>
      </c>
      <c r="G2105">
        <v>0</v>
      </c>
      <c r="H2105">
        <v>5</v>
      </c>
      <c r="I2105">
        <v>4.2</v>
      </c>
      <c r="J2105">
        <v>2019</v>
      </c>
      <c r="K2105">
        <v>10</v>
      </c>
      <c r="L2105">
        <v>276</v>
      </c>
      <c r="M2105" t="s">
        <v>15</v>
      </c>
      <c r="N2105">
        <f t="shared" si="96"/>
        <v>67.489999999999995</v>
      </c>
      <c r="O2105" t="str">
        <f t="shared" si="97"/>
        <v>October</v>
      </c>
      <c r="P2105" t="str">
        <f t="shared" si="98"/>
        <v>Weekend</v>
      </c>
    </row>
    <row r="2106" spans="1:16" x14ac:dyDescent="0.3">
      <c r="A2106" s="1">
        <v>43745</v>
      </c>
      <c r="B2106">
        <v>7.34</v>
      </c>
      <c r="C2106">
        <v>4.5069999999999997</v>
      </c>
      <c r="D2106">
        <v>3</v>
      </c>
      <c r="E2106">
        <v>50.8</v>
      </c>
      <c r="F2106">
        <v>6</v>
      </c>
      <c r="G2106">
        <v>0</v>
      </c>
      <c r="H2106">
        <v>10</v>
      </c>
      <c r="I2106">
        <v>1</v>
      </c>
      <c r="J2106">
        <v>2019</v>
      </c>
      <c r="K2106">
        <v>10</v>
      </c>
      <c r="L2106">
        <v>276</v>
      </c>
      <c r="M2106" t="s">
        <v>16</v>
      </c>
      <c r="N2106">
        <f t="shared" si="96"/>
        <v>82.646999999999991</v>
      </c>
      <c r="O2106" t="str">
        <f t="shared" si="97"/>
        <v>October</v>
      </c>
      <c r="P2106" t="str">
        <f t="shared" si="98"/>
        <v>Weekday</v>
      </c>
    </row>
    <row r="2107" spans="1:16" x14ac:dyDescent="0.3">
      <c r="A2107" s="1">
        <v>43746</v>
      </c>
      <c r="B2107">
        <v>0.33</v>
      </c>
      <c r="C2107">
        <v>1.73</v>
      </c>
      <c r="D2107">
        <v>0.5</v>
      </c>
      <c r="E2107">
        <v>44.3</v>
      </c>
      <c r="F2107">
        <v>20</v>
      </c>
      <c r="G2107">
        <v>2</v>
      </c>
      <c r="H2107">
        <v>2</v>
      </c>
      <c r="I2107">
        <v>0</v>
      </c>
      <c r="J2107">
        <v>2019</v>
      </c>
      <c r="K2107">
        <v>10</v>
      </c>
      <c r="L2107">
        <v>190</v>
      </c>
      <c r="M2107" t="s">
        <v>17</v>
      </c>
      <c r="N2107">
        <f t="shared" si="96"/>
        <v>70.86</v>
      </c>
      <c r="O2107" t="str">
        <f t="shared" si="97"/>
        <v>October</v>
      </c>
      <c r="P2107" t="str">
        <f t="shared" si="98"/>
        <v>Weekday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E0B1-D17B-4D9D-8D3A-D261080406C2}">
  <dimension ref="A1:Q14"/>
  <sheetViews>
    <sheetView showGridLines="0" showRowColHeaders="0" tabSelected="1" workbookViewId="0">
      <selection activeCell="B11" sqref="B11:E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12.44140625" bestFit="1" customWidth="1"/>
    <col min="2" max="2" width="16.109375" bestFit="1" customWidth="1"/>
    <col min="7" max="7" width="16.44140625" bestFit="1" customWidth="1"/>
    <col min="8" max="8" width="16.109375" bestFit="1" customWidth="1"/>
    <col min="9" max="9" width="16.44140625" bestFit="1" customWidth="1"/>
    <col min="10" max="10" width="16.109375" bestFit="1" customWidth="1"/>
    <col min="12" max="12" width="12.44140625" bestFit="1" customWidth="1"/>
    <col min="13" max="14" width="12" bestFit="1" customWidth="1"/>
    <col min="15" max="16" width="12.5546875" bestFit="1" customWidth="1"/>
    <col min="17" max="18" width="12" bestFit="1" customWidth="1"/>
    <col min="19" max="19" width="10.109375" bestFit="1" customWidth="1"/>
    <col min="20" max="20" width="12.44140625" bestFit="1" customWidth="1"/>
  </cols>
  <sheetData>
    <row r="1" spans="1:17" ht="33.6" customHeight="1" x14ac:dyDescent="0.65">
      <c r="A1" s="5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3.4" x14ac:dyDescent="0.3">
      <c r="H2" s="8" t="s">
        <v>25</v>
      </c>
      <c r="I2" s="8"/>
    </row>
    <row r="3" spans="1:17" ht="18" x14ac:dyDescent="0.3">
      <c r="H3" s="7" t="s">
        <v>20</v>
      </c>
      <c r="I3" s="7">
        <f>SUM(Clean_Data!J:J)</f>
        <v>4246541</v>
      </c>
    </row>
    <row r="4" spans="1:17" ht="18" customHeight="1" x14ac:dyDescent="0.3">
      <c r="B4" s="4" t="s">
        <v>26</v>
      </c>
      <c r="C4" s="4"/>
      <c r="D4" s="4"/>
      <c r="E4" s="4"/>
      <c r="H4" s="7" t="s">
        <v>23</v>
      </c>
      <c r="I4" s="7">
        <f>ROUND(AVERAGE(Clean_Data!J:J),0)</f>
        <v>2016</v>
      </c>
      <c r="L4" s="4" t="s">
        <v>30</v>
      </c>
      <c r="M4" s="4"/>
      <c r="N4" s="4"/>
      <c r="O4" s="4"/>
    </row>
    <row r="5" spans="1:17" ht="18" x14ac:dyDescent="0.3">
      <c r="B5" s="4"/>
      <c r="C5" s="4"/>
      <c r="D5" s="4"/>
      <c r="E5" s="4"/>
      <c r="H5" s="7" t="s">
        <v>24</v>
      </c>
      <c r="I5" s="7">
        <f>COUNT(Clean_Data!J:J)</f>
        <v>2106</v>
      </c>
      <c r="L5" s="4"/>
      <c r="M5" s="4"/>
      <c r="N5" s="4"/>
      <c r="O5" s="4"/>
    </row>
    <row r="6" spans="1:17" x14ac:dyDescent="0.3">
      <c r="B6" s="4"/>
      <c r="C6" s="4"/>
      <c r="D6" s="4"/>
      <c r="E6" s="4"/>
      <c r="L6" s="4"/>
      <c r="M6" s="4"/>
      <c r="N6" s="4"/>
      <c r="O6" s="4"/>
    </row>
    <row r="7" spans="1:17" x14ac:dyDescent="0.3">
      <c r="B7" s="4"/>
      <c r="C7" s="4"/>
      <c r="D7" s="4"/>
      <c r="E7" s="4"/>
      <c r="L7" s="4"/>
      <c r="M7" s="4"/>
      <c r="N7" s="4"/>
      <c r="O7" s="4"/>
    </row>
    <row r="10" spans="1:17" ht="14.4" customHeight="1" x14ac:dyDescent="0.3"/>
    <row r="11" spans="1:17" x14ac:dyDescent="0.3">
      <c r="B11" s="9" t="s">
        <v>27</v>
      </c>
      <c r="C11" s="9"/>
      <c r="D11" s="9"/>
      <c r="E11" s="9"/>
      <c r="L11" s="4" t="s">
        <v>28</v>
      </c>
      <c r="M11" s="4"/>
      <c r="N11" s="4"/>
      <c r="O11" s="4"/>
    </row>
    <row r="12" spans="1:17" ht="14.4" customHeight="1" x14ac:dyDescent="0.3">
      <c r="B12" s="9"/>
      <c r="C12" s="9"/>
      <c r="D12" s="9"/>
      <c r="E12" s="9"/>
      <c r="L12" s="4"/>
      <c r="M12" s="4"/>
      <c r="N12" s="4"/>
      <c r="O12" s="4"/>
    </row>
    <row r="13" spans="1:17" x14ac:dyDescent="0.3">
      <c r="B13" s="9"/>
      <c r="C13" s="9"/>
      <c r="D13" s="9"/>
      <c r="E13" s="9"/>
      <c r="L13" s="4"/>
      <c r="M13" s="4"/>
      <c r="N13" s="4"/>
      <c r="O13" s="4"/>
    </row>
    <row r="14" spans="1:17" ht="14.4" customHeight="1" x14ac:dyDescent="0.3">
      <c r="B14" s="9"/>
      <c r="C14" s="9"/>
      <c r="D14" s="9"/>
      <c r="E14" s="9"/>
      <c r="L14" s="4"/>
      <c r="M14" s="4"/>
      <c r="N14" s="4"/>
      <c r="O14" s="4"/>
    </row>
  </sheetData>
  <mergeCells count="6">
    <mergeCell ref="L11:O14"/>
    <mergeCell ref="L4:O7"/>
    <mergeCell ref="B4:E7"/>
    <mergeCell ref="B11:E14"/>
    <mergeCell ref="A1:Q1"/>
    <mergeCell ref="H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 Gautam</cp:lastModifiedBy>
  <dcterms:created xsi:type="dcterms:W3CDTF">2026-03-17T11:46:34Z</dcterms:created>
  <dcterms:modified xsi:type="dcterms:W3CDTF">2026-03-21T11:00:59Z</dcterms:modified>
</cp:coreProperties>
</file>